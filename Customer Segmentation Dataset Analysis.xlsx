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pivotCache/pivotCacheDefinition6.xml" ContentType="application/vnd.openxmlformats-officedocument.spreadsheetml.pivotCacheDefinition+xml"/>
  <Override PartName="/xl/pivotCache/pivotCacheRecords6.xml" ContentType="application/vnd.openxmlformats-officedocument.spreadsheetml.pivotCacheRecords+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tables/table3.xml" ContentType="application/vnd.openxmlformats-officedocument.spreadsheetml.table+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tables/table4.xml" ContentType="application/vnd.openxmlformats-officedocument.spreadsheetml.table+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166925"/>
  <mc:AlternateContent xmlns:mc="http://schemas.openxmlformats.org/markup-compatibility/2006">
    <mc:Choice Requires="x15">
      <x15ac:absPath xmlns:x15ac="http://schemas.microsoft.com/office/spreadsheetml/2010/11/ac" url="C:\Users\Vinayak\Desktop\Subjects\Mentorship Program\Grad Careers\Projects\Customer Segmentation\"/>
    </mc:Choice>
  </mc:AlternateContent>
  <xr:revisionPtr revIDLastSave="0" documentId="13_ncr:1_{A06895F8-2ADC-4431-8219-7AE380D0F466}" xr6:coauthVersionLast="47" xr6:coauthVersionMax="47" xr10:uidLastSave="{00000000-0000-0000-0000-000000000000}"/>
  <bookViews>
    <workbookView xWindow="-120" yWindow="-120" windowWidth="20730" windowHeight="11160" xr2:uid="{04CD5780-832A-4A57-BB58-F4E674AEBE20}"/>
  </bookViews>
  <sheets>
    <sheet name="Cleaned Customers " sheetId="11" r:id="rId1"/>
    <sheet name="Cleaned Sales" sheetId="12" r:id="rId2"/>
    <sheet name="Customer Analysis" sheetId="25" r:id="rId3"/>
    <sheet name=" Sales Analysis " sheetId="24" r:id="rId4"/>
    <sheet name="Guide" sheetId="14" state="hidden" r:id="rId5"/>
    <sheet name="Grad_Careers_Services" sheetId="7" state="hidden" r:id="rId6"/>
  </sheets>
  <definedNames>
    <definedName name="_xlcn.WorksheetConnection_CleanedCustomersDD1" hidden="1">'Cleaned Customers '!$D:$D</definedName>
    <definedName name="_xlcn.WorksheetConnection_CleanedCustomerSegmentationDataset.xlsxCustomers_1" hidden="1">Customers_[]</definedName>
    <definedName name="ExternalData_1" localSheetId="0" hidden="1">'Cleaned Customers '!$A$1:$R$1001</definedName>
    <definedName name="ExternalData_1" localSheetId="1" hidden="1">'Cleaned Sales'!$A$1:$O$1001</definedName>
    <definedName name="NativeTimeline_Order_Date">#N/A</definedName>
    <definedName name="Slicer_Month">#N/A</definedName>
    <definedName name="Slicer_Month1">#N/A</definedName>
    <definedName name="Slicer_Sales_Agent">#N/A</definedName>
    <definedName name="Slicer_Service_Category">#N/A</definedName>
    <definedName name="Slicer_Service_Category1">#N/A</definedName>
    <definedName name="Slicer_Service_Category2">#N/A</definedName>
    <definedName name="Slicer_State">#N/A</definedName>
    <definedName name="Slicer_State1">#N/A</definedName>
    <definedName name="Slicer_State2">#N/A</definedName>
  </definedNames>
  <calcPr calcId="191028"/>
  <pivotCaches>
    <pivotCache cacheId="0" r:id="rId7"/>
    <pivotCache cacheId="13" r:id="rId8"/>
    <pivotCache cacheId="8" r:id="rId9"/>
    <pivotCache cacheId="4" r:id="rId10"/>
    <pivotCache cacheId="5" r:id="rId11"/>
    <pivotCache cacheId="6" r:id="rId12"/>
    <pivotCache cacheId="7" r:id="rId13"/>
  </pivotCaches>
  <extLst>
    <ext xmlns:x14="http://schemas.microsoft.com/office/spreadsheetml/2009/9/main" uri="{BBE1A952-AA13-448e-AADC-164F8A28A991}">
      <x14:slicerCaches>
        <x14:slicerCache r:id="rId14"/>
        <x14:slicerCache r:id="rId15"/>
        <x14:slicerCache r:id="rId16"/>
        <x14:slicerCache r:id="rId17"/>
        <x14:slicerCache r:id="rId18"/>
        <x14:slicerCache r:id="rId19"/>
        <x14:slicerCache r:id="rId20"/>
        <x14:slicerCache r:id="rId21"/>
        <x14:slicerCache r:id="rId22"/>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23"/>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Cleaned Customers !$D:$D"/>
          <x15:modelTable id="Customers_" name="Customers_" connection="WorksheetConnection_Cleaned Customer Segmentation Dataset.xlsx!Customers_"/>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G2" i="12" l="1"/>
  <c r="G3" i="12"/>
  <c r="G4" i="12"/>
  <c r="G5" i="12"/>
  <c r="G6" i="12"/>
  <c r="G7" i="12"/>
  <c r="G8" i="12"/>
  <c r="G9" i="12"/>
  <c r="G10" i="12"/>
  <c r="G11" i="12"/>
  <c r="G12" i="12"/>
  <c r="G13" i="12"/>
  <c r="G14" i="12"/>
  <c r="G15" i="12"/>
  <c r="G16" i="12"/>
  <c r="G17" i="12"/>
  <c r="G18" i="12"/>
  <c r="G19" i="12"/>
  <c r="G20" i="12"/>
  <c r="G21" i="12"/>
  <c r="G22" i="12"/>
  <c r="G23" i="12"/>
  <c r="G24" i="12"/>
  <c r="G25" i="12"/>
  <c r="G26" i="12"/>
  <c r="G27" i="12"/>
  <c r="G28" i="12"/>
  <c r="G29" i="12"/>
  <c r="G30" i="12"/>
  <c r="G31" i="12"/>
  <c r="G32" i="12"/>
  <c r="G33" i="12"/>
  <c r="G34" i="12"/>
  <c r="G35" i="12"/>
  <c r="G36" i="12"/>
  <c r="G37" i="12"/>
  <c r="G38" i="12"/>
  <c r="G39" i="12"/>
  <c r="G40" i="12"/>
  <c r="G41" i="12"/>
  <c r="G42" i="12"/>
  <c r="G43" i="12"/>
  <c r="G44" i="12"/>
  <c r="G45" i="12"/>
  <c r="G46" i="12"/>
  <c r="G47" i="12"/>
  <c r="G48" i="12"/>
  <c r="G49" i="12"/>
  <c r="G50" i="12"/>
  <c r="G51" i="12"/>
  <c r="G52" i="12"/>
  <c r="G53" i="12"/>
  <c r="G54" i="12"/>
  <c r="G55" i="12"/>
  <c r="G56" i="12"/>
  <c r="G57" i="12"/>
  <c r="G58" i="12"/>
  <c r="G59" i="12"/>
  <c r="G60" i="12"/>
  <c r="G61" i="12"/>
  <c r="G62" i="12"/>
  <c r="G63" i="12"/>
  <c r="G64" i="12"/>
  <c r="G65" i="12"/>
  <c r="G66" i="12"/>
  <c r="G67" i="12"/>
  <c r="G68" i="12"/>
  <c r="G69" i="12"/>
  <c r="G70" i="12"/>
  <c r="G71" i="12"/>
  <c r="G72" i="12"/>
  <c r="G73" i="12"/>
  <c r="G74" i="12"/>
  <c r="G75" i="12"/>
  <c r="G76" i="12"/>
  <c r="G77" i="12"/>
  <c r="G78" i="12"/>
  <c r="G79" i="12"/>
  <c r="G80" i="12"/>
  <c r="G81" i="12"/>
  <c r="G82" i="12"/>
  <c r="G83" i="12"/>
  <c r="G84" i="12"/>
  <c r="G85" i="12"/>
  <c r="G86" i="12"/>
  <c r="G87" i="12"/>
  <c r="G88" i="12"/>
  <c r="G89" i="12"/>
  <c r="G90" i="12"/>
  <c r="G91" i="12"/>
  <c r="G92" i="12"/>
  <c r="G93" i="12"/>
  <c r="G94" i="12"/>
  <c r="G95" i="12"/>
  <c r="G96" i="12"/>
  <c r="G97" i="12"/>
  <c r="G98" i="12"/>
  <c r="G99" i="12"/>
  <c r="G100" i="12"/>
  <c r="G101" i="12"/>
  <c r="G102" i="12"/>
  <c r="G103" i="12"/>
  <c r="G104" i="12"/>
  <c r="G105" i="12"/>
  <c r="G106" i="12"/>
  <c r="G107" i="12"/>
  <c r="G108" i="12"/>
  <c r="G109" i="12"/>
  <c r="G110" i="12"/>
  <c r="G111" i="12"/>
  <c r="G112" i="12"/>
  <c r="G113" i="12"/>
  <c r="G114" i="12"/>
  <c r="G115" i="12"/>
  <c r="G116" i="12"/>
  <c r="G117" i="12"/>
  <c r="G118" i="12"/>
  <c r="G119" i="12"/>
  <c r="G120" i="12"/>
  <c r="G121" i="12"/>
  <c r="G122" i="12"/>
  <c r="G123" i="12"/>
  <c r="G124" i="12"/>
  <c r="G125" i="12"/>
  <c r="G126" i="12"/>
  <c r="G127" i="12"/>
  <c r="G128" i="12"/>
  <c r="G129" i="12"/>
  <c r="G130" i="12"/>
  <c r="G131" i="12"/>
  <c r="G132" i="12"/>
  <c r="G133" i="12"/>
  <c r="G134" i="12"/>
  <c r="G135" i="12"/>
  <c r="G136" i="12"/>
  <c r="G137" i="12"/>
  <c r="G138" i="12"/>
  <c r="G139" i="12"/>
  <c r="G140" i="12"/>
  <c r="G141" i="12"/>
  <c r="G142" i="12"/>
  <c r="G143" i="12"/>
  <c r="G144" i="12"/>
  <c r="G145" i="12"/>
  <c r="G146" i="12"/>
  <c r="G147" i="12"/>
  <c r="G148" i="12"/>
  <c r="G149" i="12"/>
  <c r="G150" i="12"/>
  <c r="G151" i="12"/>
  <c r="G152" i="12"/>
  <c r="G153" i="12"/>
  <c r="G154" i="12"/>
  <c r="G155" i="12"/>
  <c r="G156" i="12"/>
  <c r="G157" i="12"/>
  <c r="G158" i="12"/>
  <c r="G159" i="12"/>
  <c r="G160" i="12"/>
  <c r="G161" i="12"/>
  <c r="G162" i="12"/>
  <c r="G163" i="12"/>
  <c r="G164" i="12"/>
  <c r="G165" i="12"/>
  <c r="G166" i="12"/>
  <c r="G167" i="12"/>
  <c r="G168" i="12"/>
  <c r="G169" i="12"/>
  <c r="G170" i="12"/>
  <c r="G171" i="12"/>
  <c r="G172" i="12"/>
  <c r="G173" i="12"/>
  <c r="G174" i="12"/>
  <c r="G175" i="12"/>
  <c r="G176" i="12"/>
  <c r="G177" i="12"/>
  <c r="G178" i="12"/>
  <c r="G179" i="12"/>
  <c r="G180" i="12"/>
  <c r="G181" i="12"/>
  <c r="G182" i="12"/>
  <c r="G183" i="12"/>
  <c r="G184" i="12"/>
  <c r="G185" i="12"/>
  <c r="G186" i="12"/>
  <c r="G187" i="12"/>
  <c r="G188" i="12"/>
  <c r="G189" i="12"/>
  <c r="G190" i="12"/>
  <c r="G191" i="12"/>
  <c r="G192" i="12"/>
  <c r="G193" i="12"/>
  <c r="G194" i="12"/>
  <c r="G195" i="12"/>
  <c r="G196" i="12"/>
  <c r="G197" i="12"/>
  <c r="G198" i="12"/>
  <c r="G199" i="12"/>
  <c r="G200" i="12"/>
  <c r="G201" i="12"/>
  <c r="G202" i="12"/>
  <c r="G203" i="12"/>
  <c r="G204" i="12"/>
  <c r="G205" i="12"/>
  <c r="G206" i="12"/>
  <c r="G207" i="12"/>
  <c r="G208" i="12"/>
  <c r="G209" i="12"/>
  <c r="G210" i="12"/>
  <c r="G211" i="12"/>
  <c r="G212" i="12"/>
  <c r="G213" i="12"/>
  <c r="G214" i="12"/>
  <c r="G215" i="12"/>
  <c r="G216" i="12"/>
  <c r="G217" i="12"/>
  <c r="G218" i="12"/>
  <c r="G219" i="12"/>
  <c r="G220" i="12"/>
  <c r="G221" i="12"/>
  <c r="G222" i="12"/>
  <c r="G223" i="12"/>
  <c r="G224" i="12"/>
  <c r="G225" i="12"/>
  <c r="G226" i="12"/>
  <c r="G227" i="12"/>
  <c r="G228" i="12"/>
  <c r="G229" i="12"/>
  <c r="G230" i="12"/>
  <c r="G231" i="12"/>
  <c r="G232" i="12"/>
  <c r="G233" i="12"/>
  <c r="G234" i="12"/>
  <c r="G235" i="12"/>
  <c r="G236" i="12"/>
  <c r="G237" i="12"/>
  <c r="G238" i="12"/>
  <c r="G239" i="12"/>
  <c r="G240" i="12"/>
  <c r="G241" i="12"/>
  <c r="G242" i="12"/>
  <c r="G243" i="12"/>
  <c r="G244" i="12"/>
  <c r="G245" i="12"/>
  <c r="G246" i="12"/>
  <c r="G247" i="12"/>
  <c r="G248" i="12"/>
  <c r="G249" i="12"/>
  <c r="G250" i="12"/>
  <c r="G251" i="12"/>
  <c r="G252" i="12"/>
  <c r="G253" i="12"/>
  <c r="G254" i="12"/>
  <c r="G255" i="12"/>
  <c r="G256" i="12"/>
  <c r="G257" i="12"/>
  <c r="G258" i="12"/>
  <c r="G259" i="12"/>
  <c r="G260" i="12"/>
  <c r="G261" i="12"/>
  <c r="G262" i="12"/>
  <c r="G263" i="12"/>
  <c r="G264" i="12"/>
  <c r="G265" i="12"/>
  <c r="G266" i="12"/>
  <c r="G267" i="12"/>
  <c r="G268" i="12"/>
  <c r="G269" i="12"/>
  <c r="G270" i="12"/>
  <c r="G271" i="12"/>
  <c r="G272" i="12"/>
  <c r="G273" i="12"/>
  <c r="G274" i="12"/>
  <c r="G275" i="12"/>
  <c r="G276" i="12"/>
  <c r="G277" i="12"/>
  <c r="G278" i="12"/>
  <c r="G279" i="12"/>
  <c r="G280" i="12"/>
  <c r="G281" i="12"/>
  <c r="G282" i="12"/>
  <c r="G283" i="12"/>
  <c r="G284" i="12"/>
  <c r="G285" i="12"/>
  <c r="G286" i="12"/>
  <c r="G287" i="12"/>
  <c r="G288" i="12"/>
  <c r="G289" i="12"/>
  <c r="G290" i="12"/>
  <c r="G291" i="12"/>
  <c r="G292" i="12"/>
  <c r="G293" i="12"/>
  <c r="G294" i="12"/>
  <c r="G295" i="12"/>
  <c r="G296" i="12"/>
  <c r="G297" i="12"/>
  <c r="G298" i="12"/>
  <c r="G299" i="12"/>
  <c r="G300" i="12"/>
  <c r="G301" i="12"/>
  <c r="G302" i="12"/>
  <c r="G303" i="12"/>
  <c r="G304" i="12"/>
  <c r="G305" i="12"/>
  <c r="G306" i="12"/>
  <c r="G307" i="12"/>
  <c r="G308" i="12"/>
  <c r="G309" i="12"/>
  <c r="G310" i="12"/>
  <c r="G311" i="12"/>
  <c r="G312" i="12"/>
  <c r="G313" i="12"/>
  <c r="G314" i="12"/>
  <c r="G315" i="12"/>
  <c r="G316" i="12"/>
  <c r="G317" i="12"/>
  <c r="G318" i="12"/>
  <c r="G319" i="12"/>
  <c r="G320" i="12"/>
  <c r="G321" i="12"/>
  <c r="G322" i="12"/>
  <c r="G323" i="12"/>
  <c r="G324" i="12"/>
  <c r="G325" i="12"/>
  <c r="G326" i="12"/>
  <c r="G327" i="12"/>
  <c r="G328" i="12"/>
  <c r="G329" i="12"/>
  <c r="G330" i="12"/>
  <c r="G331" i="12"/>
  <c r="G332" i="12"/>
  <c r="G333" i="12"/>
  <c r="G334" i="12"/>
  <c r="G335" i="12"/>
  <c r="G336" i="12"/>
  <c r="G337" i="12"/>
  <c r="G338" i="12"/>
  <c r="G339" i="12"/>
  <c r="G340" i="12"/>
  <c r="G341" i="12"/>
  <c r="G342" i="12"/>
  <c r="G343" i="12"/>
  <c r="G344" i="12"/>
  <c r="G345" i="12"/>
  <c r="G346" i="12"/>
  <c r="G347" i="12"/>
  <c r="G348" i="12"/>
  <c r="G349" i="12"/>
  <c r="G350" i="12"/>
  <c r="G351" i="12"/>
  <c r="G352" i="12"/>
  <c r="G353" i="12"/>
  <c r="G354" i="12"/>
  <c r="G355" i="12"/>
  <c r="G356" i="12"/>
  <c r="G357" i="12"/>
  <c r="G358" i="12"/>
  <c r="G359" i="12"/>
  <c r="G360" i="12"/>
  <c r="G361" i="12"/>
  <c r="G362" i="12"/>
  <c r="G363" i="12"/>
  <c r="G364" i="12"/>
  <c r="G365" i="12"/>
  <c r="G366" i="12"/>
  <c r="G367" i="12"/>
  <c r="G368" i="12"/>
  <c r="G369" i="12"/>
  <c r="G370" i="12"/>
  <c r="G371" i="12"/>
  <c r="G372" i="12"/>
  <c r="G373" i="12"/>
  <c r="G374" i="12"/>
  <c r="G375" i="12"/>
  <c r="G376" i="12"/>
  <c r="G377" i="12"/>
  <c r="G378" i="12"/>
  <c r="G379" i="12"/>
  <c r="G380" i="12"/>
  <c r="G381" i="12"/>
  <c r="G382" i="12"/>
  <c r="G383" i="12"/>
  <c r="G384" i="12"/>
  <c r="G385" i="12"/>
  <c r="G386" i="12"/>
  <c r="G387" i="12"/>
  <c r="G388" i="12"/>
  <c r="G389" i="12"/>
  <c r="G390" i="12"/>
  <c r="G391" i="12"/>
  <c r="G392" i="12"/>
  <c r="G393" i="12"/>
  <c r="G394" i="12"/>
  <c r="G395" i="12"/>
  <c r="G396" i="12"/>
  <c r="G397" i="12"/>
  <c r="G398" i="12"/>
  <c r="G399" i="12"/>
  <c r="G400" i="12"/>
  <c r="G401" i="12"/>
  <c r="G402" i="12"/>
  <c r="G403" i="12"/>
  <c r="G404" i="12"/>
  <c r="G405" i="12"/>
  <c r="G406" i="12"/>
  <c r="G407" i="12"/>
  <c r="G408" i="12"/>
  <c r="G409" i="12"/>
  <c r="G410" i="12"/>
  <c r="G411" i="12"/>
  <c r="G412" i="12"/>
  <c r="G413" i="12"/>
  <c r="G414" i="12"/>
  <c r="G415" i="12"/>
  <c r="G416" i="12"/>
  <c r="G417" i="12"/>
  <c r="G418" i="12"/>
  <c r="G419" i="12"/>
  <c r="G420" i="12"/>
  <c r="G421" i="12"/>
  <c r="G422" i="12"/>
  <c r="G423" i="12"/>
  <c r="G424" i="12"/>
  <c r="G425" i="12"/>
  <c r="G426" i="12"/>
  <c r="G427" i="12"/>
  <c r="G428" i="12"/>
  <c r="G429" i="12"/>
  <c r="G430" i="12"/>
  <c r="G431" i="12"/>
  <c r="G432" i="12"/>
  <c r="G433" i="12"/>
  <c r="G434" i="12"/>
  <c r="G435" i="12"/>
  <c r="G436" i="12"/>
  <c r="G437" i="12"/>
  <c r="G438" i="12"/>
  <c r="G439" i="12"/>
  <c r="G440" i="12"/>
  <c r="G441" i="12"/>
  <c r="G442" i="12"/>
  <c r="G443" i="12"/>
  <c r="G444" i="12"/>
  <c r="G445" i="12"/>
  <c r="G446" i="12"/>
  <c r="G447" i="12"/>
  <c r="G448" i="12"/>
  <c r="G449" i="12"/>
  <c r="G450" i="12"/>
  <c r="G451" i="12"/>
  <c r="G452" i="12"/>
  <c r="G453" i="12"/>
  <c r="G454" i="12"/>
  <c r="G455" i="12"/>
  <c r="G456" i="12"/>
  <c r="G457" i="12"/>
  <c r="G458" i="12"/>
  <c r="G459" i="12"/>
  <c r="G460" i="12"/>
  <c r="G461" i="12"/>
  <c r="G462" i="12"/>
  <c r="G463" i="12"/>
  <c r="G464" i="12"/>
  <c r="G465" i="12"/>
  <c r="G466" i="12"/>
  <c r="G467" i="12"/>
  <c r="G468" i="12"/>
  <c r="G469" i="12"/>
  <c r="G470" i="12"/>
  <c r="G471" i="12"/>
  <c r="G472" i="12"/>
  <c r="G473" i="12"/>
  <c r="G474" i="12"/>
  <c r="G475" i="12"/>
  <c r="G476" i="12"/>
  <c r="G477" i="12"/>
  <c r="G478" i="12"/>
  <c r="G479" i="12"/>
  <c r="G480" i="12"/>
  <c r="G481" i="12"/>
  <c r="G482" i="12"/>
  <c r="G483" i="12"/>
  <c r="G484" i="12"/>
  <c r="G485" i="12"/>
  <c r="G486" i="12"/>
  <c r="G487" i="12"/>
  <c r="G488" i="12"/>
  <c r="G489" i="12"/>
  <c r="G490" i="12"/>
  <c r="G491" i="12"/>
  <c r="G492" i="12"/>
  <c r="G493" i="12"/>
  <c r="G494" i="12"/>
  <c r="G495" i="12"/>
  <c r="G496" i="12"/>
  <c r="G497" i="12"/>
  <c r="G498" i="12"/>
  <c r="G499" i="12"/>
  <c r="G500" i="12"/>
  <c r="G501" i="12"/>
  <c r="G502" i="12"/>
  <c r="G503" i="12"/>
  <c r="G504" i="12"/>
  <c r="G505" i="12"/>
  <c r="G506" i="12"/>
  <c r="G507" i="12"/>
  <c r="G508" i="12"/>
  <c r="G509" i="12"/>
  <c r="G510" i="12"/>
  <c r="G511" i="12"/>
  <c r="G512" i="12"/>
  <c r="G513" i="12"/>
  <c r="G514" i="12"/>
  <c r="G515" i="12"/>
  <c r="G516" i="12"/>
  <c r="G517" i="12"/>
  <c r="G518" i="12"/>
  <c r="G519" i="12"/>
  <c r="G520" i="12"/>
  <c r="G521" i="12"/>
  <c r="G522" i="12"/>
  <c r="G523" i="12"/>
  <c r="G524" i="12"/>
  <c r="G525" i="12"/>
  <c r="G526" i="12"/>
  <c r="G527" i="12"/>
  <c r="G528" i="12"/>
  <c r="G529" i="12"/>
  <c r="G530" i="12"/>
  <c r="G531" i="12"/>
  <c r="G532" i="12"/>
  <c r="G533" i="12"/>
  <c r="G534" i="12"/>
  <c r="G535" i="12"/>
  <c r="G536" i="12"/>
  <c r="G537" i="12"/>
  <c r="G538" i="12"/>
  <c r="G539" i="12"/>
  <c r="G540" i="12"/>
  <c r="G541" i="12"/>
  <c r="G542" i="12"/>
  <c r="G543" i="12"/>
  <c r="G544" i="12"/>
  <c r="G545" i="12"/>
  <c r="G546" i="12"/>
  <c r="G547" i="12"/>
  <c r="G548" i="12"/>
  <c r="G549" i="12"/>
  <c r="G550" i="12"/>
  <c r="G551" i="12"/>
  <c r="G552" i="12"/>
  <c r="G553" i="12"/>
  <c r="G554" i="12"/>
  <c r="G555" i="12"/>
  <c r="G556" i="12"/>
  <c r="G557" i="12"/>
  <c r="G558" i="12"/>
  <c r="G559" i="12"/>
  <c r="G560" i="12"/>
  <c r="G561" i="12"/>
  <c r="G562" i="12"/>
  <c r="G563" i="12"/>
  <c r="G564" i="12"/>
  <c r="G565" i="12"/>
  <c r="G566" i="12"/>
  <c r="G567" i="12"/>
  <c r="G568" i="12"/>
  <c r="G569" i="12"/>
  <c r="G570" i="12"/>
  <c r="G571" i="12"/>
  <c r="G572" i="12"/>
  <c r="G573" i="12"/>
  <c r="G574" i="12"/>
  <c r="G575" i="12"/>
  <c r="G576" i="12"/>
  <c r="G577" i="12"/>
  <c r="G578" i="12"/>
  <c r="G579" i="12"/>
  <c r="G580" i="12"/>
  <c r="G581" i="12"/>
  <c r="G582" i="12"/>
  <c r="G583" i="12"/>
  <c r="G584" i="12"/>
  <c r="G585" i="12"/>
  <c r="G586" i="12"/>
  <c r="G587" i="12"/>
  <c r="G588" i="12"/>
  <c r="G589" i="12"/>
  <c r="G590" i="12"/>
  <c r="G591" i="12"/>
  <c r="G592" i="12"/>
  <c r="G593" i="12"/>
  <c r="G594" i="12"/>
  <c r="G595" i="12"/>
  <c r="G596" i="12"/>
  <c r="G597" i="12"/>
  <c r="G598" i="12"/>
  <c r="G599" i="12"/>
  <c r="G600" i="12"/>
  <c r="G601" i="12"/>
  <c r="G602" i="12"/>
  <c r="G603" i="12"/>
  <c r="G604" i="12"/>
  <c r="G605" i="12"/>
  <c r="G606" i="12"/>
  <c r="G607" i="12"/>
  <c r="G608" i="12"/>
  <c r="G609" i="12"/>
  <c r="G610" i="12"/>
  <c r="G611" i="12"/>
  <c r="G612" i="12"/>
  <c r="G613" i="12"/>
  <c r="G614" i="12"/>
  <c r="G615" i="12"/>
  <c r="G616" i="12"/>
  <c r="G617" i="12"/>
  <c r="G618" i="12"/>
  <c r="G619" i="12"/>
  <c r="G620" i="12"/>
  <c r="G621" i="12"/>
  <c r="G622" i="12"/>
  <c r="G623" i="12"/>
  <c r="G624" i="12"/>
  <c r="G625" i="12"/>
  <c r="G626" i="12"/>
  <c r="G627" i="12"/>
  <c r="G628" i="12"/>
  <c r="G629" i="12"/>
  <c r="G630" i="12"/>
  <c r="G631" i="12"/>
  <c r="G632" i="12"/>
  <c r="G633" i="12"/>
  <c r="G634" i="12"/>
  <c r="G635" i="12"/>
  <c r="G636" i="12"/>
  <c r="G637" i="12"/>
  <c r="G638" i="12"/>
  <c r="G639" i="12"/>
  <c r="G640" i="12"/>
  <c r="G641" i="12"/>
  <c r="G642" i="12"/>
  <c r="G643" i="12"/>
  <c r="G644" i="12"/>
  <c r="G645" i="12"/>
  <c r="G646" i="12"/>
  <c r="G647" i="12"/>
  <c r="G648" i="12"/>
  <c r="G649" i="12"/>
  <c r="G650" i="12"/>
  <c r="G651" i="12"/>
  <c r="G652" i="12"/>
  <c r="G653" i="12"/>
  <c r="G654" i="12"/>
  <c r="G655" i="12"/>
  <c r="G656" i="12"/>
  <c r="G657" i="12"/>
  <c r="G658" i="12"/>
  <c r="G659" i="12"/>
  <c r="G660" i="12"/>
  <c r="G661" i="12"/>
  <c r="G662" i="12"/>
  <c r="G663" i="12"/>
  <c r="G664" i="12"/>
  <c r="G665" i="12"/>
  <c r="G666" i="12"/>
  <c r="G667" i="12"/>
  <c r="G668" i="12"/>
  <c r="G669" i="12"/>
  <c r="G670" i="12"/>
  <c r="G671" i="12"/>
  <c r="G672" i="12"/>
  <c r="G673" i="12"/>
  <c r="G674" i="12"/>
  <c r="G675" i="12"/>
  <c r="G676" i="12"/>
  <c r="G677" i="12"/>
  <c r="G678" i="12"/>
  <c r="G679" i="12"/>
  <c r="G680" i="12"/>
  <c r="G681" i="12"/>
  <c r="G682" i="12"/>
  <c r="G683" i="12"/>
  <c r="G684" i="12"/>
  <c r="G685" i="12"/>
  <c r="G686" i="12"/>
  <c r="G687" i="12"/>
  <c r="G688" i="12"/>
  <c r="G689" i="12"/>
  <c r="G690" i="12"/>
  <c r="G691" i="12"/>
  <c r="G692" i="12"/>
  <c r="G693" i="12"/>
  <c r="G694" i="12"/>
  <c r="G695" i="12"/>
  <c r="G696" i="12"/>
  <c r="G697" i="12"/>
  <c r="G698" i="12"/>
  <c r="G699" i="12"/>
  <c r="G700" i="12"/>
  <c r="G701" i="12"/>
  <c r="G702" i="12"/>
  <c r="G703" i="12"/>
  <c r="G704" i="12"/>
  <c r="G705" i="12"/>
  <c r="G706" i="12"/>
  <c r="G707" i="12"/>
  <c r="G708" i="12"/>
  <c r="G709" i="12"/>
  <c r="G710" i="12"/>
  <c r="G711" i="12"/>
  <c r="G712" i="12"/>
  <c r="G713" i="12"/>
  <c r="G714" i="12"/>
  <c r="G715" i="12"/>
  <c r="G716" i="12"/>
  <c r="G717" i="12"/>
  <c r="G718" i="12"/>
  <c r="G719" i="12"/>
  <c r="G720" i="12"/>
  <c r="G721" i="12"/>
  <c r="G722" i="12"/>
  <c r="G723" i="12"/>
  <c r="G724" i="12"/>
  <c r="G725" i="12"/>
  <c r="G726" i="12"/>
  <c r="G727" i="12"/>
  <c r="G728" i="12"/>
  <c r="G729" i="12"/>
  <c r="G730" i="12"/>
  <c r="G731" i="12"/>
  <c r="G732" i="12"/>
  <c r="G733" i="12"/>
  <c r="G734" i="12"/>
  <c r="G735" i="12"/>
  <c r="G736" i="12"/>
  <c r="G737" i="12"/>
  <c r="G738" i="12"/>
  <c r="G739" i="12"/>
  <c r="G740" i="12"/>
  <c r="G741" i="12"/>
  <c r="G742" i="12"/>
  <c r="G743" i="12"/>
  <c r="G744" i="12"/>
  <c r="G745" i="12"/>
  <c r="G746" i="12"/>
  <c r="G747" i="12"/>
  <c r="G748" i="12"/>
  <c r="G749" i="12"/>
  <c r="G750" i="12"/>
  <c r="G751" i="12"/>
  <c r="G752" i="12"/>
  <c r="G753" i="12"/>
  <c r="G754" i="12"/>
  <c r="G755" i="12"/>
  <c r="G756" i="12"/>
  <c r="G757" i="12"/>
  <c r="G758" i="12"/>
  <c r="G759" i="12"/>
  <c r="G760" i="12"/>
  <c r="G761" i="12"/>
  <c r="G762" i="12"/>
  <c r="G763" i="12"/>
  <c r="G764" i="12"/>
  <c r="G765" i="12"/>
  <c r="G766" i="12"/>
  <c r="G767" i="12"/>
  <c r="G768" i="12"/>
  <c r="G769" i="12"/>
  <c r="G770" i="12"/>
  <c r="G771" i="12"/>
  <c r="G772" i="12"/>
  <c r="G773" i="12"/>
  <c r="G774" i="12"/>
  <c r="G775" i="12"/>
  <c r="G776" i="12"/>
  <c r="G777" i="12"/>
  <c r="G778" i="12"/>
  <c r="G779" i="12"/>
  <c r="G780" i="12"/>
  <c r="G781" i="12"/>
  <c r="G782" i="12"/>
  <c r="G783" i="12"/>
  <c r="G784" i="12"/>
  <c r="G785" i="12"/>
  <c r="G786" i="12"/>
  <c r="G787" i="12"/>
  <c r="G788" i="12"/>
  <c r="G789" i="12"/>
  <c r="G790" i="12"/>
  <c r="G791" i="12"/>
  <c r="G792" i="12"/>
  <c r="G793" i="12"/>
  <c r="G794" i="12"/>
  <c r="G795" i="12"/>
  <c r="G796" i="12"/>
  <c r="G797" i="12"/>
  <c r="G798" i="12"/>
  <c r="G799" i="12"/>
  <c r="G800" i="12"/>
  <c r="G801" i="12"/>
  <c r="G802" i="12"/>
  <c r="G803" i="12"/>
  <c r="G804" i="12"/>
  <c r="G805" i="12"/>
  <c r="G806" i="12"/>
  <c r="G807" i="12"/>
  <c r="G808" i="12"/>
  <c r="G809" i="12"/>
  <c r="G810" i="12"/>
  <c r="G811" i="12"/>
  <c r="G812" i="12"/>
  <c r="G813" i="12"/>
  <c r="G814" i="12"/>
  <c r="G815" i="12"/>
  <c r="G816" i="12"/>
  <c r="G817" i="12"/>
  <c r="G818" i="12"/>
  <c r="G819" i="12"/>
  <c r="G820" i="12"/>
  <c r="G821" i="12"/>
  <c r="G822" i="12"/>
  <c r="G823" i="12"/>
  <c r="G824" i="12"/>
  <c r="G825" i="12"/>
  <c r="G826" i="12"/>
  <c r="G827" i="12"/>
  <c r="G828" i="12"/>
  <c r="G829" i="12"/>
  <c r="G830" i="12"/>
  <c r="G831" i="12"/>
  <c r="G832" i="12"/>
  <c r="G833" i="12"/>
  <c r="G834" i="12"/>
  <c r="G835" i="12"/>
  <c r="G836" i="12"/>
  <c r="G837" i="12"/>
  <c r="G838" i="12"/>
  <c r="G839" i="12"/>
  <c r="G840" i="12"/>
  <c r="G841" i="12"/>
  <c r="G842" i="12"/>
  <c r="G843" i="12"/>
  <c r="G844" i="12"/>
  <c r="G845" i="12"/>
  <c r="G846" i="12"/>
  <c r="G847" i="12"/>
  <c r="G848" i="12"/>
  <c r="G849" i="12"/>
  <c r="G850" i="12"/>
  <c r="G851" i="12"/>
  <c r="G852" i="12"/>
  <c r="G853" i="12"/>
  <c r="G854" i="12"/>
  <c r="G855" i="12"/>
  <c r="G856" i="12"/>
  <c r="G857" i="12"/>
  <c r="G858" i="12"/>
  <c r="G859" i="12"/>
  <c r="G860" i="12"/>
  <c r="G861" i="12"/>
  <c r="G862" i="12"/>
  <c r="G863" i="12"/>
  <c r="G864" i="12"/>
  <c r="G865" i="12"/>
  <c r="G866" i="12"/>
  <c r="G867" i="12"/>
  <c r="G868" i="12"/>
  <c r="G869" i="12"/>
  <c r="G870" i="12"/>
  <c r="G871" i="12"/>
  <c r="G872" i="12"/>
  <c r="G873" i="12"/>
  <c r="G874" i="12"/>
  <c r="G875" i="12"/>
  <c r="G876" i="12"/>
  <c r="G877" i="12"/>
  <c r="G878" i="12"/>
  <c r="G879" i="12"/>
  <c r="G880" i="12"/>
  <c r="G881" i="12"/>
  <c r="G882" i="12"/>
  <c r="G883" i="12"/>
  <c r="G884" i="12"/>
  <c r="G885" i="12"/>
  <c r="G886" i="12"/>
  <c r="G887" i="12"/>
  <c r="G888" i="12"/>
  <c r="G889" i="12"/>
  <c r="G890" i="12"/>
  <c r="G891" i="12"/>
  <c r="G892" i="12"/>
  <c r="G893" i="12"/>
  <c r="G894" i="12"/>
  <c r="G895" i="12"/>
  <c r="G896" i="12"/>
  <c r="G897" i="12"/>
  <c r="G898" i="12"/>
  <c r="G899" i="12"/>
  <c r="G900" i="12"/>
  <c r="G901" i="12"/>
  <c r="G902" i="12"/>
  <c r="G903" i="12"/>
  <c r="G904" i="12"/>
  <c r="G905" i="12"/>
  <c r="G906" i="12"/>
  <c r="G907" i="12"/>
  <c r="G908" i="12"/>
  <c r="G909" i="12"/>
  <c r="G910" i="12"/>
  <c r="G911" i="12"/>
  <c r="G912" i="12"/>
  <c r="G913" i="12"/>
  <c r="G914" i="12"/>
  <c r="G915" i="12"/>
  <c r="G916" i="12"/>
  <c r="G917" i="12"/>
  <c r="G918" i="12"/>
  <c r="G919" i="12"/>
  <c r="G920" i="12"/>
  <c r="G921" i="12"/>
  <c r="G922" i="12"/>
  <c r="G923" i="12"/>
  <c r="G924" i="12"/>
  <c r="G925" i="12"/>
  <c r="G926" i="12"/>
  <c r="G927" i="12"/>
  <c r="G928" i="12"/>
  <c r="G929" i="12"/>
  <c r="G930" i="12"/>
  <c r="G931" i="12"/>
  <c r="G932" i="12"/>
  <c r="G933" i="12"/>
  <c r="G934" i="12"/>
  <c r="G935" i="12"/>
  <c r="G936" i="12"/>
  <c r="G937" i="12"/>
  <c r="G938" i="12"/>
  <c r="G939" i="12"/>
  <c r="G940" i="12"/>
  <c r="G941" i="12"/>
  <c r="G942" i="12"/>
  <c r="G943" i="12"/>
  <c r="G944" i="12"/>
  <c r="G945" i="12"/>
  <c r="G946" i="12"/>
  <c r="G947" i="12"/>
  <c r="G948" i="12"/>
  <c r="G949" i="12"/>
  <c r="G950" i="12"/>
  <c r="G951" i="12"/>
  <c r="G952" i="12"/>
  <c r="G953" i="12"/>
  <c r="G954" i="12"/>
  <c r="G955" i="12"/>
  <c r="G956" i="12"/>
  <c r="G957" i="12"/>
  <c r="G958" i="12"/>
  <c r="G959" i="12"/>
  <c r="G960" i="12"/>
  <c r="G961" i="12"/>
  <c r="G962" i="12"/>
  <c r="G963" i="12"/>
  <c r="G964" i="12"/>
  <c r="G965" i="12"/>
  <c r="G966" i="12"/>
  <c r="G967" i="12"/>
  <c r="G968" i="12"/>
  <c r="G969" i="12"/>
  <c r="G970" i="12"/>
  <c r="G971" i="12"/>
  <c r="G972" i="12"/>
  <c r="G973" i="12"/>
  <c r="G974" i="12"/>
  <c r="G975" i="12"/>
  <c r="G976" i="12"/>
  <c r="G977" i="12"/>
  <c r="G978" i="12"/>
  <c r="G979" i="12"/>
  <c r="G980" i="12"/>
  <c r="G981" i="12"/>
  <c r="G982" i="12"/>
  <c r="G983" i="12"/>
  <c r="G984" i="12"/>
  <c r="G985" i="12"/>
  <c r="G986" i="12"/>
  <c r="G987" i="12"/>
  <c r="G988" i="12"/>
  <c r="G989" i="12"/>
  <c r="G990" i="12"/>
  <c r="G991" i="12"/>
  <c r="G992" i="12"/>
  <c r="G993" i="12"/>
  <c r="G994" i="12"/>
  <c r="G995" i="12"/>
  <c r="G996" i="12"/>
  <c r="G997" i="12"/>
  <c r="G998" i="12"/>
  <c r="G999" i="12"/>
  <c r="G1000" i="12"/>
  <c r="G1001" i="12"/>
  <c r="G2" i="11"/>
  <c r="G3" i="11"/>
  <c r="G4" i="11"/>
  <c r="G5" i="11"/>
  <c r="G6" i="11"/>
  <c r="G7" i="11"/>
  <c r="G8" i="11"/>
  <c r="G9" i="11"/>
  <c r="G10" i="11"/>
  <c r="G11" i="11"/>
  <c r="G12" i="11"/>
  <c r="G13" i="11"/>
  <c r="G14" i="11"/>
  <c r="G15" i="11"/>
  <c r="G16" i="11"/>
  <c r="G17" i="11"/>
  <c r="G18" i="11"/>
  <c r="G19" i="11"/>
  <c r="G20" i="11"/>
  <c r="G21" i="11"/>
  <c r="G22" i="11"/>
  <c r="G23" i="11"/>
  <c r="G24" i="11"/>
  <c r="G25" i="11"/>
  <c r="G26" i="11"/>
  <c r="G27" i="11"/>
  <c r="G28" i="11"/>
  <c r="G29" i="11"/>
  <c r="G30" i="11"/>
  <c r="G31" i="11"/>
  <c r="G32" i="11"/>
  <c r="G33" i="11"/>
  <c r="G34" i="11"/>
  <c r="G35" i="11"/>
  <c r="G36" i="11"/>
  <c r="G37" i="11"/>
  <c r="G38" i="11"/>
  <c r="G39" i="11"/>
  <c r="G40" i="11"/>
  <c r="G41" i="11"/>
  <c r="G42" i="11"/>
  <c r="G43" i="11"/>
  <c r="G44" i="11"/>
  <c r="G45" i="11"/>
  <c r="G46" i="11"/>
  <c r="G47" i="11"/>
  <c r="G48" i="11"/>
  <c r="G49" i="11"/>
  <c r="G50" i="11"/>
  <c r="G51" i="11"/>
  <c r="G52" i="11"/>
  <c r="G53" i="11"/>
  <c r="G54" i="11"/>
  <c r="G55" i="11"/>
  <c r="G56" i="11"/>
  <c r="G57" i="11"/>
  <c r="G58" i="11"/>
  <c r="G59" i="11"/>
  <c r="G60" i="11"/>
  <c r="G61" i="11"/>
  <c r="G62" i="11"/>
  <c r="G63" i="11"/>
  <c r="G64" i="11"/>
  <c r="G65" i="11"/>
  <c r="G66" i="11"/>
  <c r="G67" i="11"/>
  <c r="G68" i="11"/>
  <c r="G69" i="11"/>
  <c r="G70" i="11"/>
  <c r="G71" i="11"/>
  <c r="G72" i="11"/>
  <c r="G73" i="11"/>
  <c r="G74" i="11"/>
  <c r="G75" i="11"/>
  <c r="G76" i="11"/>
  <c r="G77" i="11"/>
  <c r="G78" i="11"/>
  <c r="G79" i="11"/>
  <c r="G80" i="11"/>
  <c r="G81" i="11"/>
  <c r="G82" i="11"/>
  <c r="G83" i="11"/>
  <c r="G84" i="11"/>
  <c r="G85" i="11"/>
  <c r="G86" i="11"/>
  <c r="G87" i="11"/>
  <c r="G88" i="11"/>
  <c r="G89" i="11"/>
  <c r="G90" i="11"/>
  <c r="G91" i="11"/>
  <c r="G92" i="11"/>
  <c r="G93" i="11"/>
  <c r="G94" i="11"/>
  <c r="G95" i="11"/>
  <c r="G96" i="11"/>
  <c r="G97" i="11"/>
  <c r="G98" i="11"/>
  <c r="G99" i="11"/>
  <c r="G100" i="11"/>
  <c r="G101" i="11"/>
  <c r="G102" i="11"/>
  <c r="G103" i="11"/>
  <c r="G104" i="11"/>
  <c r="G105" i="11"/>
  <c r="G106" i="11"/>
  <c r="G107" i="11"/>
  <c r="G108" i="11"/>
  <c r="G109" i="11"/>
  <c r="G110" i="11"/>
  <c r="G111" i="11"/>
  <c r="G112" i="11"/>
  <c r="G113" i="11"/>
  <c r="G114" i="11"/>
  <c r="G115" i="11"/>
  <c r="G116" i="11"/>
  <c r="G117" i="11"/>
  <c r="G118" i="11"/>
  <c r="G119" i="11"/>
  <c r="G120" i="11"/>
  <c r="G121" i="11"/>
  <c r="G122" i="11"/>
  <c r="G123" i="11"/>
  <c r="G124" i="11"/>
  <c r="G125" i="11"/>
  <c r="G126" i="11"/>
  <c r="G127" i="11"/>
  <c r="G128" i="11"/>
  <c r="G129" i="11"/>
  <c r="G130" i="11"/>
  <c r="G131" i="11"/>
  <c r="G132" i="11"/>
  <c r="G133" i="11"/>
  <c r="G134" i="11"/>
  <c r="G135" i="11"/>
  <c r="G136" i="11"/>
  <c r="G137" i="11"/>
  <c r="G138" i="11"/>
  <c r="G139" i="11"/>
  <c r="G140" i="11"/>
  <c r="G141" i="11"/>
  <c r="G142" i="11"/>
  <c r="G143" i="11"/>
  <c r="G144" i="11"/>
  <c r="G145" i="11"/>
  <c r="G146" i="11"/>
  <c r="G147" i="11"/>
  <c r="G148" i="11"/>
  <c r="G149" i="11"/>
  <c r="G150" i="11"/>
  <c r="G151" i="11"/>
  <c r="G152" i="11"/>
  <c r="G153" i="11"/>
  <c r="G154" i="11"/>
  <c r="G155" i="11"/>
  <c r="G156" i="11"/>
  <c r="G157" i="11"/>
  <c r="G158" i="11"/>
  <c r="G159" i="11"/>
  <c r="G160" i="11"/>
  <c r="G161" i="11"/>
  <c r="G162" i="11"/>
  <c r="G163" i="11"/>
  <c r="G164" i="11"/>
  <c r="G165" i="11"/>
  <c r="G166" i="11"/>
  <c r="G167" i="11"/>
  <c r="G168" i="11"/>
  <c r="G169" i="11"/>
  <c r="G170" i="11"/>
  <c r="G171" i="11"/>
  <c r="G172" i="11"/>
  <c r="G173" i="11"/>
  <c r="G174" i="11"/>
  <c r="G175" i="11"/>
  <c r="G176" i="11"/>
  <c r="G177" i="11"/>
  <c r="G178" i="11"/>
  <c r="G179" i="11"/>
  <c r="G180" i="11"/>
  <c r="G181" i="11"/>
  <c r="G182" i="11"/>
  <c r="G183" i="11"/>
  <c r="G184" i="11"/>
  <c r="G185" i="11"/>
  <c r="G186" i="11"/>
  <c r="G187" i="11"/>
  <c r="G188" i="11"/>
  <c r="G189" i="11"/>
  <c r="G190" i="11"/>
  <c r="G191" i="11"/>
  <c r="G192" i="11"/>
  <c r="G193" i="11"/>
  <c r="G194" i="11"/>
  <c r="G195" i="11"/>
  <c r="G196" i="11"/>
  <c r="G197" i="11"/>
  <c r="G198" i="11"/>
  <c r="G199" i="11"/>
  <c r="G200" i="11"/>
  <c r="G201" i="11"/>
  <c r="G202" i="11"/>
  <c r="G203" i="11"/>
  <c r="G204" i="11"/>
  <c r="G205" i="11"/>
  <c r="G206" i="11"/>
  <c r="G207" i="11"/>
  <c r="G208" i="11"/>
  <c r="G209" i="11"/>
  <c r="G210" i="11"/>
  <c r="G211" i="11"/>
  <c r="G212" i="11"/>
  <c r="G213" i="11"/>
  <c r="G214" i="11"/>
  <c r="G215" i="11"/>
  <c r="G216" i="11"/>
  <c r="G217" i="11"/>
  <c r="G218" i="11"/>
  <c r="G219" i="11"/>
  <c r="G220" i="11"/>
  <c r="G221" i="11"/>
  <c r="G222" i="11"/>
  <c r="G223" i="11"/>
  <c r="G224" i="11"/>
  <c r="G225" i="11"/>
  <c r="G226" i="11"/>
  <c r="G227" i="11"/>
  <c r="G228" i="11"/>
  <c r="G229" i="11"/>
  <c r="G230" i="11"/>
  <c r="G231" i="11"/>
  <c r="G232" i="11"/>
  <c r="G233" i="11"/>
  <c r="G234" i="11"/>
  <c r="G235" i="11"/>
  <c r="G236" i="11"/>
  <c r="G237" i="11"/>
  <c r="G238" i="11"/>
  <c r="G239" i="11"/>
  <c r="G240" i="11"/>
  <c r="G241" i="11"/>
  <c r="G242" i="11"/>
  <c r="G243" i="11"/>
  <c r="G244" i="11"/>
  <c r="G245" i="11"/>
  <c r="G246" i="11"/>
  <c r="G247" i="11"/>
  <c r="G248" i="11"/>
  <c r="G249" i="11"/>
  <c r="G250" i="11"/>
  <c r="G251" i="11"/>
  <c r="G252" i="11"/>
  <c r="G253" i="11"/>
  <c r="G254" i="11"/>
  <c r="G255" i="11"/>
  <c r="G256" i="11"/>
  <c r="G257" i="11"/>
  <c r="G258" i="11"/>
  <c r="G259" i="11"/>
  <c r="G260" i="11"/>
  <c r="G261" i="11"/>
  <c r="G262" i="11"/>
  <c r="G263" i="11"/>
  <c r="G264" i="11"/>
  <c r="G265" i="11"/>
  <c r="G266" i="11"/>
  <c r="G267" i="11"/>
  <c r="G268" i="11"/>
  <c r="G269" i="11"/>
  <c r="G270" i="11"/>
  <c r="G271" i="11"/>
  <c r="G272" i="11"/>
  <c r="G273" i="11"/>
  <c r="G274" i="11"/>
  <c r="G275" i="11"/>
  <c r="G276" i="11"/>
  <c r="G277" i="11"/>
  <c r="G278" i="11"/>
  <c r="G279" i="11"/>
  <c r="G280" i="11"/>
  <c r="G281" i="11"/>
  <c r="G282" i="11"/>
  <c r="G283" i="11"/>
  <c r="G284" i="11"/>
  <c r="G285" i="11"/>
  <c r="G286" i="11"/>
  <c r="G287" i="11"/>
  <c r="G288" i="11"/>
  <c r="G289" i="11"/>
  <c r="G290" i="11"/>
  <c r="G291" i="11"/>
  <c r="G292" i="11"/>
  <c r="G293" i="11"/>
  <c r="G294" i="11"/>
  <c r="G295" i="11"/>
  <c r="G296" i="11"/>
  <c r="G297" i="11"/>
  <c r="G298" i="11"/>
  <c r="G299" i="11"/>
  <c r="G300" i="11"/>
  <c r="G301" i="11"/>
  <c r="G302" i="11"/>
  <c r="G303" i="11"/>
  <c r="G304" i="11"/>
  <c r="G305" i="11"/>
  <c r="G306" i="11"/>
  <c r="G307" i="11"/>
  <c r="G308" i="11"/>
  <c r="G309" i="11"/>
  <c r="G310" i="11"/>
  <c r="G311" i="11"/>
  <c r="G312" i="11"/>
  <c r="G313" i="11"/>
  <c r="G314" i="11"/>
  <c r="G315" i="11"/>
  <c r="G316" i="11"/>
  <c r="G317" i="11"/>
  <c r="G318" i="11"/>
  <c r="G319" i="11"/>
  <c r="G320" i="11"/>
  <c r="G321" i="11"/>
  <c r="G322" i="11"/>
  <c r="G323" i="11"/>
  <c r="G324" i="11"/>
  <c r="G325" i="11"/>
  <c r="G326" i="11"/>
  <c r="G327" i="11"/>
  <c r="G328" i="11"/>
  <c r="G329" i="11"/>
  <c r="G330" i="11"/>
  <c r="G331" i="11"/>
  <c r="G332" i="11"/>
  <c r="G333" i="11"/>
  <c r="G334" i="11"/>
  <c r="G335" i="11"/>
  <c r="G336" i="11"/>
  <c r="G337" i="11"/>
  <c r="G338" i="11"/>
  <c r="G339" i="11"/>
  <c r="G340" i="11"/>
  <c r="G341" i="11"/>
  <c r="G342" i="11"/>
  <c r="G343" i="11"/>
  <c r="G344" i="11"/>
  <c r="G345" i="11"/>
  <c r="G346" i="11"/>
  <c r="G347" i="11"/>
  <c r="G348" i="11"/>
  <c r="G349" i="11"/>
  <c r="G350" i="11"/>
  <c r="G351" i="11"/>
  <c r="G352" i="11"/>
  <c r="G353" i="11"/>
  <c r="G354" i="11"/>
  <c r="G355" i="11"/>
  <c r="G356" i="11"/>
  <c r="G357" i="11"/>
  <c r="G358" i="11"/>
  <c r="G359" i="11"/>
  <c r="G360" i="11"/>
  <c r="G361" i="11"/>
  <c r="G362" i="11"/>
  <c r="G363" i="11"/>
  <c r="G364" i="11"/>
  <c r="G365" i="11"/>
  <c r="G366" i="11"/>
  <c r="G367" i="11"/>
  <c r="G368" i="11"/>
  <c r="G369" i="11"/>
  <c r="G370" i="11"/>
  <c r="G371" i="11"/>
  <c r="G372" i="11"/>
  <c r="G373" i="11"/>
  <c r="G374" i="11"/>
  <c r="G375" i="11"/>
  <c r="G376" i="11"/>
  <c r="G377" i="11"/>
  <c r="G378" i="11"/>
  <c r="G379" i="11"/>
  <c r="G380" i="11"/>
  <c r="G381" i="11"/>
  <c r="G382" i="11"/>
  <c r="G383" i="11"/>
  <c r="G384" i="11"/>
  <c r="G385" i="11"/>
  <c r="G386" i="11"/>
  <c r="G387" i="11"/>
  <c r="G388" i="11"/>
  <c r="G389" i="11"/>
  <c r="G390" i="11"/>
  <c r="G391" i="11"/>
  <c r="G392" i="11"/>
  <c r="G393" i="11"/>
  <c r="G394" i="11"/>
  <c r="G395" i="11"/>
  <c r="G396" i="11"/>
  <c r="G397" i="11"/>
  <c r="G398" i="11"/>
  <c r="G399" i="11"/>
  <c r="G400" i="11"/>
  <c r="G401" i="11"/>
  <c r="G402" i="11"/>
  <c r="G403" i="11"/>
  <c r="G404" i="11"/>
  <c r="G405" i="11"/>
  <c r="G406" i="11"/>
  <c r="G407" i="11"/>
  <c r="G408" i="11"/>
  <c r="G409" i="11"/>
  <c r="G410" i="11"/>
  <c r="G411" i="11"/>
  <c r="G412" i="11"/>
  <c r="G413" i="11"/>
  <c r="G414" i="11"/>
  <c r="G415" i="11"/>
  <c r="G416" i="11"/>
  <c r="G417" i="11"/>
  <c r="G418" i="11"/>
  <c r="G419" i="11"/>
  <c r="G420" i="11"/>
  <c r="G421" i="11"/>
  <c r="G422" i="11"/>
  <c r="G423" i="11"/>
  <c r="G424" i="11"/>
  <c r="G425" i="11"/>
  <c r="G426" i="11"/>
  <c r="G427" i="11"/>
  <c r="G428" i="11"/>
  <c r="G429" i="11"/>
  <c r="G430" i="11"/>
  <c r="G431" i="11"/>
  <c r="G432" i="11"/>
  <c r="G433" i="11"/>
  <c r="G434" i="11"/>
  <c r="G435" i="11"/>
  <c r="G436" i="11"/>
  <c r="G437" i="11"/>
  <c r="G438" i="11"/>
  <c r="G439" i="11"/>
  <c r="G440" i="11"/>
  <c r="G441" i="11"/>
  <c r="G442" i="11"/>
  <c r="G443" i="11"/>
  <c r="G444" i="11"/>
  <c r="G445" i="11"/>
  <c r="G446" i="11"/>
  <c r="G447" i="11"/>
  <c r="G448" i="11"/>
  <c r="G449" i="11"/>
  <c r="G450" i="11"/>
  <c r="G451" i="11"/>
  <c r="G452" i="11"/>
  <c r="G453" i="11"/>
  <c r="G454" i="11"/>
  <c r="G455" i="11"/>
  <c r="G456" i="11"/>
  <c r="G457" i="11"/>
  <c r="G458" i="11"/>
  <c r="G459" i="11"/>
  <c r="G460" i="11"/>
  <c r="G461" i="11"/>
  <c r="G462" i="11"/>
  <c r="G463" i="11"/>
  <c r="G464" i="11"/>
  <c r="G465" i="11"/>
  <c r="G466" i="11"/>
  <c r="G467" i="11"/>
  <c r="G468" i="11"/>
  <c r="G469" i="11"/>
  <c r="G470" i="11"/>
  <c r="G471" i="11"/>
  <c r="G472" i="11"/>
  <c r="G473" i="11"/>
  <c r="G474" i="11"/>
  <c r="G475" i="11"/>
  <c r="G476" i="11"/>
  <c r="G477" i="11"/>
  <c r="G478" i="11"/>
  <c r="G479" i="11"/>
  <c r="G480" i="11"/>
  <c r="G481" i="11"/>
  <c r="G482" i="11"/>
  <c r="G483" i="11"/>
  <c r="G484" i="11"/>
  <c r="G485" i="11"/>
  <c r="G486" i="11"/>
  <c r="G487" i="11"/>
  <c r="G488" i="11"/>
  <c r="G489" i="11"/>
  <c r="G490" i="11"/>
  <c r="G491" i="11"/>
  <c r="G492" i="11"/>
  <c r="G493" i="11"/>
  <c r="G494" i="11"/>
  <c r="G495" i="11"/>
  <c r="G496" i="11"/>
  <c r="G497" i="11"/>
  <c r="G498" i="11"/>
  <c r="G499" i="11"/>
  <c r="G500" i="11"/>
  <c r="G501" i="11"/>
  <c r="G502" i="11"/>
  <c r="G503" i="11"/>
  <c r="G504" i="11"/>
  <c r="G505" i="11"/>
  <c r="G506" i="11"/>
  <c r="G507" i="11"/>
  <c r="G508" i="11"/>
  <c r="G509" i="11"/>
  <c r="G510" i="11"/>
  <c r="G511" i="11"/>
  <c r="G512" i="11"/>
  <c r="G513" i="11"/>
  <c r="G514" i="11"/>
  <c r="G515" i="11"/>
  <c r="G516" i="11"/>
  <c r="G517" i="11"/>
  <c r="G518" i="11"/>
  <c r="G519" i="11"/>
  <c r="G520" i="11"/>
  <c r="G521" i="11"/>
  <c r="G522" i="11"/>
  <c r="G523" i="11"/>
  <c r="G524" i="11"/>
  <c r="G525" i="11"/>
  <c r="G526" i="11"/>
  <c r="G527" i="11"/>
  <c r="G528" i="11"/>
  <c r="G529" i="11"/>
  <c r="G530" i="11"/>
  <c r="G531" i="11"/>
  <c r="G532" i="11"/>
  <c r="G533" i="11"/>
  <c r="G534" i="11"/>
  <c r="G535" i="11"/>
  <c r="G536" i="11"/>
  <c r="G537" i="11"/>
  <c r="G538" i="11"/>
  <c r="G539" i="11"/>
  <c r="G540" i="11"/>
  <c r="G541" i="11"/>
  <c r="G542" i="11"/>
  <c r="G543" i="11"/>
  <c r="G544" i="11"/>
  <c r="G545" i="11"/>
  <c r="G546" i="11"/>
  <c r="G547" i="11"/>
  <c r="G548" i="11"/>
  <c r="G549" i="11"/>
  <c r="G550" i="11"/>
  <c r="G551" i="11"/>
  <c r="G552" i="11"/>
  <c r="G553" i="11"/>
  <c r="G554" i="11"/>
  <c r="G555" i="11"/>
  <c r="G556" i="11"/>
  <c r="G557" i="11"/>
  <c r="G558" i="11"/>
  <c r="G559" i="11"/>
  <c r="G560" i="11"/>
  <c r="G561" i="11"/>
  <c r="G562" i="11"/>
  <c r="G563" i="11"/>
  <c r="G564" i="11"/>
  <c r="G565" i="11"/>
  <c r="G566" i="11"/>
  <c r="G567" i="11"/>
  <c r="G568" i="11"/>
  <c r="G569" i="11"/>
  <c r="G570" i="11"/>
  <c r="G571" i="11"/>
  <c r="G572" i="11"/>
  <c r="G573" i="11"/>
  <c r="G574" i="11"/>
  <c r="G575" i="11"/>
  <c r="G576" i="11"/>
  <c r="G577" i="11"/>
  <c r="G578" i="11"/>
  <c r="G579" i="11"/>
  <c r="G580" i="11"/>
  <c r="G581" i="11"/>
  <c r="G582" i="11"/>
  <c r="G583" i="11"/>
  <c r="G584" i="11"/>
  <c r="G585" i="11"/>
  <c r="G586" i="11"/>
  <c r="G587" i="11"/>
  <c r="G588" i="11"/>
  <c r="G589" i="11"/>
  <c r="G590" i="11"/>
  <c r="G591" i="11"/>
  <c r="G592" i="11"/>
  <c r="G593" i="11"/>
  <c r="G594" i="11"/>
  <c r="G595" i="11"/>
  <c r="G596" i="11"/>
  <c r="G597" i="11"/>
  <c r="G598" i="11"/>
  <c r="G599" i="11"/>
  <c r="G600" i="11"/>
  <c r="G601" i="11"/>
  <c r="G602" i="11"/>
  <c r="G603" i="11"/>
  <c r="G604" i="11"/>
  <c r="G605" i="11"/>
  <c r="G606" i="11"/>
  <c r="G607" i="11"/>
  <c r="G608" i="11"/>
  <c r="G609" i="11"/>
  <c r="G610" i="11"/>
  <c r="G611" i="11"/>
  <c r="G612" i="11"/>
  <c r="G613" i="11"/>
  <c r="G614" i="11"/>
  <c r="G615" i="11"/>
  <c r="G616" i="11"/>
  <c r="G617" i="11"/>
  <c r="G618" i="11"/>
  <c r="G619" i="11"/>
  <c r="G620" i="11"/>
  <c r="G621" i="11"/>
  <c r="G622" i="11"/>
  <c r="G623" i="11"/>
  <c r="G624" i="11"/>
  <c r="G625" i="11"/>
  <c r="G626" i="11"/>
  <c r="G627" i="11"/>
  <c r="G628" i="11"/>
  <c r="G629" i="11"/>
  <c r="G630" i="11"/>
  <c r="G631" i="11"/>
  <c r="G632" i="11"/>
  <c r="G633" i="11"/>
  <c r="G634" i="11"/>
  <c r="G635" i="11"/>
  <c r="G636" i="11"/>
  <c r="G637" i="11"/>
  <c r="G638" i="11"/>
  <c r="G639" i="11"/>
  <c r="G640" i="11"/>
  <c r="G641" i="11"/>
  <c r="G642" i="11"/>
  <c r="G643" i="11"/>
  <c r="G644" i="11"/>
  <c r="G645" i="11"/>
  <c r="G646" i="11"/>
  <c r="G647" i="11"/>
  <c r="G648" i="11"/>
  <c r="G649" i="11"/>
  <c r="G650" i="11"/>
  <c r="G651" i="11"/>
  <c r="G652" i="11"/>
  <c r="G653" i="11"/>
  <c r="G654" i="11"/>
  <c r="G655" i="11"/>
  <c r="G656" i="11"/>
  <c r="G657" i="11"/>
  <c r="G658" i="11"/>
  <c r="G659" i="11"/>
  <c r="G660" i="11"/>
  <c r="G661" i="11"/>
  <c r="G662" i="11"/>
  <c r="G663" i="11"/>
  <c r="G664" i="11"/>
  <c r="G665" i="11"/>
  <c r="G666" i="11"/>
  <c r="G667" i="11"/>
  <c r="G668" i="11"/>
  <c r="G669" i="11"/>
  <c r="G670" i="11"/>
  <c r="G671" i="11"/>
  <c r="G672" i="11"/>
  <c r="G673" i="11"/>
  <c r="G674" i="11"/>
  <c r="G675" i="11"/>
  <c r="G676" i="11"/>
  <c r="G677" i="11"/>
  <c r="G678" i="11"/>
  <c r="G679" i="11"/>
  <c r="G680" i="11"/>
  <c r="G681" i="11"/>
  <c r="G682" i="11"/>
  <c r="G683" i="11"/>
  <c r="G684" i="11"/>
  <c r="G685" i="11"/>
  <c r="G686" i="11"/>
  <c r="G687" i="11"/>
  <c r="G688" i="11"/>
  <c r="G689" i="11"/>
  <c r="G690" i="11"/>
  <c r="G691" i="11"/>
  <c r="G692" i="11"/>
  <c r="G693" i="11"/>
  <c r="G694" i="11"/>
  <c r="G695" i="11"/>
  <c r="G696" i="11"/>
  <c r="G697" i="11"/>
  <c r="G698" i="11"/>
  <c r="G699" i="11"/>
  <c r="G700" i="11"/>
  <c r="G701" i="11"/>
  <c r="G702" i="11"/>
  <c r="G703" i="11"/>
  <c r="G704" i="11"/>
  <c r="G705" i="11"/>
  <c r="G706" i="11"/>
  <c r="G707" i="11"/>
  <c r="G708" i="11"/>
  <c r="G709" i="11"/>
  <c r="G710" i="11"/>
  <c r="G711" i="11"/>
  <c r="G712" i="11"/>
  <c r="G713" i="11"/>
  <c r="G714" i="11"/>
  <c r="G715" i="11"/>
  <c r="G716" i="11"/>
  <c r="G717" i="11"/>
  <c r="G718" i="11"/>
  <c r="G719" i="11"/>
  <c r="G720" i="11"/>
  <c r="G721" i="11"/>
  <c r="G722" i="11"/>
  <c r="G723" i="11"/>
  <c r="G724" i="11"/>
  <c r="G725" i="11"/>
  <c r="G726" i="11"/>
  <c r="G727" i="11"/>
  <c r="G728" i="11"/>
  <c r="G729" i="11"/>
  <c r="G730" i="11"/>
  <c r="G731" i="11"/>
  <c r="G732" i="11"/>
  <c r="G733" i="11"/>
  <c r="G734" i="11"/>
  <c r="G735" i="11"/>
  <c r="G736" i="11"/>
  <c r="G737" i="11"/>
  <c r="G738" i="11"/>
  <c r="G739" i="11"/>
  <c r="G740" i="11"/>
  <c r="G741" i="11"/>
  <c r="G742" i="11"/>
  <c r="G743" i="11"/>
  <c r="G744" i="11"/>
  <c r="G745" i="11"/>
  <c r="G746" i="11"/>
  <c r="G747" i="11"/>
  <c r="G748" i="11"/>
  <c r="G749" i="11"/>
  <c r="G750" i="11"/>
  <c r="G751" i="11"/>
  <c r="G752" i="11"/>
  <c r="G753" i="11"/>
  <c r="G754" i="11"/>
  <c r="G755" i="11"/>
  <c r="G756" i="11"/>
  <c r="G757" i="11"/>
  <c r="G758" i="11"/>
  <c r="G759" i="11"/>
  <c r="G760" i="11"/>
  <c r="G761" i="11"/>
  <c r="G762" i="11"/>
  <c r="G763" i="11"/>
  <c r="G764" i="11"/>
  <c r="G765" i="11"/>
  <c r="G766" i="11"/>
  <c r="G767" i="11"/>
  <c r="G768" i="11"/>
  <c r="G769" i="11"/>
  <c r="G770" i="11"/>
  <c r="G771" i="11"/>
  <c r="G772" i="11"/>
  <c r="G773" i="11"/>
  <c r="G774" i="11"/>
  <c r="G775" i="11"/>
  <c r="G776" i="11"/>
  <c r="G777" i="11"/>
  <c r="G778" i="11"/>
  <c r="G779" i="11"/>
  <c r="G780" i="11"/>
  <c r="G781" i="11"/>
  <c r="G782" i="11"/>
  <c r="G783" i="11"/>
  <c r="G784" i="11"/>
  <c r="G785" i="11"/>
  <c r="G786" i="11"/>
  <c r="G787" i="11"/>
  <c r="G788" i="11"/>
  <c r="G789" i="11"/>
  <c r="G790" i="11"/>
  <c r="G791" i="11"/>
  <c r="G792" i="11"/>
  <c r="G793" i="11"/>
  <c r="G794" i="11"/>
  <c r="G795" i="11"/>
  <c r="G796" i="11"/>
  <c r="G797" i="11"/>
  <c r="G798" i="11"/>
  <c r="G799" i="11"/>
  <c r="G800" i="11"/>
  <c r="G801" i="11"/>
  <c r="G802" i="11"/>
  <c r="G803" i="11"/>
  <c r="G804" i="11"/>
  <c r="G805" i="11"/>
  <c r="G806" i="11"/>
  <c r="G807" i="11"/>
  <c r="G808" i="11"/>
  <c r="G809" i="11"/>
  <c r="G810" i="11"/>
  <c r="G811" i="11"/>
  <c r="G812" i="11"/>
  <c r="G813" i="11"/>
  <c r="G814" i="11"/>
  <c r="G815" i="11"/>
  <c r="G816" i="11"/>
  <c r="G817" i="11"/>
  <c r="G818" i="11"/>
  <c r="G819" i="11"/>
  <c r="G820" i="11"/>
  <c r="G821" i="11"/>
  <c r="G822" i="11"/>
  <c r="G823" i="11"/>
  <c r="G824" i="11"/>
  <c r="G825" i="11"/>
  <c r="G826" i="11"/>
  <c r="G827" i="11"/>
  <c r="G828" i="11"/>
  <c r="G829" i="11"/>
  <c r="G830" i="11"/>
  <c r="G831" i="11"/>
  <c r="G832" i="11"/>
  <c r="G833" i="11"/>
  <c r="G834" i="11"/>
  <c r="G835" i="11"/>
  <c r="G836" i="11"/>
  <c r="G837" i="11"/>
  <c r="G838" i="11"/>
  <c r="G839" i="11"/>
  <c r="G840" i="11"/>
  <c r="G841" i="11"/>
  <c r="G842" i="11"/>
  <c r="G843" i="11"/>
  <c r="G844" i="11"/>
  <c r="G845" i="11"/>
  <c r="G846" i="11"/>
  <c r="G847" i="11"/>
  <c r="G848" i="11"/>
  <c r="G849" i="11"/>
  <c r="G850" i="11"/>
  <c r="G851" i="11"/>
  <c r="G852" i="11"/>
  <c r="G853" i="11"/>
  <c r="G854" i="11"/>
  <c r="G855" i="11"/>
  <c r="G856" i="11"/>
  <c r="G857" i="11"/>
  <c r="G858" i="11"/>
  <c r="G859" i="11"/>
  <c r="G860" i="11"/>
  <c r="G861" i="11"/>
  <c r="G862" i="11"/>
  <c r="G863" i="11"/>
  <c r="G864" i="11"/>
  <c r="G865" i="11"/>
  <c r="G866" i="11"/>
  <c r="G867" i="11"/>
  <c r="G868" i="11"/>
  <c r="G869" i="11"/>
  <c r="G870" i="11"/>
  <c r="G871" i="11"/>
  <c r="G872" i="11"/>
  <c r="G873" i="11"/>
  <c r="G874" i="11"/>
  <c r="G875" i="11"/>
  <c r="G876" i="11"/>
  <c r="G877" i="11"/>
  <c r="G878" i="11"/>
  <c r="G879" i="11"/>
  <c r="G880" i="11"/>
  <c r="G881" i="11"/>
  <c r="G882" i="11"/>
  <c r="G883" i="11"/>
  <c r="G884" i="11"/>
  <c r="G885" i="11"/>
  <c r="G886" i="11"/>
  <c r="G887" i="11"/>
  <c r="G888" i="11"/>
  <c r="G889" i="11"/>
  <c r="G890" i="11"/>
  <c r="G891" i="11"/>
  <c r="G892" i="11"/>
  <c r="G893" i="11"/>
  <c r="G894" i="11"/>
  <c r="G895" i="11"/>
  <c r="G896" i="11"/>
  <c r="G897" i="11"/>
  <c r="G898" i="11"/>
  <c r="G899" i="11"/>
  <c r="G900" i="11"/>
  <c r="G901" i="11"/>
  <c r="G902" i="11"/>
  <c r="G903" i="11"/>
  <c r="G904" i="11"/>
  <c r="G905" i="11"/>
  <c r="G906" i="11"/>
  <c r="G907" i="11"/>
  <c r="G908" i="11"/>
  <c r="G909" i="11"/>
  <c r="G910" i="11"/>
  <c r="G911" i="11"/>
  <c r="G912" i="11"/>
  <c r="G913" i="11"/>
  <c r="G914" i="11"/>
  <c r="G915" i="11"/>
  <c r="G916" i="11"/>
  <c r="G917" i="11"/>
  <c r="G918" i="11"/>
  <c r="G919" i="11"/>
  <c r="G920" i="11"/>
  <c r="G921" i="11"/>
  <c r="G922" i="11"/>
  <c r="G923" i="11"/>
  <c r="G924" i="11"/>
  <c r="G925" i="11"/>
  <c r="G926" i="11"/>
  <c r="G927" i="11"/>
  <c r="G928" i="11"/>
  <c r="G929" i="11"/>
  <c r="G930" i="11"/>
  <c r="G931" i="11"/>
  <c r="G932" i="11"/>
  <c r="G933" i="11"/>
  <c r="G934" i="11"/>
  <c r="G935" i="11"/>
  <c r="G936" i="11"/>
  <c r="G937" i="11"/>
  <c r="G938" i="11"/>
  <c r="G939" i="11"/>
  <c r="G940" i="11"/>
  <c r="G941" i="11"/>
  <c r="G942" i="11"/>
  <c r="G943" i="11"/>
  <c r="G944" i="11"/>
  <c r="G945" i="11"/>
  <c r="G946" i="11"/>
  <c r="G947" i="11"/>
  <c r="G948" i="11"/>
  <c r="G949" i="11"/>
  <c r="G950" i="11"/>
  <c r="G951" i="11"/>
  <c r="G952" i="11"/>
  <c r="G953" i="11"/>
  <c r="G954" i="11"/>
  <c r="G955" i="11"/>
  <c r="G956" i="11"/>
  <c r="G957" i="11"/>
  <c r="G958" i="11"/>
  <c r="G959" i="11"/>
  <c r="G960" i="11"/>
  <c r="G961" i="11"/>
  <c r="G962" i="11"/>
  <c r="G963" i="11"/>
  <c r="G964" i="11"/>
  <c r="G965" i="11"/>
  <c r="G966" i="11"/>
  <c r="G967" i="11"/>
  <c r="G968" i="11"/>
  <c r="G969" i="11"/>
  <c r="G970" i="11"/>
  <c r="G971" i="11"/>
  <c r="G972" i="11"/>
  <c r="G973" i="11"/>
  <c r="G974" i="11"/>
  <c r="G975" i="11"/>
  <c r="G976" i="11"/>
  <c r="G977" i="11"/>
  <c r="G978" i="11"/>
  <c r="G979" i="11"/>
  <c r="G980" i="11"/>
  <c r="G981" i="11"/>
  <c r="G982" i="11"/>
  <c r="G983" i="11"/>
  <c r="G984" i="11"/>
  <c r="G985" i="11"/>
  <c r="G986" i="11"/>
  <c r="G987" i="11"/>
  <c r="G988" i="11"/>
  <c r="G989" i="11"/>
  <c r="G990" i="11"/>
  <c r="G991" i="11"/>
  <c r="G992" i="11"/>
  <c r="G993" i="11"/>
  <c r="G994" i="11"/>
  <c r="G995" i="11"/>
  <c r="G996" i="11"/>
  <c r="G997" i="11"/>
  <c r="G998" i="11"/>
  <c r="G999" i="11"/>
  <c r="G1000" i="11"/>
  <c r="G1001" i="11"/>
  <c r="D2" i="11"/>
  <c r="D3" i="11"/>
  <c r="D4" i="11"/>
  <c r="D5" i="11"/>
  <c r="D6" i="11"/>
  <c r="D7" i="11"/>
  <c r="D8" i="11"/>
  <c r="D9" i="11"/>
  <c r="D10" i="11"/>
  <c r="D11" i="11"/>
  <c r="D12" i="11"/>
  <c r="D13" i="11"/>
  <c r="D14" i="11"/>
  <c r="D15" i="11"/>
  <c r="D16" i="11"/>
  <c r="D17" i="11"/>
  <c r="D18" i="11"/>
  <c r="D19" i="11"/>
  <c r="D20" i="11"/>
  <c r="D21" i="11"/>
  <c r="D22" i="11"/>
  <c r="D23" i="11"/>
  <c r="D24" i="11"/>
  <c r="D25" i="11"/>
  <c r="D26" i="11"/>
  <c r="D27" i="11"/>
  <c r="D28" i="11"/>
  <c r="D29" i="11"/>
  <c r="D30" i="11"/>
  <c r="D31" i="11"/>
  <c r="D32" i="11"/>
  <c r="D33" i="11"/>
  <c r="D34" i="11"/>
  <c r="D35" i="11"/>
  <c r="D36" i="11"/>
  <c r="D37" i="11"/>
  <c r="D38" i="11"/>
  <c r="D39" i="11"/>
  <c r="D40" i="11"/>
  <c r="D41" i="11"/>
  <c r="D42" i="11"/>
  <c r="D43" i="11"/>
  <c r="D44" i="11"/>
  <c r="D45" i="11"/>
  <c r="D46" i="11"/>
  <c r="D47" i="11"/>
  <c r="D48" i="11"/>
  <c r="D49" i="11"/>
  <c r="D50" i="11"/>
  <c r="D51" i="11"/>
  <c r="D52" i="11"/>
  <c r="D53" i="11"/>
  <c r="D54" i="11"/>
  <c r="D55" i="11"/>
  <c r="D56" i="11"/>
  <c r="D57" i="11"/>
  <c r="D58" i="11"/>
  <c r="D59" i="11"/>
  <c r="D60" i="11"/>
  <c r="D61" i="11"/>
  <c r="D62" i="11"/>
  <c r="D63" i="11"/>
  <c r="D64" i="11"/>
  <c r="D65" i="11"/>
  <c r="D66" i="11"/>
  <c r="D67" i="11"/>
  <c r="D68" i="11"/>
  <c r="D69" i="11"/>
  <c r="D70" i="11"/>
  <c r="D71" i="11"/>
  <c r="D72" i="11"/>
  <c r="D73" i="11"/>
  <c r="D74" i="11"/>
  <c r="D75" i="11"/>
  <c r="D76" i="11"/>
  <c r="D77" i="11"/>
  <c r="D78" i="11"/>
  <c r="D79" i="11"/>
  <c r="D80" i="11"/>
  <c r="D81" i="11"/>
  <c r="D82" i="11"/>
  <c r="D83" i="11"/>
  <c r="D84" i="11"/>
  <c r="D85" i="11"/>
  <c r="D86" i="11"/>
  <c r="D87" i="11"/>
  <c r="D88" i="11"/>
  <c r="D89" i="11"/>
  <c r="D90" i="11"/>
  <c r="D91" i="11"/>
  <c r="D92" i="11"/>
  <c r="D93" i="11"/>
  <c r="D94" i="11"/>
  <c r="D95" i="11"/>
  <c r="D96" i="11"/>
  <c r="D97" i="11"/>
  <c r="D98" i="11"/>
  <c r="D99" i="11"/>
  <c r="D100" i="11"/>
  <c r="D101" i="11"/>
  <c r="D102" i="11"/>
  <c r="D103" i="11"/>
  <c r="D104" i="11"/>
  <c r="D105" i="11"/>
  <c r="D106" i="11"/>
  <c r="D107" i="11"/>
  <c r="D108" i="11"/>
  <c r="D109" i="11"/>
  <c r="D110" i="11"/>
  <c r="D111" i="11"/>
  <c r="D112" i="11"/>
  <c r="D113" i="11"/>
  <c r="D114" i="11"/>
  <c r="D115" i="11"/>
  <c r="D116" i="11"/>
  <c r="D117" i="11"/>
  <c r="D118" i="11"/>
  <c r="D119" i="11"/>
  <c r="D120" i="11"/>
  <c r="D121" i="11"/>
  <c r="D122" i="11"/>
  <c r="D123" i="11"/>
  <c r="D124" i="11"/>
  <c r="D125" i="11"/>
  <c r="D126" i="11"/>
  <c r="D127" i="11"/>
  <c r="D128" i="11"/>
  <c r="D129" i="11"/>
  <c r="D130" i="11"/>
  <c r="D131" i="11"/>
  <c r="D132" i="11"/>
  <c r="D133" i="11"/>
  <c r="D134" i="11"/>
  <c r="D135" i="11"/>
  <c r="D136" i="11"/>
  <c r="D137" i="11"/>
  <c r="D138" i="11"/>
  <c r="D139" i="11"/>
  <c r="D140" i="11"/>
  <c r="D141" i="11"/>
  <c r="D142" i="11"/>
  <c r="D143" i="11"/>
  <c r="D144" i="11"/>
  <c r="D145" i="11"/>
  <c r="D146" i="11"/>
  <c r="D147" i="11"/>
  <c r="D148" i="11"/>
  <c r="D149" i="11"/>
  <c r="D150" i="11"/>
  <c r="D151" i="11"/>
  <c r="D152" i="11"/>
  <c r="D153" i="11"/>
  <c r="D154" i="11"/>
  <c r="D155" i="11"/>
  <c r="D156" i="11"/>
  <c r="D157" i="11"/>
  <c r="D158" i="11"/>
  <c r="D159" i="11"/>
  <c r="D160" i="11"/>
  <c r="D161" i="11"/>
  <c r="D162" i="11"/>
  <c r="D163" i="11"/>
  <c r="D164" i="11"/>
  <c r="D165" i="11"/>
  <c r="D166" i="11"/>
  <c r="D167" i="11"/>
  <c r="D168" i="11"/>
  <c r="D169" i="11"/>
  <c r="D170" i="11"/>
  <c r="D171" i="11"/>
  <c r="D172" i="11"/>
  <c r="D173" i="11"/>
  <c r="D174" i="11"/>
  <c r="D175" i="11"/>
  <c r="D176" i="11"/>
  <c r="D177" i="11"/>
  <c r="D178" i="11"/>
  <c r="D179" i="11"/>
  <c r="D180" i="11"/>
  <c r="D181" i="11"/>
  <c r="D182" i="11"/>
  <c r="D183" i="11"/>
  <c r="D184" i="11"/>
  <c r="D185" i="11"/>
  <c r="D186" i="11"/>
  <c r="D187" i="11"/>
  <c r="D188" i="11"/>
  <c r="D189" i="11"/>
  <c r="D190" i="11"/>
  <c r="D191" i="11"/>
  <c r="D192" i="11"/>
  <c r="D193" i="11"/>
  <c r="D194" i="11"/>
  <c r="D195" i="11"/>
  <c r="D196" i="11"/>
  <c r="D197" i="11"/>
  <c r="D198" i="11"/>
  <c r="D199" i="11"/>
  <c r="D200" i="11"/>
  <c r="D201" i="11"/>
  <c r="D202" i="11"/>
  <c r="D203" i="11"/>
  <c r="D204" i="11"/>
  <c r="D205" i="11"/>
  <c r="D206" i="11"/>
  <c r="D207" i="11"/>
  <c r="D208" i="11"/>
  <c r="D209" i="11"/>
  <c r="D210" i="11"/>
  <c r="D211" i="11"/>
  <c r="D212" i="11"/>
  <c r="D213" i="11"/>
  <c r="D214" i="11"/>
  <c r="D215" i="11"/>
  <c r="D216" i="11"/>
  <c r="D217" i="11"/>
  <c r="D218" i="11"/>
  <c r="D219" i="11"/>
  <c r="D220" i="11"/>
  <c r="D221" i="11"/>
  <c r="D222" i="11"/>
  <c r="D223" i="11"/>
  <c r="D224" i="11"/>
  <c r="D225" i="11"/>
  <c r="D226" i="11"/>
  <c r="D227" i="11"/>
  <c r="D228" i="11"/>
  <c r="D229" i="11"/>
  <c r="D230" i="11"/>
  <c r="D231" i="11"/>
  <c r="D232" i="11"/>
  <c r="D233" i="11"/>
  <c r="D234" i="11"/>
  <c r="D235" i="11"/>
  <c r="D236" i="11"/>
  <c r="D237" i="11"/>
  <c r="D238" i="11"/>
  <c r="D239" i="11"/>
  <c r="D240" i="11"/>
  <c r="D241" i="11"/>
  <c r="D242" i="11"/>
  <c r="D243" i="11"/>
  <c r="D244" i="11"/>
  <c r="D245" i="11"/>
  <c r="D246" i="11"/>
  <c r="D247" i="11"/>
  <c r="D248" i="11"/>
  <c r="D249" i="11"/>
  <c r="D250" i="11"/>
  <c r="D251" i="11"/>
  <c r="D252" i="11"/>
  <c r="D253" i="11"/>
  <c r="D254" i="11"/>
  <c r="D255" i="11"/>
  <c r="D256" i="11"/>
  <c r="D257" i="11"/>
  <c r="D258" i="11"/>
  <c r="D259" i="11"/>
  <c r="D260" i="11"/>
  <c r="D261" i="11"/>
  <c r="D262" i="11"/>
  <c r="D263" i="11"/>
  <c r="D264" i="11"/>
  <c r="D265" i="11"/>
  <c r="D266" i="11"/>
  <c r="D267" i="11"/>
  <c r="D268" i="11"/>
  <c r="D269" i="11"/>
  <c r="D270" i="11"/>
  <c r="D271" i="11"/>
  <c r="D272" i="11"/>
  <c r="D273" i="11"/>
  <c r="D274" i="11"/>
  <c r="D275" i="11"/>
  <c r="D276" i="11"/>
  <c r="D277" i="11"/>
  <c r="D278" i="11"/>
  <c r="D279" i="11"/>
  <c r="D280" i="11"/>
  <c r="D281" i="11"/>
  <c r="D282" i="11"/>
  <c r="D283" i="11"/>
  <c r="D284" i="11"/>
  <c r="D285" i="11"/>
  <c r="D286" i="11"/>
  <c r="D287" i="11"/>
  <c r="D288" i="11"/>
  <c r="D289" i="11"/>
  <c r="D290" i="11"/>
  <c r="D291" i="11"/>
  <c r="D292" i="11"/>
  <c r="D293" i="11"/>
  <c r="D294" i="11"/>
  <c r="D295" i="11"/>
  <c r="D296" i="11"/>
  <c r="D297" i="11"/>
  <c r="D298" i="11"/>
  <c r="D299" i="11"/>
  <c r="D300" i="11"/>
  <c r="D301" i="11"/>
  <c r="D302" i="11"/>
  <c r="D303" i="11"/>
  <c r="D304" i="11"/>
  <c r="D305" i="11"/>
  <c r="D306" i="11"/>
  <c r="D307" i="11"/>
  <c r="D308" i="11"/>
  <c r="D309" i="11"/>
  <c r="D310" i="11"/>
  <c r="D311" i="11"/>
  <c r="D312" i="11"/>
  <c r="D313" i="11"/>
  <c r="D314" i="11"/>
  <c r="D315" i="11"/>
  <c r="D316" i="11"/>
  <c r="D317" i="11"/>
  <c r="D318" i="11"/>
  <c r="D319" i="11"/>
  <c r="D320" i="11"/>
  <c r="D321" i="11"/>
  <c r="D322" i="11"/>
  <c r="D323" i="11"/>
  <c r="D324" i="11"/>
  <c r="D325" i="11"/>
  <c r="D326" i="11"/>
  <c r="D327" i="11"/>
  <c r="D328" i="11"/>
  <c r="D329" i="11"/>
  <c r="D330" i="11"/>
  <c r="D331" i="11"/>
  <c r="D332" i="11"/>
  <c r="D333" i="11"/>
  <c r="D334" i="11"/>
  <c r="D335" i="11"/>
  <c r="D336" i="11"/>
  <c r="D337" i="11"/>
  <c r="D338" i="11"/>
  <c r="D339" i="11"/>
  <c r="D340" i="11"/>
  <c r="D341" i="11"/>
  <c r="D342" i="11"/>
  <c r="D343" i="11"/>
  <c r="D344" i="11"/>
  <c r="D345" i="11"/>
  <c r="D346" i="11"/>
  <c r="D347" i="11"/>
  <c r="D348" i="11"/>
  <c r="D349" i="11"/>
  <c r="D350" i="11"/>
  <c r="D351" i="11"/>
  <c r="D352" i="11"/>
  <c r="D353" i="11"/>
  <c r="D354" i="11"/>
  <c r="D355" i="11"/>
  <c r="D356" i="11"/>
  <c r="D357" i="11"/>
  <c r="D358" i="11"/>
  <c r="D359" i="11"/>
  <c r="D360" i="11"/>
  <c r="D361" i="11"/>
  <c r="D362" i="11"/>
  <c r="D363" i="11"/>
  <c r="D364" i="11"/>
  <c r="D365" i="11"/>
  <c r="D366" i="11"/>
  <c r="D367" i="11"/>
  <c r="D368" i="11"/>
  <c r="D369" i="11"/>
  <c r="D370" i="11"/>
  <c r="D371" i="11"/>
  <c r="D372" i="11"/>
  <c r="D373" i="11"/>
  <c r="D374" i="11"/>
  <c r="D375" i="11"/>
  <c r="D376" i="11"/>
  <c r="D377" i="11"/>
  <c r="D378" i="11"/>
  <c r="D379" i="11"/>
  <c r="D380" i="11"/>
  <c r="D381" i="11"/>
  <c r="D382" i="11"/>
  <c r="D383" i="11"/>
  <c r="D384" i="11"/>
  <c r="D385" i="11"/>
  <c r="D386" i="11"/>
  <c r="D387" i="11"/>
  <c r="D388" i="11"/>
  <c r="D389" i="11"/>
  <c r="D390" i="11"/>
  <c r="D391" i="11"/>
  <c r="D392" i="11"/>
  <c r="D393" i="11"/>
  <c r="D394" i="11"/>
  <c r="D395" i="11"/>
  <c r="D396" i="11"/>
  <c r="D397" i="11"/>
  <c r="D398" i="11"/>
  <c r="D399" i="11"/>
  <c r="D400" i="11"/>
  <c r="D401" i="11"/>
  <c r="D402" i="11"/>
  <c r="D403" i="11"/>
  <c r="D404" i="11"/>
  <c r="D405" i="11"/>
  <c r="D406" i="11"/>
  <c r="D407" i="11"/>
  <c r="D408" i="11"/>
  <c r="D409" i="11"/>
  <c r="D410" i="11"/>
  <c r="D411" i="11"/>
  <c r="D412" i="11"/>
  <c r="D413" i="11"/>
  <c r="D414" i="11"/>
  <c r="D415" i="11"/>
  <c r="D416" i="11"/>
  <c r="D417" i="11"/>
  <c r="D418" i="11"/>
  <c r="D419" i="11"/>
  <c r="D420" i="11"/>
  <c r="D421" i="11"/>
  <c r="D422" i="11"/>
  <c r="D423" i="11"/>
  <c r="D424" i="11"/>
  <c r="D425" i="11"/>
  <c r="D426" i="11"/>
  <c r="D427" i="11"/>
  <c r="D428" i="11"/>
  <c r="D429" i="11"/>
  <c r="D430" i="11"/>
  <c r="D431" i="11"/>
  <c r="D432" i="11"/>
  <c r="D433" i="11"/>
  <c r="D434" i="11"/>
  <c r="D435" i="11"/>
  <c r="D436" i="11"/>
  <c r="D437" i="11"/>
  <c r="D438" i="11"/>
  <c r="D439" i="11"/>
  <c r="D440" i="11"/>
  <c r="D441" i="11"/>
  <c r="D442" i="11"/>
  <c r="D443" i="11"/>
  <c r="D444" i="11"/>
  <c r="D445" i="11"/>
  <c r="D446" i="11"/>
  <c r="D447" i="11"/>
  <c r="D448" i="11"/>
  <c r="D449" i="11"/>
  <c r="D450" i="11"/>
  <c r="D451" i="11"/>
  <c r="D452" i="11"/>
  <c r="D453" i="11"/>
  <c r="D454" i="11"/>
  <c r="D455" i="11"/>
  <c r="D456" i="11"/>
  <c r="D457" i="11"/>
  <c r="D458" i="11"/>
  <c r="D459" i="11"/>
  <c r="D460" i="11"/>
  <c r="D461" i="11"/>
  <c r="D462" i="11"/>
  <c r="D463" i="11"/>
  <c r="D464" i="11"/>
  <c r="D465" i="11"/>
  <c r="D466" i="11"/>
  <c r="D467" i="11"/>
  <c r="D468" i="11"/>
  <c r="D469" i="11"/>
  <c r="D470" i="11"/>
  <c r="D471" i="11"/>
  <c r="D472" i="11"/>
  <c r="D473" i="11"/>
  <c r="D474" i="11"/>
  <c r="D475" i="11"/>
  <c r="D476" i="11"/>
  <c r="D477" i="11"/>
  <c r="D478" i="11"/>
  <c r="D479" i="11"/>
  <c r="D480" i="11"/>
  <c r="D481" i="11"/>
  <c r="D482" i="11"/>
  <c r="D483" i="11"/>
  <c r="D484" i="11"/>
  <c r="D485" i="11"/>
  <c r="D486" i="11"/>
  <c r="D487" i="11"/>
  <c r="D488" i="11"/>
  <c r="D489" i="11"/>
  <c r="D490" i="11"/>
  <c r="D491" i="11"/>
  <c r="D492" i="11"/>
  <c r="D493" i="11"/>
  <c r="D494" i="11"/>
  <c r="D495" i="11"/>
  <c r="D496" i="11"/>
  <c r="D497" i="11"/>
  <c r="D498" i="11"/>
  <c r="D499" i="11"/>
  <c r="D500" i="11"/>
  <c r="D501" i="11"/>
  <c r="D502" i="11"/>
  <c r="D503" i="11"/>
  <c r="D504" i="11"/>
  <c r="D505" i="11"/>
  <c r="D506" i="11"/>
  <c r="D507" i="11"/>
  <c r="D508" i="11"/>
  <c r="D509" i="11"/>
  <c r="D510" i="11"/>
  <c r="D511" i="11"/>
  <c r="D512" i="11"/>
  <c r="D513" i="11"/>
  <c r="D514" i="11"/>
  <c r="D515" i="11"/>
  <c r="D516" i="11"/>
  <c r="D517" i="11"/>
  <c r="D518" i="11"/>
  <c r="D519" i="11"/>
  <c r="D520" i="11"/>
  <c r="D521" i="11"/>
  <c r="D522" i="11"/>
  <c r="D523" i="11"/>
  <c r="D524" i="11"/>
  <c r="D525" i="11"/>
  <c r="D526" i="11"/>
  <c r="D527" i="11"/>
  <c r="D528" i="11"/>
  <c r="D529" i="11"/>
  <c r="D530" i="11"/>
  <c r="D531" i="11"/>
  <c r="D532" i="11"/>
  <c r="D533" i="11"/>
  <c r="D534" i="11"/>
  <c r="D535" i="11"/>
  <c r="D536" i="11"/>
  <c r="D537" i="11"/>
  <c r="D538" i="11"/>
  <c r="D539" i="11"/>
  <c r="D540" i="11"/>
  <c r="D541" i="11"/>
  <c r="D542" i="11"/>
  <c r="D543" i="11"/>
  <c r="D544" i="11"/>
  <c r="D545" i="11"/>
  <c r="D546" i="11"/>
  <c r="D547" i="11"/>
  <c r="D548" i="11"/>
  <c r="D549" i="11"/>
  <c r="D550" i="11"/>
  <c r="D551" i="11"/>
  <c r="D552" i="11"/>
  <c r="D553" i="11"/>
  <c r="D554" i="11"/>
  <c r="D555" i="11"/>
  <c r="D556" i="11"/>
  <c r="D557" i="11"/>
  <c r="D558" i="11"/>
  <c r="D559" i="11"/>
  <c r="D560" i="11"/>
  <c r="D561" i="11"/>
  <c r="D562" i="11"/>
  <c r="D563" i="11"/>
  <c r="D564" i="11"/>
  <c r="D565" i="11"/>
  <c r="D566" i="11"/>
  <c r="D567" i="11"/>
  <c r="D568" i="11"/>
  <c r="D569" i="11"/>
  <c r="D570" i="11"/>
  <c r="D571" i="11"/>
  <c r="D572" i="11"/>
  <c r="D573" i="11"/>
  <c r="D574" i="11"/>
  <c r="D575" i="11"/>
  <c r="D576" i="11"/>
  <c r="D577" i="11"/>
  <c r="D578" i="11"/>
  <c r="D579" i="11"/>
  <c r="D580" i="11"/>
  <c r="D581" i="11"/>
  <c r="D582" i="11"/>
  <c r="D583" i="11"/>
  <c r="D584" i="11"/>
  <c r="D585" i="11"/>
  <c r="D586" i="11"/>
  <c r="D587" i="11"/>
  <c r="D588" i="11"/>
  <c r="D589" i="11"/>
  <c r="D590" i="11"/>
  <c r="D591" i="11"/>
  <c r="D592" i="11"/>
  <c r="D593" i="11"/>
  <c r="D594" i="11"/>
  <c r="D595" i="11"/>
  <c r="D596" i="11"/>
  <c r="D597" i="11"/>
  <c r="D598" i="11"/>
  <c r="D599" i="11"/>
  <c r="D600" i="11"/>
  <c r="D601" i="11"/>
  <c r="D602" i="11"/>
  <c r="D603" i="11"/>
  <c r="D604" i="11"/>
  <c r="D605" i="11"/>
  <c r="D606" i="11"/>
  <c r="D607" i="11"/>
  <c r="D608" i="11"/>
  <c r="D609" i="11"/>
  <c r="D610" i="11"/>
  <c r="D611" i="11"/>
  <c r="D612" i="11"/>
  <c r="D613" i="11"/>
  <c r="D614" i="11"/>
  <c r="D615" i="11"/>
  <c r="D616" i="11"/>
  <c r="D617" i="11"/>
  <c r="D618" i="11"/>
  <c r="D619" i="11"/>
  <c r="D620" i="11"/>
  <c r="D621" i="11"/>
  <c r="D622" i="11"/>
  <c r="D623" i="11"/>
  <c r="D624" i="11"/>
  <c r="D625" i="11"/>
  <c r="D626" i="11"/>
  <c r="D627" i="11"/>
  <c r="D628" i="11"/>
  <c r="D629" i="11"/>
  <c r="D630" i="11"/>
  <c r="D631" i="11"/>
  <c r="D632" i="11"/>
  <c r="D633" i="11"/>
  <c r="D634" i="11"/>
  <c r="D635" i="11"/>
  <c r="D636" i="11"/>
  <c r="D637" i="11"/>
  <c r="D638" i="11"/>
  <c r="D639" i="11"/>
  <c r="D640" i="11"/>
  <c r="D641" i="11"/>
  <c r="D642" i="11"/>
  <c r="D643" i="11"/>
  <c r="D644" i="11"/>
  <c r="D645" i="11"/>
  <c r="D646" i="11"/>
  <c r="D647" i="11"/>
  <c r="D648" i="11"/>
  <c r="D649" i="11"/>
  <c r="D650" i="11"/>
  <c r="D651" i="11"/>
  <c r="D652" i="11"/>
  <c r="D653" i="11"/>
  <c r="D654" i="11"/>
  <c r="D655" i="11"/>
  <c r="D656" i="11"/>
  <c r="D657" i="11"/>
  <c r="D658" i="11"/>
  <c r="D659" i="11"/>
  <c r="D660" i="11"/>
  <c r="D661" i="11"/>
  <c r="D662" i="11"/>
  <c r="D663" i="11"/>
  <c r="D664" i="11"/>
  <c r="D665" i="11"/>
  <c r="D666" i="11"/>
  <c r="D667" i="11"/>
  <c r="D668" i="11"/>
  <c r="D669" i="11"/>
  <c r="D670" i="11"/>
  <c r="D671" i="11"/>
  <c r="D672" i="11"/>
  <c r="D673" i="11"/>
  <c r="D674" i="11"/>
  <c r="D675" i="11"/>
  <c r="D676" i="11"/>
  <c r="D677" i="11"/>
  <c r="D678" i="11"/>
  <c r="D679" i="11"/>
  <c r="D680" i="11"/>
  <c r="D681" i="11"/>
  <c r="D682" i="11"/>
  <c r="D683" i="11"/>
  <c r="D684" i="11"/>
  <c r="D685" i="11"/>
  <c r="D686" i="11"/>
  <c r="D687" i="11"/>
  <c r="D688" i="11"/>
  <c r="D689" i="11"/>
  <c r="D690" i="11"/>
  <c r="D691" i="11"/>
  <c r="D692" i="11"/>
  <c r="D693" i="11"/>
  <c r="D694" i="11"/>
  <c r="D695" i="11"/>
  <c r="D696" i="11"/>
  <c r="D697" i="11"/>
  <c r="D698" i="11"/>
  <c r="D699" i="11"/>
  <c r="D700" i="11"/>
  <c r="D701" i="11"/>
  <c r="D702" i="11"/>
  <c r="D703" i="11"/>
  <c r="D704" i="11"/>
  <c r="D705" i="11"/>
  <c r="D706" i="11"/>
  <c r="D707" i="11"/>
  <c r="D708" i="11"/>
  <c r="D709" i="11"/>
  <c r="D710" i="11"/>
  <c r="D711" i="11"/>
  <c r="D712" i="11"/>
  <c r="D713" i="11"/>
  <c r="D714" i="11"/>
  <c r="D715" i="11"/>
  <c r="D716" i="11"/>
  <c r="D717" i="11"/>
  <c r="D718" i="11"/>
  <c r="D719" i="11"/>
  <c r="D720" i="11"/>
  <c r="D721" i="11"/>
  <c r="D722" i="11"/>
  <c r="D723" i="11"/>
  <c r="D724" i="11"/>
  <c r="D725" i="11"/>
  <c r="D726" i="11"/>
  <c r="D727" i="11"/>
  <c r="D728" i="11"/>
  <c r="D729" i="11"/>
  <c r="D730" i="11"/>
  <c r="D731" i="11"/>
  <c r="D732" i="11"/>
  <c r="D733" i="11"/>
  <c r="D734" i="11"/>
  <c r="D735" i="11"/>
  <c r="D736" i="11"/>
  <c r="D737" i="11"/>
  <c r="D738" i="11"/>
  <c r="D739" i="11"/>
  <c r="D740" i="11"/>
  <c r="D741" i="11"/>
  <c r="D742" i="11"/>
  <c r="D743" i="11"/>
  <c r="D744" i="11"/>
  <c r="D745" i="11"/>
  <c r="D746" i="11"/>
  <c r="D747" i="11"/>
  <c r="D748" i="11"/>
  <c r="D749" i="11"/>
  <c r="D750" i="11"/>
  <c r="D751" i="11"/>
  <c r="D752" i="11"/>
  <c r="D753" i="11"/>
  <c r="D754" i="11"/>
  <c r="D755" i="11"/>
  <c r="D756" i="11"/>
  <c r="D757" i="11"/>
  <c r="D758" i="11"/>
  <c r="D759" i="11"/>
  <c r="D760" i="11"/>
  <c r="D761" i="11"/>
  <c r="D762" i="11"/>
  <c r="D763" i="11"/>
  <c r="D764" i="11"/>
  <c r="D765" i="11"/>
  <c r="D766" i="11"/>
  <c r="D767" i="11"/>
  <c r="D768" i="11"/>
  <c r="D769" i="11"/>
  <c r="D770" i="11"/>
  <c r="D771" i="11"/>
  <c r="D772" i="11"/>
  <c r="D773" i="11"/>
  <c r="D774" i="11"/>
  <c r="D775" i="11"/>
  <c r="D776" i="11"/>
  <c r="D777" i="11"/>
  <c r="D778" i="11"/>
  <c r="D779" i="11"/>
  <c r="D780" i="11"/>
  <c r="D781" i="11"/>
  <c r="D782" i="11"/>
  <c r="D783" i="11"/>
  <c r="D784" i="11"/>
  <c r="D785" i="11"/>
  <c r="D786" i="11"/>
  <c r="D787" i="11"/>
  <c r="D788" i="11"/>
  <c r="D789" i="11"/>
  <c r="D790" i="11"/>
  <c r="D791" i="11"/>
  <c r="D792" i="11"/>
  <c r="D793" i="11"/>
  <c r="D794" i="11"/>
  <c r="D795" i="11"/>
  <c r="D796" i="11"/>
  <c r="D797" i="11"/>
  <c r="D798" i="11"/>
  <c r="D799" i="11"/>
  <c r="D800" i="11"/>
  <c r="D801" i="11"/>
  <c r="D802" i="11"/>
  <c r="D803" i="11"/>
  <c r="D804" i="11"/>
  <c r="D805" i="11"/>
  <c r="D806" i="11"/>
  <c r="D807" i="11"/>
  <c r="D808" i="11"/>
  <c r="D809" i="11"/>
  <c r="D810" i="11"/>
  <c r="D811" i="11"/>
  <c r="D812" i="11"/>
  <c r="D813" i="11"/>
  <c r="D814" i="11"/>
  <c r="D815" i="11"/>
  <c r="D816" i="11"/>
  <c r="D817" i="11"/>
  <c r="D818" i="11"/>
  <c r="D819" i="11"/>
  <c r="D820" i="11"/>
  <c r="D821" i="11"/>
  <c r="D822" i="11"/>
  <c r="D823" i="11"/>
  <c r="D824" i="11"/>
  <c r="D825" i="11"/>
  <c r="D826" i="11"/>
  <c r="D827" i="11"/>
  <c r="D828" i="11"/>
  <c r="D829" i="11"/>
  <c r="D830" i="11"/>
  <c r="D831" i="11"/>
  <c r="D832" i="11"/>
  <c r="D833" i="11"/>
  <c r="D834" i="11"/>
  <c r="D835" i="11"/>
  <c r="D836" i="11"/>
  <c r="D837" i="11"/>
  <c r="D838" i="11"/>
  <c r="D839" i="11"/>
  <c r="D840" i="11"/>
  <c r="D841" i="11"/>
  <c r="D842" i="11"/>
  <c r="D843" i="11"/>
  <c r="D844" i="11"/>
  <c r="D845" i="11"/>
  <c r="D846" i="11"/>
  <c r="D847" i="11"/>
  <c r="D848" i="11"/>
  <c r="D849" i="11"/>
  <c r="D850" i="11"/>
  <c r="D851" i="11"/>
  <c r="D852" i="11"/>
  <c r="D853" i="11"/>
  <c r="D854" i="11"/>
  <c r="D855" i="11"/>
  <c r="D856" i="11"/>
  <c r="D857" i="11"/>
  <c r="D858" i="11"/>
  <c r="D859" i="11"/>
  <c r="D860" i="11"/>
  <c r="D861" i="11"/>
  <c r="D862" i="11"/>
  <c r="D863" i="11"/>
  <c r="D864" i="11"/>
  <c r="D865" i="11"/>
  <c r="D866" i="11"/>
  <c r="D867" i="11"/>
  <c r="D868" i="11"/>
  <c r="D869" i="11"/>
  <c r="D870" i="11"/>
  <c r="D871" i="11"/>
  <c r="D872" i="11"/>
  <c r="D873" i="11"/>
  <c r="D874" i="11"/>
  <c r="D875" i="11"/>
  <c r="D876" i="11"/>
  <c r="D877" i="11"/>
  <c r="D878" i="11"/>
  <c r="D879" i="11"/>
  <c r="D880" i="11"/>
  <c r="D881" i="11"/>
  <c r="D882" i="11"/>
  <c r="D883" i="11"/>
  <c r="D884" i="11"/>
  <c r="D885" i="11"/>
  <c r="D886" i="11"/>
  <c r="D887" i="11"/>
  <c r="D888" i="11"/>
  <c r="D889" i="11"/>
  <c r="D890" i="11"/>
  <c r="D891" i="11"/>
  <c r="D892" i="11"/>
  <c r="D893" i="11"/>
  <c r="D894" i="11"/>
  <c r="D895" i="11"/>
  <c r="D896" i="11"/>
  <c r="D897" i="11"/>
  <c r="D898" i="11"/>
  <c r="D899" i="11"/>
  <c r="D900" i="11"/>
  <c r="D901" i="11"/>
  <c r="D902" i="11"/>
  <c r="D903" i="11"/>
  <c r="D904" i="11"/>
  <c r="D905" i="11"/>
  <c r="D906" i="11"/>
  <c r="D907" i="11"/>
  <c r="D908" i="11"/>
  <c r="D909" i="11"/>
  <c r="D910" i="11"/>
  <c r="D911" i="11"/>
  <c r="D912" i="11"/>
  <c r="D913" i="11"/>
  <c r="D914" i="11"/>
  <c r="D915" i="11"/>
  <c r="D916" i="11"/>
  <c r="D917" i="11"/>
  <c r="D918" i="11"/>
  <c r="D919" i="11"/>
  <c r="D920" i="11"/>
  <c r="D921" i="11"/>
  <c r="D922" i="11"/>
  <c r="D923" i="11"/>
  <c r="D924" i="11"/>
  <c r="D925" i="11"/>
  <c r="D926" i="11"/>
  <c r="D927" i="11"/>
  <c r="D928" i="11"/>
  <c r="D929" i="11"/>
  <c r="D930" i="11"/>
  <c r="D931" i="11"/>
  <c r="D932" i="11"/>
  <c r="D933" i="11"/>
  <c r="D934" i="11"/>
  <c r="D935" i="11"/>
  <c r="D936" i="11"/>
  <c r="D937" i="11"/>
  <c r="D938" i="11"/>
  <c r="D939" i="11"/>
  <c r="D940" i="11"/>
  <c r="D941" i="11"/>
  <c r="D942" i="11"/>
  <c r="D943" i="11"/>
  <c r="D944" i="11"/>
  <c r="D945" i="11"/>
  <c r="D946" i="11"/>
  <c r="D947" i="11"/>
  <c r="D948" i="11"/>
  <c r="D949" i="11"/>
  <c r="D950" i="11"/>
  <c r="D951" i="11"/>
  <c r="D952" i="11"/>
  <c r="D953" i="11"/>
  <c r="D954" i="11"/>
  <c r="D955" i="11"/>
  <c r="D956" i="11"/>
  <c r="D957" i="11"/>
  <c r="D958" i="11"/>
  <c r="D959" i="11"/>
  <c r="D960" i="11"/>
  <c r="D961" i="11"/>
  <c r="D962" i="11"/>
  <c r="D963" i="11"/>
  <c r="D964" i="11"/>
  <c r="D965" i="11"/>
  <c r="D966" i="11"/>
  <c r="D967" i="11"/>
  <c r="D968" i="11"/>
  <c r="D969" i="11"/>
  <c r="D970" i="11"/>
  <c r="D971" i="11"/>
  <c r="D972" i="11"/>
  <c r="D973" i="11"/>
  <c r="D974" i="11"/>
  <c r="D975" i="11"/>
  <c r="D976" i="11"/>
  <c r="D977" i="11"/>
  <c r="D978" i="11"/>
  <c r="D979" i="11"/>
  <c r="D980" i="11"/>
  <c r="D981" i="11"/>
  <c r="D982" i="11"/>
  <c r="D983" i="11"/>
  <c r="D984" i="11"/>
  <c r="D985" i="11"/>
  <c r="D986" i="11"/>
  <c r="D987" i="11"/>
  <c r="D988" i="11"/>
  <c r="D989" i="11"/>
  <c r="D990" i="11"/>
  <c r="D991" i="11"/>
  <c r="D992" i="11"/>
  <c r="D993" i="11"/>
  <c r="D994" i="11"/>
  <c r="D995" i="11"/>
  <c r="D996" i="11"/>
  <c r="D997" i="11"/>
  <c r="D998" i="11"/>
  <c r="D999" i="11"/>
  <c r="D1000" i="11"/>
  <c r="D1001" i="11"/>
  <c r="I2" i="11"/>
  <c r="I3" i="11"/>
  <c r="I4" i="11"/>
  <c r="I5" i="11"/>
  <c r="I6" i="11"/>
  <c r="I7" i="11"/>
  <c r="I8" i="11"/>
  <c r="I9" i="11"/>
  <c r="I10" i="11"/>
  <c r="I11" i="11"/>
  <c r="I12" i="11"/>
  <c r="I13" i="11"/>
  <c r="I14" i="11"/>
  <c r="I15" i="11"/>
  <c r="I16" i="11"/>
  <c r="I17" i="11"/>
  <c r="I18" i="11"/>
  <c r="I19" i="11"/>
  <c r="I20" i="11"/>
  <c r="I21" i="11"/>
  <c r="I22" i="11"/>
  <c r="I23" i="11"/>
  <c r="I24" i="11"/>
  <c r="I25" i="11"/>
  <c r="I26" i="11"/>
  <c r="I27" i="11"/>
  <c r="I28" i="11"/>
  <c r="I29" i="11"/>
  <c r="I30" i="11"/>
  <c r="I31" i="11"/>
  <c r="I32" i="11"/>
  <c r="I33" i="11"/>
  <c r="I34" i="11"/>
  <c r="I35" i="11"/>
  <c r="I36" i="11"/>
  <c r="I37" i="11"/>
  <c r="I38" i="11"/>
  <c r="I39" i="11"/>
  <c r="I40" i="11"/>
  <c r="I41" i="11"/>
  <c r="I42" i="11"/>
  <c r="I43" i="11"/>
  <c r="I44" i="11"/>
  <c r="I45" i="11"/>
  <c r="I46" i="11"/>
  <c r="I47" i="11"/>
  <c r="I48" i="11"/>
  <c r="I49" i="11"/>
  <c r="I50" i="11"/>
  <c r="I51" i="11"/>
  <c r="I52" i="11"/>
  <c r="I53" i="11"/>
  <c r="I54" i="11"/>
  <c r="I55" i="11"/>
  <c r="I56" i="11"/>
  <c r="I57" i="11"/>
  <c r="I58" i="11"/>
  <c r="I59" i="11"/>
  <c r="I60" i="11"/>
  <c r="I61" i="11"/>
  <c r="I62" i="11"/>
  <c r="I63" i="11"/>
  <c r="I64" i="11"/>
  <c r="I65" i="11"/>
  <c r="I66" i="11"/>
  <c r="I67" i="11"/>
  <c r="I68" i="11"/>
  <c r="I69" i="11"/>
  <c r="I70" i="11"/>
  <c r="I71" i="11"/>
  <c r="I72" i="11"/>
  <c r="I73" i="11"/>
  <c r="I74" i="11"/>
  <c r="I75" i="11"/>
  <c r="I76" i="11"/>
  <c r="I77" i="11"/>
  <c r="I78" i="11"/>
  <c r="I79" i="11"/>
  <c r="I80" i="11"/>
  <c r="I81" i="11"/>
  <c r="I82" i="11"/>
  <c r="I83" i="11"/>
  <c r="I84" i="11"/>
  <c r="I85" i="11"/>
  <c r="I86" i="11"/>
  <c r="I87" i="11"/>
  <c r="I88" i="11"/>
  <c r="I89" i="11"/>
  <c r="I90" i="11"/>
  <c r="I91" i="11"/>
  <c r="I92" i="11"/>
  <c r="I93" i="11"/>
  <c r="I94" i="11"/>
  <c r="I95" i="11"/>
  <c r="I96" i="11"/>
  <c r="I97" i="11"/>
  <c r="I98" i="11"/>
  <c r="I99" i="11"/>
  <c r="I100" i="11"/>
  <c r="I101" i="11"/>
  <c r="I102" i="11"/>
  <c r="I103" i="11"/>
  <c r="I104" i="11"/>
  <c r="I105" i="11"/>
  <c r="I106" i="11"/>
  <c r="I107" i="11"/>
  <c r="I108" i="11"/>
  <c r="I109" i="11"/>
  <c r="I110" i="11"/>
  <c r="I111" i="11"/>
  <c r="I112" i="11"/>
  <c r="I113" i="11"/>
  <c r="I114" i="11"/>
  <c r="I115" i="11"/>
  <c r="I116" i="11"/>
  <c r="I117" i="11"/>
  <c r="I118" i="11"/>
  <c r="I119" i="11"/>
  <c r="I120" i="11"/>
  <c r="I121" i="11"/>
  <c r="I122" i="11"/>
  <c r="I123" i="11"/>
  <c r="I124" i="11"/>
  <c r="I125" i="11"/>
  <c r="I126" i="11"/>
  <c r="I127" i="11"/>
  <c r="I128" i="11"/>
  <c r="I129" i="11"/>
  <c r="I130" i="11"/>
  <c r="I131" i="11"/>
  <c r="I132" i="11"/>
  <c r="I133" i="11"/>
  <c r="I134" i="11"/>
  <c r="I135" i="11"/>
  <c r="I136" i="11"/>
  <c r="I137" i="11"/>
  <c r="I138" i="11"/>
  <c r="I139" i="11"/>
  <c r="I140" i="11"/>
  <c r="I141" i="11"/>
  <c r="I142" i="11"/>
  <c r="I143" i="11"/>
  <c r="I144" i="11"/>
  <c r="I145" i="11"/>
  <c r="I146" i="11"/>
  <c r="I147" i="11"/>
  <c r="I148" i="11"/>
  <c r="I149" i="11"/>
  <c r="I150" i="11"/>
  <c r="I151" i="11"/>
  <c r="I152" i="11"/>
  <c r="I153" i="11"/>
  <c r="I154" i="11"/>
  <c r="I155" i="11"/>
  <c r="I156" i="11"/>
  <c r="I157" i="11"/>
  <c r="I158" i="11"/>
  <c r="I159" i="11"/>
  <c r="I160" i="11"/>
  <c r="I161" i="11"/>
  <c r="I162" i="11"/>
  <c r="I163" i="11"/>
  <c r="I164" i="11"/>
  <c r="I165" i="11"/>
  <c r="I166" i="11"/>
  <c r="I167" i="11"/>
  <c r="I168" i="11"/>
  <c r="I169" i="11"/>
  <c r="I170" i="11"/>
  <c r="I171" i="11"/>
  <c r="I172" i="11"/>
  <c r="I173" i="11"/>
  <c r="I174" i="11"/>
  <c r="I175" i="11"/>
  <c r="I176" i="11"/>
  <c r="I177" i="11"/>
  <c r="I178" i="11"/>
  <c r="I179" i="11"/>
  <c r="I180" i="11"/>
  <c r="I181" i="11"/>
  <c r="I182" i="11"/>
  <c r="I183" i="11"/>
  <c r="I184" i="11"/>
  <c r="I185" i="11"/>
  <c r="I186" i="11"/>
  <c r="I187" i="11"/>
  <c r="I188" i="11"/>
  <c r="I189" i="11"/>
  <c r="I190" i="11"/>
  <c r="I191" i="11"/>
  <c r="I192" i="11"/>
  <c r="I193" i="11"/>
  <c r="I194" i="11"/>
  <c r="I195" i="11"/>
  <c r="I196" i="11"/>
  <c r="I197" i="11"/>
  <c r="I198" i="11"/>
  <c r="I199" i="11"/>
  <c r="I200" i="11"/>
  <c r="I201" i="11"/>
  <c r="I202" i="11"/>
  <c r="I203" i="11"/>
  <c r="I204" i="11"/>
  <c r="I205" i="11"/>
  <c r="I206" i="11"/>
  <c r="I207" i="11"/>
  <c r="I208" i="11"/>
  <c r="I209" i="11"/>
  <c r="I210" i="11"/>
  <c r="I211" i="11"/>
  <c r="I212" i="11"/>
  <c r="I213" i="11"/>
  <c r="I214" i="11"/>
  <c r="I215" i="11"/>
  <c r="I216" i="11"/>
  <c r="I217" i="11"/>
  <c r="I218" i="11"/>
  <c r="I219" i="11"/>
  <c r="I220" i="11"/>
  <c r="I221" i="11"/>
  <c r="I222" i="11"/>
  <c r="I223" i="11"/>
  <c r="I224" i="11"/>
  <c r="I225" i="11"/>
  <c r="I226" i="11"/>
  <c r="I227" i="11"/>
  <c r="I228" i="11"/>
  <c r="I229" i="11"/>
  <c r="I230" i="11"/>
  <c r="I231" i="11"/>
  <c r="I232" i="11"/>
  <c r="I233" i="11"/>
  <c r="I234" i="11"/>
  <c r="I235" i="11"/>
  <c r="I236" i="11"/>
  <c r="I237" i="11"/>
  <c r="I238" i="11"/>
  <c r="I239" i="11"/>
  <c r="I240" i="11"/>
  <c r="I241" i="11"/>
  <c r="I242" i="11"/>
  <c r="I243" i="11"/>
  <c r="I244" i="11"/>
  <c r="I245" i="11"/>
  <c r="I246" i="11"/>
  <c r="I247" i="11"/>
  <c r="I248" i="11"/>
  <c r="I249" i="11"/>
  <c r="I250" i="11"/>
  <c r="I251" i="11"/>
  <c r="I252" i="11"/>
  <c r="I253" i="11"/>
  <c r="I254" i="11"/>
  <c r="I255" i="11"/>
  <c r="I256" i="11"/>
  <c r="I257" i="11"/>
  <c r="I258" i="11"/>
  <c r="I259" i="11"/>
  <c r="I260" i="11"/>
  <c r="I261" i="11"/>
  <c r="I262" i="11"/>
  <c r="I263" i="11"/>
  <c r="I264" i="11"/>
  <c r="I265" i="11"/>
  <c r="I266" i="11"/>
  <c r="I267" i="11"/>
  <c r="I268" i="11"/>
  <c r="I269" i="11"/>
  <c r="I270" i="11"/>
  <c r="I271" i="11"/>
  <c r="I272" i="11"/>
  <c r="I273" i="11"/>
  <c r="I274" i="11"/>
  <c r="I275" i="11"/>
  <c r="I276" i="11"/>
  <c r="I277" i="11"/>
  <c r="I278" i="11"/>
  <c r="I279" i="11"/>
  <c r="I280" i="11"/>
  <c r="I281" i="11"/>
  <c r="I282" i="11"/>
  <c r="I283" i="11"/>
  <c r="I284" i="11"/>
  <c r="I285" i="11"/>
  <c r="I286" i="11"/>
  <c r="I287" i="11"/>
  <c r="I288" i="11"/>
  <c r="I289" i="11"/>
  <c r="I290" i="11"/>
  <c r="I291" i="11"/>
  <c r="I292" i="11"/>
  <c r="I293" i="11"/>
  <c r="I294" i="11"/>
  <c r="I295" i="11"/>
  <c r="I296" i="11"/>
  <c r="I297" i="11"/>
  <c r="I298" i="11"/>
  <c r="I299" i="11"/>
  <c r="I300" i="11"/>
  <c r="I301" i="11"/>
  <c r="I302" i="11"/>
  <c r="I303" i="11"/>
  <c r="I304" i="11"/>
  <c r="I305" i="11"/>
  <c r="I306" i="11"/>
  <c r="I307" i="11"/>
  <c r="I308" i="11"/>
  <c r="I309" i="11"/>
  <c r="I310" i="11"/>
  <c r="I311" i="11"/>
  <c r="I312" i="11"/>
  <c r="I313" i="11"/>
  <c r="I314" i="11"/>
  <c r="I315" i="11"/>
  <c r="I316" i="11"/>
  <c r="I317" i="11"/>
  <c r="I318" i="11"/>
  <c r="I319" i="11"/>
  <c r="I320" i="11"/>
  <c r="I321" i="11"/>
  <c r="I322" i="11"/>
  <c r="I323" i="11"/>
  <c r="I324" i="11"/>
  <c r="I325" i="11"/>
  <c r="I326" i="11"/>
  <c r="I327" i="11"/>
  <c r="I328" i="11"/>
  <c r="I329" i="11"/>
  <c r="I330" i="11"/>
  <c r="I331" i="11"/>
  <c r="I332" i="11"/>
  <c r="I333" i="11"/>
  <c r="I334" i="11"/>
  <c r="I335" i="11"/>
  <c r="I336" i="11"/>
  <c r="I337" i="11"/>
  <c r="I338" i="11"/>
  <c r="I339" i="11"/>
  <c r="I340" i="11"/>
  <c r="I341" i="11"/>
  <c r="I342" i="11"/>
  <c r="I343" i="11"/>
  <c r="I344" i="11"/>
  <c r="I345" i="11"/>
  <c r="I346" i="11"/>
  <c r="I347" i="11"/>
  <c r="I348" i="11"/>
  <c r="I349" i="11"/>
  <c r="I350" i="11"/>
  <c r="I351" i="11"/>
  <c r="I352" i="11"/>
  <c r="I353" i="11"/>
  <c r="I354" i="11"/>
  <c r="I355" i="11"/>
  <c r="I356" i="11"/>
  <c r="I357" i="11"/>
  <c r="I358" i="11"/>
  <c r="I359" i="11"/>
  <c r="I360" i="11"/>
  <c r="I361" i="11"/>
  <c r="I362" i="11"/>
  <c r="I363" i="11"/>
  <c r="I364" i="11"/>
  <c r="I365" i="11"/>
  <c r="I366" i="11"/>
  <c r="I367" i="11"/>
  <c r="I368" i="11"/>
  <c r="I369" i="11"/>
  <c r="I370" i="11"/>
  <c r="I371" i="11"/>
  <c r="I372" i="11"/>
  <c r="I373" i="11"/>
  <c r="I374" i="11"/>
  <c r="I375" i="11"/>
  <c r="I376" i="11"/>
  <c r="I377" i="11"/>
  <c r="I378" i="11"/>
  <c r="I379" i="11"/>
  <c r="I380" i="11"/>
  <c r="I381" i="11"/>
  <c r="I382" i="11"/>
  <c r="I383" i="11"/>
  <c r="I384" i="11"/>
  <c r="I385" i="11"/>
  <c r="I386" i="11"/>
  <c r="I387" i="11"/>
  <c r="I388" i="11"/>
  <c r="I389" i="11"/>
  <c r="I390" i="11"/>
  <c r="I391" i="11"/>
  <c r="I392" i="11"/>
  <c r="I393" i="11"/>
  <c r="I394" i="11"/>
  <c r="I395" i="11"/>
  <c r="I396" i="11"/>
  <c r="I397" i="11"/>
  <c r="I398" i="11"/>
  <c r="I399" i="11"/>
  <c r="I400" i="11"/>
  <c r="I401" i="11"/>
  <c r="I402" i="11"/>
  <c r="I403" i="11"/>
  <c r="I404" i="11"/>
  <c r="I405" i="11"/>
  <c r="I406" i="11"/>
  <c r="I407" i="11"/>
  <c r="I408" i="11"/>
  <c r="I409" i="11"/>
  <c r="I410" i="11"/>
  <c r="I411" i="11"/>
  <c r="I412" i="11"/>
  <c r="I413" i="11"/>
  <c r="I414" i="11"/>
  <c r="I415" i="11"/>
  <c r="I416" i="11"/>
  <c r="I417" i="11"/>
  <c r="I418" i="11"/>
  <c r="I419" i="11"/>
  <c r="I420" i="11"/>
  <c r="I421" i="11"/>
  <c r="I422" i="11"/>
  <c r="I423" i="11"/>
  <c r="I424" i="11"/>
  <c r="I425" i="11"/>
  <c r="I426" i="11"/>
  <c r="I427" i="11"/>
  <c r="I428" i="11"/>
  <c r="I429" i="11"/>
  <c r="I430" i="11"/>
  <c r="I431" i="11"/>
  <c r="I432" i="11"/>
  <c r="I433" i="11"/>
  <c r="I434" i="11"/>
  <c r="I435" i="11"/>
  <c r="I436" i="11"/>
  <c r="I437" i="11"/>
  <c r="I438" i="11"/>
  <c r="I439" i="11"/>
  <c r="I440" i="11"/>
  <c r="I441" i="11"/>
  <c r="I442" i="11"/>
  <c r="I443" i="11"/>
  <c r="I444" i="11"/>
  <c r="I445" i="11"/>
  <c r="I446" i="11"/>
  <c r="I447" i="11"/>
  <c r="I448" i="11"/>
  <c r="I449" i="11"/>
  <c r="I450" i="11"/>
  <c r="I451" i="11"/>
  <c r="I452" i="11"/>
  <c r="I453" i="11"/>
  <c r="I454" i="11"/>
  <c r="I455" i="11"/>
  <c r="I456" i="11"/>
  <c r="I457" i="11"/>
  <c r="I458" i="11"/>
  <c r="I459" i="11"/>
  <c r="I460" i="11"/>
  <c r="I461" i="11"/>
  <c r="I462" i="11"/>
  <c r="I463" i="11"/>
  <c r="I464" i="11"/>
  <c r="I465" i="11"/>
  <c r="I466" i="11"/>
  <c r="I467" i="11"/>
  <c r="I468" i="11"/>
  <c r="I469" i="11"/>
  <c r="I470" i="11"/>
  <c r="I471" i="11"/>
  <c r="I472" i="11"/>
  <c r="I473" i="11"/>
  <c r="I474" i="11"/>
  <c r="I475" i="11"/>
  <c r="I476" i="11"/>
  <c r="I477" i="11"/>
  <c r="I478" i="11"/>
  <c r="I479" i="11"/>
  <c r="I480" i="11"/>
  <c r="I481" i="11"/>
  <c r="I482" i="11"/>
  <c r="I483" i="11"/>
  <c r="I484" i="11"/>
  <c r="I485" i="11"/>
  <c r="I486" i="11"/>
  <c r="I487" i="11"/>
  <c r="I488" i="11"/>
  <c r="I489" i="11"/>
  <c r="I490" i="11"/>
  <c r="I491" i="11"/>
  <c r="I492" i="11"/>
  <c r="I493" i="11"/>
  <c r="I494" i="11"/>
  <c r="I495" i="11"/>
  <c r="I496" i="11"/>
  <c r="I497" i="11"/>
  <c r="I498" i="11"/>
  <c r="I499" i="11"/>
  <c r="I500" i="11"/>
  <c r="I501" i="11"/>
  <c r="I502" i="11"/>
  <c r="I503" i="11"/>
  <c r="I504" i="11"/>
  <c r="I505" i="11"/>
  <c r="I506" i="11"/>
  <c r="I507" i="11"/>
  <c r="I508" i="11"/>
  <c r="I509" i="11"/>
  <c r="I510" i="11"/>
  <c r="I511" i="11"/>
  <c r="I512" i="11"/>
  <c r="I513" i="11"/>
  <c r="I514" i="11"/>
  <c r="I515" i="11"/>
  <c r="I516" i="11"/>
  <c r="I517" i="11"/>
  <c r="I518" i="11"/>
  <c r="I519" i="11"/>
  <c r="I520" i="11"/>
  <c r="I521" i="11"/>
  <c r="I522" i="11"/>
  <c r="I523" i="11"/>
  <c r="I524" i="11"/>
  <c r="I525" i="11"/>
  <c r="I526" i="11"/>
  <c r="I527" i="11"/>
  <c r="I528" i="11"/>
  <c r="I529" i="11"/>
  <c r="I530" i="11"/>
  <c r="I531" i="11"/>
  <c r="I532" i="11"/>
  <c r="I533" i="11"/>
  <c r="I534" i="11"/>
  <c r="I535" i="11"/>
  <c r="I536" i="11"/>
  <c r="I537" i="11"/>
  <c r="I538" i="11"/>
  <c r="I539" i="11"/>
  <c r="I540" i="11"/>
  <c r="I541" i="11"/>
  <c r="I542" i="11"/>
  <c r="I543" i="11"/>
  <c r="I544" i="11"/>
  <c r="I545" i="11"/>
  <c r="I546" i="11"/>
  <c r="I547" i="11"/>
  <c r="I548" i="11"/>
  <c r="I549" i="11"/>
  <c r="I550" i="11"/>
  <c r="I551" i="11"/>
  <c r="I552" i="11"/>
  <c r="I553" i="11"/>
  <c r="I554" i="11"/>
  <c r="I555" i="11"/>
  <c r="I556" i="11"/>
  <c r="I557" i="11"/>
  <c r="I558" i="11"/>
  <c r="I559" i="11"/>
  <c r="I560" i="11"/>
  <c r="I561" i="11"/>
  <c r="I562" i="11"/>
  <c r="I563" i="11"/>
  <c r="I564" i="11"/>
  <c r="I565" i="11"/>
  <c r="I566" i="11"/>
  <c r="I567" i="11"/>
  <c r="I568" i="11"/>
  <c r="I569" i="11"/>
  <c r="I570" i="11"/>
  <c r="I571" i="11"/>
  <c r="I572" i="11"/>
  <c r="I573" i="11"/>
  <c r="I574" i="11"/>
  <c r="I575" i="11"/>
  <c r="I576" i="11"/>
  <c r="I577" i="11"/>
  <c r="I578" i="11"/>
  <c r="I579" i="11"/>
  <c r="I580" i="11"/>
  <c r="I581" i="11"/>
  <c r="I582" i="11"/>
  <c r="I583" i="11"/>
  <c r="I584" i="11"/>
  <c r="I585" i="11"/>
  <c r="I586" i="11"/>
  <c r="I587" i="11"/>
  <c r="I588" i="11"/>
  <c r="I589" i="11"/>
  <c r="I590" i="11"/>
  <c r="I591" i="11"/>
  <c r="I592" i="11"/>
  <c r="I593" i="11"/>
  <c r="I594" i="11"/>
  <c r="I595" i="11"/>
  <c r="I596" i="11"/>
  <c r="I597" i="11"/>
  <c r="I598" i="11"/>
  <c r="I599" i="11"/>
  <c r="I600" i="11"/>
  <c r="I601" i="11"/>
  <c r="I602" i="11"/>
  <c r="I603" i="11"/>
  <c r="I604" i="11"/>
  <c r="I605" i="11"/>
  <c r="I606" i="11"/>
  <c r="I607" i="11"/>
  <c r="I608" i="11"/>
  <c r="I609" i="11"/>
  <c r="I610" i="11"/>
  <c r="I611" i="11"/>
  <c r="I612" i="11"/>
  <c r="I613" i="11"/>
  <c r="I614" i="11"/>
  <c r="I615" i="11"/>
  <c r="I616" i="11"/>
  <c r="I617" i="11"/>
  <c r="I618" i="11"/>
  <c r="I619" i="11"/>
  <c r="I620" i="11"/>
  <c r="I621" i="11"/>
  <c r="I622" i="11"/>
  <c r="I623" i="11"/>
  <c r="I624" i="11"/>
  <c r="I625" i="11"/>
  <c r="I626" i="11"/>
  <c r="I627" i="11"/>
  <c r="I628" i="11"/>
  <c r="I629" i="11"/>
  <c r="I630" i="11"/>
  <c r="I631" i="11"/>
  <c r="I632" i="11"/>
  <c r="I633" i="11"/>
  <c r="I634" i="11"/>
  <c r="I635" i="11"/>
  <c r="I636" i="11"/>
  <c r="I637" i="11"/>
  <c r="I638" i="11"/>
  <c r="I639" i="11"/>
  <c r="I640" i="11"/>
  <c r="I641" i="11"/>
  <c r="I642" i="11"/>
  <c r="I643" i="11"/>
  <c r="I644" i="11"/>
  <c r="I645" i="11"/>
  <c r="I646" i="11"/>
  <c r="I647" i="11"/>
  <c r="I648" i="11"/>
  <c r="I649" i="11"/>
  <c r="I650" i="11"/>
  <c r="I651" i="11"/>
  <c r="I652" i="11"/>
  <c r="I653" i="11"/>
  <c r="I654" i="11"/>
  <c r="I655" i="11"/>
  <c r="I656" i="11"/>
  <c r="I657" i="11"/>
  <c r="I658" i="11"/>
  <c r="I659" i="11"/>
  <c r="I660" i="11"/>
  <c r="I661" i="11"/>
  <c r="I662" i="11"/>
  <c r="I663" i="11"/>
  <c r="I664" i="11"/>
  <c r="I665" i="11"/>
  <c r="I666" i="11"/>
  <c r="I667" i="11"/>
  <c r="I668" i="11"/>
  <c r="I669" i="11"/>
  <c r="I670" i="11"/>
  <c r="I671" i="11"/>
  <c r="I672" i="11"/>
  <c r="I673" i="11"/>
  <c r="I674" i="11"/>
  <c r="I675" i="11"/>
  <c r="I676" i="11"/>
  <c r="I677" i="11"/>
  <c r="I678" i="11"/>
  <c r="I679" i="11"/>
  <c r="I680" i="11"/>
  <c r="I681" i="11"/>
  <c r="I682" i="11"/>
  <c r="I683" i="11"/>
  <c r="I684" i="11"/>
  <c r="I685" i="11"/>
  <c r="I686" i="11"/>
  <c r="I687" i="11"/>
  <c r="I688" i="11"/>
  <c r="I689" i="11"/>
  <c r="I690" i="11"/>
  <c r="I691" i="11"/>
  <c r="I692" i="11"/>
  <c r="I693" i="11"/>
  <c r="I694" i="11"/>
  <c r="I695" i="11"/>
  <c r="I696" i="11"/>
  <c r="I697" i="11"/>
  <c r="I698" i="11"/>
  <c r="I699" i="11"/>
  <c r="I700" i="11"/>
  <c r="I701" i="11"/>
  <c r="I702" i="11"/>
  <c r="I703" i="11"/>
  <c r="I704" i="11"/>
  <c r="I705" i="11"/>
  <c r="I706" i="11"/>
  <c r="I707" i="11"/>
  <c r="I708" i="11"/>
  <c r="I709" i="11"/>
  <c r="I710" i="11"/>
  <c r="I711" i="11"/>
  <c r="I712" i="11"/>
  <c r="I713" i="11"/>
  <c r="I714" i="11"/>
  <c r="I715" i="11"/>
  <c r="I716" i="11"/>
  <c r="I717" i="11"/>
  <c r="I718" i="11"/>
  <c r="I719" i="11"/>
  <c r="I720" i="11"/>
  <c r="I721" i="11"/>
  <c r="I722" i="11"/>
  <c r="I723" i="11"/>
  <c r="I724" i="11"/>
  <c r="I725" i="11"/>
  <c r="I726" i="11"/>
  <c r="I727" i="11"/>
  <c r="I728" i="11"/>
  <c r="I729" i="11"/>
  <c r="I730" i="11"/>
  <c r="I731" i="11"/>
  <c r="I732" i="11"/>
  <c r="I733" i="11"/>
  <c r="I734" i="11"/>
  <c r="I735" i="11"/>
  <c r="I736" i="11"/>
  <c r="I737" i="11"/>
  <c r="I738" i="11"/>
  <c r="I739" i="11"/>
  <c r="I740" i="11"/>
  <c r="I741" i="11"/>
  <c r="I742" i="11"/>
  <c r="I743" i="11"/>
  <c r="I744" i="11"/>
  <c r="I745" i="11"/>
  <c r="I746" i="11"/>
  <c r="I747" i="11"/>
  <c r="I748" i="11"/>
  <c r="I749" i="11"/>
  <c r="I750" i="11"/>
  <c r="I751" i="11"/>
  <c r="I752" i="11"/>
  <c r="I753" i="11"/>
  <c r="I754" i="11"/>
  <c r="I755" i="11"/>
  <c r="I756" i="11"/>
  <c r="I757" i="11"/>
  <c r="I758" i="11"/>
  <c r="I759" i="11"/>
  <c r="I760" i="11"/>
  <c r="I761" i="11"/>
  <c r="I762" i="11"/>
  <c r="I763" i="11"/>
  <c r="I764" i="11"/>
  <c r="I765" i="11"/>
  <c r="I766" i="11"/>
  <c r="I767" i="11"/>
  <c r="I768" i="11"/>
  <c r="I769" i="11"/>
  <c r="I770" i="11"/>
  <c r="I771" i="11"/>
  <c r="I772" i="11"/>
  <c r="I773" i="11"/>
  <c r="I774" i="11"/>
  <c r="I775" i="11"/>
  <c r="I776" i="11"/>
  <c r="I777" i="11"/>
  <c r="I778" i="11"/>
  <c r="I779" i="11"/>
  <c r="I780" i="11"/>
  <c r="I781" i="11"/>
  <c r="I782" i="11"/>
  <c r="I783" i="11"/>
  <c r="I784" i="11"/>
  <c r="I785" i="11"/>
  <c r="I786" i="11"/>
  <c r="I787" i="11"/>
  <c r="I788" i="11"/>
  <c r="I789" i="11"/>
  <c r="I790" i="11"/>
  <c r="I791" i="11"/>
  <c r="I792" i="11"/>
  <c r="I793" i="11"/>
  <c r="I794" i="11"/>
  <c r="I795" i="11"/>
  <c r="I796" i="11"/>
  <c r="I797" i="11"/>
  <c r="I798" i="11"/>
  <c r="I799" i="11"/>
  <c r="I800" i="11"/>
  <c r="I801" i="11"/>
  <c r="I802" i="11"/>
  <c r="I803" i="11"/>
  <c r="I804" i="11"/>
  <c r="I805" i="11"/>
  <c r="I806" i="11"/>
  <c r="I807" i="11"/>
  <c r="I808" i="11"/>
  <c r="I809" i="11"/>
  <c r="I810" i="11"/>
  <c r="I811" i="11"/>
  <c r="I812" i="11"/>
  <c r="I813" i="11"/>
  <c r="I814" i="11"/>
  <c r="I815" i="11"/>
  <c r="I816" i="11"/>
  <c r="I817" i="11"/>
  <c r="I818" i="11"/>
  <c r="I819" i="11"/>
  <c r="I820" i="11"/>
  <c r="I821" i="11"/>
  <c r="I822" i="11"/>
  <c r="I823" i="11"/>
  <c r="I824" i="11"/>
  <c r="I825" i="11"/>
  <c r="I826" i="11"/>
  <c r="I827" i="11"/>
  <c r="I828" i="11"/>
  <c r="I829" i="11"/>
  <c r="I830" i="11"/>
  <c r="I831" i="11"/>
  <c r="I832" i="11"/>
  <c r="I833" i="11"/>
  <c r="I834" i="11"/>
  <c r="I835" i="11"/>
  <c r="I836" i="11"/>
  <c r="I837" i="11"/>
  <c r="I838" i="11"/>
  <c r="I839" i="11"/>
  <c r="I840" i="11"/>
  <c r="I841" i="11"/>
  <c r="I842" i="11"/>
  <c r="I843" i="11"/>
  <c r="I844" i="11"/>
  <c r="I845" i="11"/>
  <c r="I846" i="11"/>
  <c r="I847" i="11"/>
  <c r="I848" i="11"/>
  <c r="I849" i="11"/>
  <c r="I850" i="11"/>
  <c r="I851" i="11"/>
  <c r="I852" i="11"/>
  <c r="I853" i="11"/>
  <c r="I854" i="11"/>
  <c r="I855" i="11"/>
  <c r="I856" i="11"/>
  <c r="I857" i="11"/>
  <c r="I858" i="11"/>
  <c r="I859" i="11"/>
  <c r="I860" i="11"/>
  <c r="I861" i="11"/>
  <c r="I862" i="11"/>
  <c r="I863" i="11"/>
  <c r="I864" i="11"/>
  <c r="I865" i="11"/>
  <c r="I866" i="11"/>
  <c r="I867" i="11"/>
  <c r="I868" i="11"/>
  <c r="I869" i="11"/>
  <c r="I870" i="11"/>
  <c r="I871" i="11"/>
  <c r="I872" i="11"/>
  <c r="I873" i="11"/>
  <c r="I874" i="11"/>
  <c r="I875" i="11"/>
  <c r="I876" i="11"/>
  <c r="I877" i="11"/>
  <c r="I878" i="11"/>
  <c r="I879" i="11"/>
  <c r="I880" i="11"/>
  <c r="I881" i="11"/>
  <c r="I882" i="11"/>
  <c r="I883" i="11"/>
  <c r="I884" i="11"/>
  <c r="I885" i="11"/>
  <c r="I886" i="11"/>
  <c r="I887" i="11"/>
  <c r="I888" i="11"/>
  <c r="I889" i="11"/>
  <c r="I890" i="11"/>
  <c r="I891" i="11"/>
  <c r="I892" i="11"/>
  <c r="I893" i="11"/>
  <c r="I894" i="11"/>
  <c r="I895" i="11"/>
  <c r="I896" i="11"/>
  <c r="I897" i="11"/>
  <c r="I898" i="11"/>
  <c r="I899" i="11"/>
  <c r="I900" i="11"/>
  <c r="I901" i="11"/>
  <c r="I902" i="11"/>
  <c r="I903" i="11"/>
  <c r="I904" i="11"/>
  <c r="I905" i="11"/>
  <c r="I906" i="11"/>
  <c r="I907" i="11"/>
  <c r="I908" i="11"/>
  <c r="I909" i="11"/>
  <c r="I910" i="11"/>
  <c r="I911" i="11"/>
  <c r="I912" i="11"/>
  <c r="I913" i="11"/>
  <c r="I914" i="11"/>
  <c r="I915" i="11"/>
  <c r="I916" i="11"/>
  <c r="I917" i="11"/>
  <c r="I918" i="11"/>
  <c r="I919" i="11"/>
  <c r="I920" i="11"/>
  <c r="I921" i="11"/>
  <c r="I922" i="11"/>
  <c r="I923" i="11"/>
  <c r="I924" i="11"/>
  <c r="I925" i="11"/>
  <c r="I926" i="11"/>
  <c r="I927" i="11"/>
  <c r="I928" i="11"/>
  <c r="I929" i="11"/>
  <c r="I930" i="11"/>
  <c r="I931" i="11"/>
  <c r="I932" i="11"/>
  <c r="I933" i="11"/>
  <c r="I934" i="11"/>
  <c r="I935" i="11"/>
  <c r="I936" i="11"/>
  <c r="I937" i="11"/>
  <c r="I938" i="11"/>
  <c r="I939" i="11"/>
  <c r="I940" i="11"/>
  <c r="I941" i="11"/>
  <c r="I942" i="11"/>
  <c r="I943" i="11"/>
  <c r="I944" i="11"/>
  <c r="I945" i="11"/>
  <c r="I946" i="11"/>
  <c r="I947" i="11"/>
  <c r="I948" i="11"/>
  <c r="I949" i="11"/>
  <c r="I950" i="11"/>
  <c r="I951" i="11"/>
  <c r="I952" i="11"/>
  <c r="I953" i="11"/>
  <c r="I954" i="11"/>
  <c r="I955" i="11"/>
  <c r="I956" i="11"/>
  <c r="I957" i="11"/>
  <c r="I958" i="11"/>
  <c r="I959" i="11"/>
  <c r="I960" i="11"/>
  <c r="I961" i="11"/>
  <c r="I962" i="11"/>
  <c r="I963" i="11"/>
  <c r="I964" i="11"/>
  <c r="I965" i="11"/>
  <c r="I966" i="11"/>
  <c r="I967" i="11"/>
  <c r="I968" i="11"/>
  <c r="I969" i="11"/>
  <c r="I970" i="11"/>
  <c r="I971" i="11"/>
  <c r="I972" i="11"/>
  <c r="I973" i="11"/>
  <c r="I974" i="11"/>
  <c r="I975" i="11"/>
  <c r="I976" i="11"/>
  <c r="I977" i="11"/>
  <c r="I978" i="11"/>
  <c r="I979" i="11"/>
  <c r="I980" i="11"/>
  <c r="I981" i="11"/>
  <c r="I982" i="11"/>
  <c r="I983" i="11"/>
  <c r="I984" i="11"/>
  <c r="I985" i="11"/>
  <c r="I986" i="11"/>
  <c r="I987" i="11"/>
  <c r="I988" i="11"/>
  <c r="I989" i="11"/>
  <c r="I990" i="11"/>
  <c r="I991" i="11"/>
  <c r="I992" i="11"/>
  <c r="I993" i="11"/>
  <c r="I994" i="11"/>
  <c r="I995" i="11"/>
  <c r="I996" i="11"/>
  <c r="I997" i="11"/>
  <c r="I998" i="11"/>
  <c r="I999" i="11"/>
  <c r="I1000" i="11"/>
  <c r="I1001" i="1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D069F2D-3ABD-4444-A9F6-53A3CAC23A77}" keepAlive="1" name="Query - Customers" description="Connection to the 'Customers' query in the workbook." type="5" refreshedVersion="8" background="1" saveData="1">
    <dbPr connection="Provider=Microsoft.Mashup.OleDb.1;Data Source=$Workbook$;Location=Customers;Extended Properties=&quot;&quot;" command="SELECT * FROM [Customers]"/>
  </connection>
  <connection id="2" xr16:uid="{07EFB09D-B599-43C7-A35E-F62D8AF65F85}" keepAlive="1" name="Query - Sales" description="Connection to the 'Sales' query in the workbook." type="5" refreshedVersion="8" background="1" saveData="1">
    <dbPr connection="Provider=Microsoft.Mashup.OleDb.1;Data Source=$Workbook$;Location=Sales;Extended Properties=&quot;&quot;" command="SELECT * FROM [Sales]"/>
  </connection>
  <connection id="3" xr16:uid="{8DDF6D2F-556D-4ABF-9747-78F327B156D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4" xr16:uid="{F0EBCC33-2E2B-4A8A-81E3-9321AE59FF00}" name="WorksheetConnection_Cleaned Customer Segmentation Dataset.xlsx!Customers_" type="102" refreshedVersion="8" minRefreshableVersion="5">
    <extLst>
      <ext xmlns:x15="http://schemas.microsoft.com/office/spreadsheetml/2010/11/main" uri="{DE250136-89BD-433C-8126-D09CA5730AF9}">
        <x15:connection id="Customers_">
          <x15:rangePr sourceName="_xlcn.WorksheetConnection_CleanedCustomerSegmentationDataset.xlsxCustomers_1"/>
        </x15:connection>
      </ext>
    </extLst>
  </connection>
  <connection id="5" xr16:uid="{F8A26F6E-97A3-41D2-AC88-EA6EC380F5A6}" name="WorksheetConnection_Cleaned Customers !$D:$D" type="102" refreshedVersion="8" minRefreshableVersion="5">
    <extLst>
      <ext xmlns:x15="http://schemas.microsoft.com/office/spreadsheetml/2010/11/main" uri="{DE250136-89BD-433C-8126-D09CA5730AF9}">
        <x15:connection id="Range" autoDelete="1">
          <x15:rangePr sourceName="_xlcn.WorksheetConnection_CleanedCustomersDD1"/>
        </x15:connection>
      </ext>
    </extLst>
  </connection>
</connections>
</file>

<file path=xl/sharedStrings.xml><?xml version="1.0" encoding="utf-8"?>
<sst xmlns="http://schemas.openxmlformats.org/spreadsheetml/2006/main" count="14231" uniqueCount="2364">
  <si>
    <t>Order ID</t>
  </si>
  <si>
    <t>Customer Last Name</t>
  </si>
  <si>
    <t>Customer First Name</t>
  </si>
  <si>
    <t>Customer ID</t>
  </si>
  <si>
    <t>Order Date</t>
  </si>
  <si>
    <t>Quantity Ordered</t>
  </si>
  <si>
    <t>Order Status</t>
  </si>
  <si>
    <t>State</t>
  </si>
  <si>
    <t xml:space="preserve">Sale Price </t>
  </si>
  <si>
    <t>Total Profit (GMROI)</t>
  </si>
  <si>
    <t>Sales Agent</t>
  </si>
  <si>
    <t>Johnson</t>
  </si>
  <si>
    <t>Michelle</t>
  </si>
  <si>
    <t>Daniel</t>
  </si>
  <si>
    <t>Delivered</t>
  </si>
  <si>
    <t>Kelly</t>
  </si>
  <si>
    <t>Brian</t>
  </si>
  <si>
    <t>Dean</t>
  </si>
  <si>
    <t>Cancelled</t>
  </si>
  <si>
    <t>Priscilla</t>
  </si>
  <si>
    <t>Vivian</t>
  </si>
  <si>
    <t>Franklin</t>
  </si>
  <si>
    <t>Angela</t>
  </si>
  <si>
    <t>City</t>
  </si>
  <si>
    <t>Postal Code</t>
  </si>
  <si>
    <t>Phone</t>
  </si>
  <si>
    <t>Hughes</t>
  </si>
  <si>
    <t>Lewis</t>
  </si>
  <si>
    <t>Gomez</t>
  </si>
  <si>
    <t>Ali</t>
  </si>
  <si>
    <t>Beck</t>
  </si>
  <si>
    <t>Mila</t>
  </si>
  <si>
    <t>Juarez</t>
  </si>
  <si>
    <t>Ryleigh</t>
  </si>
  <si>
    <t>Preston</t>
  </si>
  <si>
    <t>Leonidas</t>
  </si>
  <si>
    <t>Jacobs</t>
  </si>
  <si>
    <t>Hayden</t>
  </si>
  <si>
    <t>Knox</t>
  </si>
  <si>
    <t>Brooke</t>
  </si>
  <si>
    <t>Rice</t>
  </si>
  <si>
    <t>Diana</t>
  </si>
  <si>
    <t>Valencia</t>
  </si>
  <si>
    <t>Rosalie</t>
  </si>
  <si>
    <t>Pierce</t>
  </si>
  <si>
    <t>Andre</t>
  </si>
  <si>
    <t>Olson</t>
  </si>
  <si>
    <t>Walter</t>
  </si>
  <si>
    <t>Malone</t>
  </si>
  <si>
    <t>Nayeli</t>
  </si>
  <si>
    <t>Holt</t>
  </si>
  <si>
    <t>Thea</t>
  </si>
  <si>
    <t>Briggs</t>
  </si>
  <si>
    <t>Devin</t>
  </si>
  <si>
    <t>Woodard</t>
  </si>
  <si>
    <t>Destiny</t>
  </si>
  <si>
    <t>Fuentes</t>
  </si>
  <si>
    <t>Rylee</t>
  </si>
  <si>
    <t>Shaffer</t>
  </si>
  <si>
    <t>Luka</t>
  </si>
  <si>
    <t>Berry</t>
  </si>
  <si>
    <t>Colt</t>
  </si>
  <si>
    <t>Klein</t>
  </si>
  <si>
    <t>Madelynn</t>
  </si>
  <si>
    <t>Landry</t>
  </si>
  <si>
    <t>Edward</t>
  </si>
  <si>
    <t>Weaver</t>
  </si>
  <si>
    <t>Cash</t>
  </si>
  <si>
    <t>Solomon</t>
  </si>
  <si>
    <t>Ronin</t>
  </si>
  <si>
    <t>Benjamin</t>
  </si>
  <si>
    <t>Frank</t>
  </si>
  <si>
    <t>Herrera</t>
  </si>
  <si>
    <t>Olive</t>
  </si>
  <si>
    <t>Bryan</t>
  </si>
  <si>
    <t>Noa</t>
  </si>
  <si>
    <t>Cook</t>
  </si>
  <si>
    <t>Collin</t>
  </si>
  <si>
    <t>Thompson</t>
  </si>
  <si>
    <t>Kane</t>
  </si>
  <si>
    <t>James</t>
  </si>
  <si>
    <t>Arias</t>
  </si>
  <si>
    <t>Sawyer</t>
  </si>
  <si>
    <t>Vincent</t>
  </si>
  <si>
    <t>Isabelle</t>
  </si>
  <si>
    <t>Quintana</t>
  </si>
  <si>
    <t>Raya</t>
  </si>
  <si>
    <t>Anderson</t>
  </si>
  <si>
    <t>Kaiden</t>
  </si>
  <si>
    <t>Chan</t>
  </si>
  <si>
    <t>Shiloh</t>
  </si>
  <si>
    <t>Foster</t>
  </si>
  <si>
    <t>Layla</t>
  </si>
  <si>
    <t>Giles</t>
  </si>
  <si>
    <t>Sarai</t>
  </si>
  <si>
    <t>Morris</t>
  </si>
  <si>
    <t>Kason</t>
  </si>
  <si>
    <t>Avery</t>
  </si>
  <si>
    <t>Aspen</t>
  </si>
  <si>
    <t>Fitzgerald</t>
  </si>
  <si>
    <t>Cade</t>
  </si>
  <si>
    <t>Sharp</t>
  </si>
  <si>
    <t>Collins</t>
  </si>
  <si>
    <t>Richmond</t>
  </si>
  <si>
    <t>Jayce</t>
  </si>
  <si>
    <t>Hinton</t>
  </si>
  <si>
    <t>Josiah</t>
  </si>
  <si>
    <t>Morales</t>
  </si>
  <si>
    <t>Helen</t>
  </si>
  <si>
    <t>Mccormick</t>
  </si>
  <si>
    <t>Alani</t>
  </si>
  <si>
    <t>Winters</t>
  </si>
  <si>
    <t>Francis</t>
  </si>
  <si>
    <t>Ochoa</t>
  </si>
  <si>
    <t>Wyatt</t>
  </si>
  <si>
    <t>Rollins</t>
  </si>
  <si>
    <t>Leah</t>
  </si>
  <si>
    <t>Buck</t>
  </si>
  <si>
    <t>Blevins</t>
  </si>
  <si>
    <t>Madilyn</t>
  </si>
  <si>
    <t>Parsons</t>
  </si>
  <si>
    <t>Jared</t>
  </si>
  <si>
    <t>Flores</t>
  </si>
  <si>
    <t>Jackson</t>
  </si>
  <si>
    <t>Collier</t>
  </si>
  <si>
    <t>Abigail</t>
  </si>
  <si>
    <t>Harvey</t>
  </si>
  <si>
    <t>Greyson</t>
  </si>
  <si>
    <t>Hunter</t>
  </si>
  <si>
    <t>Luca</t>
  </si>
  <si>
    <t>Mariana</t>
  </si>
  <si>
    <t>Mcdaniel</t>
  </si>
  <si>
    <t>Eliza</t>
  </si>
  <si>
    <t>Atkins</t>
  </si>
  <si>
    <t>Molly</t>
  </si>
  <si>
    <t>Maldonado</t>
  </si>
  <si>
    <t>Arielle</t>
  </si>
  <si>
    <t>Trevino</t>
  </si>
  <si>
    <t>Demi</t>
  </si>
  <si>
    <t>Mckenna</t>
  </si>
  <si>
    <t>Baldwin</t>
  </si>
  <si>
    <t>Adalynn</t>
  </si>
  <si>
    <t>Silva</t>
  </si>
  <si>
    <t>Watts</t>
  </si>
  <si>
    <t>Bailey</t>
  </si>
  <si>
    <t>Russell</t>
  </si>
  <si>
    <t>Bentley</t>
  </si>
  <si>
    <t>Harrington</t>
  </si>
  <si>
    <t>Lillian</t>
  </si>
  <si>
    <t>Fleming</t>
  </si>
  <si>
    <t>Kayden</t>
  </si>
  <si>
    <t>Manuel</t>
  </si>
  <si>
    <t>Nicholson</t>
  </si>
  <si>
    <t>Hattie</t>
  </si>
  <si>
    <t>Guerra</t>
  </si>
  <si>
    <t>Legacy</t>
  </si>
  <si>
    <t>Correa</t>
  </si>
  <si>
    <t>Brantley</t>
  </si>
  <si>
    <t>Carey</t>
  </si>
  <si>
    <t>Rosie</t>
  </si>
  <si>
    <t>Heaven</t>
  </si>
  <si>
    <t>Carroll</t>
  </si>
  <si>
    <t>Chance</t>
  </si>
  <si>
    <t>Bautista</t>
  </si>
  <si>
    <t>Parker</t>
  </si>
  <si>
    <t>Fox</t>
  </si>
  <si>
    <t>Kamari</t>
  </si>
  <si>
    <t>Wong</t>
  </si>
  <si>
    <t>Emerson</t>
  </si>
  <si>
    <t>Rubio</t>
  </si>
  <si>
    <t>Tatum</t>
  </si>
  <si>
    <t>Sanchez</t>
  </si>
  <si>
    <t>Gunner</t>
  </si>
  <si>
    <t>Pham</t>
  </si>
  <si>
    <t>Willa</t>
  </si>
  <si>
    <t>Mata</t>
  </si>
  <si>
    <t>Cooper</t>
  </si>
  <si>
    <t>Mason</t>
  </si>
  <si>
    <t>Jude</t>
  </si>
  <si>
    <t>Ari</t>
  </si>
  <si>
    <t>Watson</t>
  </si>
  <si>
    <t>Alessandra</t>
  </si>
  <si>
    <t>Coleman</t>
  </si>
  <si>
    <t>Callen</t>
  </si>
  <si>
    <t>Clay</t>
  </si>
  <si>
    <t>Aria</t>
  </si>
  <si>
    <t>Truong</t>
  </si>
  <si>
    <t>Nina</t>
  </si>
  <si>
    <t>Saunders</t>
  </si>
  <si>
    <t>Freya</t>
  </si>
  <si>
    <t>Ballard</t>
  </si>
  <si>
    <t>Amir</t>
  </si>
  <si>
    <t>Weber</t>
  </si>
  <si>
    <t>Delarosa</t>
  </si>
  <si>
    <t>Joaquin</t>
  </si>
  <si>
    <t>Gallagher</t>
  </si>
  <si>
    <t>Adaline</t>
  </si>
  <si>
    <t>Rosales</t>
  </si>
  <si>
    <t>Luna</t>
  </si>
  <si>
    <t>Denver</t>
  </si>
  <si>
    <t>Jaramillo</t>
  </si>
  <si>
    <t>Emanuel</t>
  </si>
  <si>
    <t>Crawford</t>
  </si>
  <si>
    <t>Hugo</t>
  </si>
  <si>
    <t>Austin</t>
  </si>
  <si>
    <t>Margaret</t>
  </si>
  <si>
    <t>Weiss</t>
  </si>
  <si>
    <t>Raphael</t>
  </si>
  <si>
    <t>Cardenas</t>
  </si>
  <si>
    <t>Myles</t>
  </si>
  <si>
    <t>Cruz</t>
  </si>
  <si>
    <t>Alexis</t>
  </si>
  <si>
    <t>Mcbride</t>
  </si>
  <si>
    <t>Ellis</t>
  </si>
  <si>
    <t>Singh</t>
  </si>
  <si>
    <t>Zuri</t>
  </si>
  <si>
    <t>Annie</t>
  </si>
  <si>
    <t>Garcia</t>
  </si>
  <si>
    <t>Dakota</t>
  </si>
  <si>
    <t>Luke</t>
  </si>
  <si>
    <t>Frye</t>
  </si>
  <si>
    <t>Jasiah</t>
  </si>
  <si>
    <t>Xiong</t>
  </si>
  <si>
    <t>Selah</t>
  </si>
  <si>
    <t>Pearson</t>
  </si>
  <si>
    <t>Amira</t>
  </si>
  <si>
    <t>Castaneda</t>
  </si>
  <si>
    <t>Jarvis</t>
  </si>
  <si>
    <t>Adelina</t>
  </si>
  <si>
    <t>Fields</t>
  </si>
  <si>
    <t>Adelynn</t>
  </si>
  <si>
    <t>Keller</t>
  </si>
  <si>
    <t>Miguel</t>
  </si>
  <si>
    <t>Clara</t>
  </si>
  <si>
    <t>Bartlett</t>
  </si>
  <si>
    <t>Joshua</t>
  </si>
  <si>
    <t>Kate</t>
  </si>
  <si>
    <t>Flynn</t>
  </si>
  <si>
    <t>Daphne</t>
  </si>
  <si>
    <t>Elise</t>
  </si>
  <si>
    <t>Townsend</t>
  </si>
  <si>
    <t>Charles</t>
  </si>
  <si>
    <t>Pollard</t>
  </si>
  <si>
    <t>Rory</t>
  </si>
  <si>
    <t>Clark</t>
  </si>
  <si>
    <t>Zion</t>
  </si>
  <si>
    <t>Randolph</t>
  </si>
  <si>
    <t>Edgar</t>
  </si>
  <si>
    <t>Johnston</t>
  </si>
  <si>
    <t>Ace</t>
  </si>
  <si>
    <t>Kemp</t>
  </si>
  <si>
    <t>Amy</t>
  </si>
  <si>
    <t>Berger</t>
  </si>
  <si>
    <t>Avianna</t>
  </si>
  <si>
    <t>Hogan</t>
  </si>
  <si>
    <t>Bryce</t>
  </si>
  <si>
    <t>Princeton</t>
  </si>
  <si>
    <t>Griffin</t>
  </si>
  <si>
    <t>Isabella</t>
  </si>
  <si>
    <t>Costa</t>
  </si>
  <si>
    <t>Charlie</t>
  </si>
  <si>
    <t>Schmitt</t>
  </si>
  <si>
    <t>Aliyah</t>
  </si>
  <si>
    <t>Holloway</t>
  </si>
  <si>
    <t>Raven</t>
  </si>
  <si>
    <t>Kirby</t>
  </si>
  <si>
    <t>Malik</t>
  </si>
  <si>
    <t>Schwartz</t>
  </si>
  <si>
    <t>Kylo</t>
  </si>
  <si>
    <t>Salazar</t>
  </si>
  <si>
    <t>Jeremy</t>
  </si>
  <si>
    <t>Oscar</t>
  </si>
  <si>
    <t>Montgomery</t>
  </si>
  <si>
    <t>Vo</t>
  </si>
  <si>
    <t>Kai</t>
  </si>
  <si>
    <t>Velazquez</t>
  </si>
  <si>
    <t>Nico</t>
  </si>
  <si>
    <t>Vasquez</t>
  </si>
  <si>
    <t>Lucy</t>
  </si>
  <si>
    <t>Shepherd</t>
  </si>
  <si>
    <t>Charli</t>
  </si>
  <si>
    <t>Meyer</t>
  </si>
  <si>
    <t>Evie</t>
  </si>
  <si>
    <t>Powell</t>
  </si>
  <si>
    <t>Walton</t>
  </si>
  <si>
    <t>Erick</t>
  </si>
  <si>
    <t>Guzman</t>
  </si>
  <si>
    <t>Emery</t>
  </si>
  <si>
    <t>Rose</t>
  </si>
  <si>
    <t>Annabelle</t>
  </si>
  <si>
    <t>Schmidt</t>
  </si>
  <si>
    <t>Spencer</t>
  </si>
  <si>
    <t>Callie</t>
  </si>
  <si>
    <t>Chavez</t>
  </si>
  <si>
    <t>Cecilia</t>
  </si>
  <si>
    <t>Blackwell</t>
  </si>
  <si>
    <t>Finley</t>
  </si>
  <si>
    <t>Faith</t>
  </si>
  <si>
    <t>Solis</t>
  </si>
  <si>
    <t>Mary</t>
  </si>
  <si>
    <t>Abel</t>
  </si>
  <si>
    <t>Acevedo</t>
  </si>
  <si>
    <t>Annalise</t>
  </si>
  <si>
    <t>Cohen</t>
  </si>
  <si>
    <t>London</t>
  </si>
  <si>
    <t>Espinosa</t>
  </si>
  <si>
    <t>Myla</t>
  </si>
  <si>
    <t>Thornton</t>
  </si>
  <si>
    <t>Bodie</t>
  </si>
  <si>
    <t>Ross</t>
  </si>
  <si>
    <t>Delilah</t>
  </si>
  <si>
    <t>Mckay</t>
  </si>
  <si>
    <t>Serena</t>
  </si>
  <si>
    <t>Asher</t>
  </si>
  <si>
    <t>Galindo</t>
  </si>
  <si>
    <t>Aguilar</t>
  </si>
  <si>
    <t>Veronica</t>
  </si>
  <si>
    <t>Mahoney</t>
  </si>
  <si>
    <t>Reed</t>
  </si>
  <si>
    <t>Jayden</t>
  </si>
  <si>
    <t>Carpenter</t>
  </si>
  <si>
    <t>Jordan</t>
  </si>
  <si>
    <t>Stokes</t>
  </si>
  <si>
    <t>Jace</t>
  </si>
  <si>
    <t>Barrera</t>
  </si>
  <si>
    <t>Pitts</t>
  </si>
  <si>
    <t>Christian</t>
  </si>
  <si>
    <t>Mccall</t>
  </si>
  <si>
    <t>Saylor</t>
  </si>
  <si>
    <t>Martinez</t>
  </si>
  <si>
    <t>Samantha</t>
  </si>
  <si>
    <t>Acosta</t>
  </si>
  <si>
    <t>Camilla</t>
  </si>
  <si>
    <t>Rivers</t>
  </si>
  <si>
    <t>Hoffman</t>
  </si>
  <si>
    <t>Melissa</t>
  </si>
  <si>
    <t>Horn</t>
  </si>
  <si>
    <t>Mabel</t>
  </si>
  <si>
    <t>Daniela</t>
  </si>
  <si>
    <t>Bradshaw</t>
  </si>
  <si>
    <t>Dax</t>
  </si>
  <si>
    <t>Boone</t>
  </si>
  <si>
    <t>Aitana</t>
  </si>
  <si>
    <t>Roy</t>
  </si>
  <si>
    <t>Patrick</t>
  </si>
  <si>
    <t>Mccarthy</t>
  </si>
  <si>
    <t>Calvin</t>
  </si>
  <si>
    <t>Everett</t>
  </si>
  <si>
    <t>Lyra</t>
  </si>
  <si>
    <t>Alvarado</t>
  </si>
  <si>
    <t>Zayn</t>
  </si>
  <si>
    <t>Lynch</t>
  </si>
  <si>
    <t>Xander</t>
  </si>
  <si>
    <t>Escobar</t>
  </si>
  <si>
    <t>Declan</t>
  </si>
  <si>
    <t>Fisher</t>
  </si>
  <si>
    <t>Zara</t>
  </si>
  <si>
    <t>Gould</t>
  </si>
  <si>
    <t>Contreras</t>
  </si>
  <si>
    <t>Addison</t>
  </si>
  <si>
    <t>Burke</t>
  </si>
  <si>
    <t>Owens</t>
  </si>
  <si>
    <t>Maximus</t>
  </si>
  <si>
    <t>Sadie</t>
  </si>
  <si>
    <t>Sloane</t>
  </si>
  <si>
    <t>Reyna</t>
  </si>
  <si>
    <t>Heidi</t>
  </si>
  <si>
    <t>Hallie</t>
  </si>
  <si>
    <t>Jensen</t>
  </si>
  <si>
    <t>Jason</t>
  </si>
  <si>
    <t>Ayala</t>
  </si>
  <si>
    <t>Elaina</t>
  </si>
  <si>
    <t>Genevieve</t>
  </si>
  <si>
    <t>Kirk</t>
  </si>
  <si>
    <t>Mathias</t>
  </si>
  <si>
    <t>Terrell</t>
  </si>
  <si>
    <t>Norris</t>
  </si>
  <si>
    <t>Kobe</t>
  </si>
  <si>
    <t>Huerta</t>
  </si>
  <si>
    <t>Hail</t>
  </si>
  <si>
    <t>Raymond</t>
  </si>
  <si>
    <t>Bauer</t>
  </si>
  <si>
    <t>Melanie</t>
  </si>
  <si>
    <t>English</t>
  </si>
  <si>
    <t>Allen</t>
  </si>
  <si>
    <t>Benson</t>
  </si>
  <si>
    <t>Victor</t>
  </si>
  <si>
    <t>Blankenship</t>
  </si>
  <si>
    <t>Gabriel</t>
  </si>
  <si>
    <t>Cunningham</t>
  </si>
  <si>
    <t>Julia</t>
  </si>
  <si>
    <t>Cantu</t>
  </si>
  <si>
    <t>Stewart</t>
  </si>
  <si>
    <t>Nylah</t>
  </si>
  <si>
    <t>Rich</t>
  </si>
  <si>
    <t>Paul</t>
  </si>
  <si>
    <t>Monroe</t>
  </si>
  <si>
    <t>Marco</t>
  </si>
  <si>
    <t>Cherry</t>
  </si>
  <si>
    <t>Diego</t>
  </si>
  <si>
    <t>Mitchell</t>
  </si>
  <si>
    <t>Ailani</t>
  </si>
  <si>
    <t>Dunlap</t>
  </si>
  <si>
    <t>Alaina</t>
  </si>
  <si>
    <t>Baker</t>
  </si>
  <si>
    <t>King</t>
  </si>
  <si>
    <t>Sierra</t>
  </si>
  <si>
    <t>Dante</t>
  </si>
  <si>
    <t>Griffith</t>
  </si>
  <si>
    <t>Kashton</t>
  </si>
  <si>
    <t>Madison</t>
  </si>
  <si>
    <t>Miles</t>
  </si>
  <si>
    <t>Booth</t>
  </si>
  <si>
    <t>Karter</t>
  </si>
  <si>
    <t>Fernando</t>
  </si>
  <si>
    <t>Marley</t>
  </si>
  <si>
    <t>Sanders</t>
  </si>
  <si>
    <t>Lukas</t>
  </si>
  <si>
    <t>Orozco</t>
  </si>
  <si>
    <t>River</t>
  </si>
  <si>
    <t>Nuñez</t>
  </si>
  <si>
    <t>Mackenzie</t>
  </si>
  <si>
    <t>Dixon</t>
  </si>
  <si>
    <t>Stevie</t>
  </si>
  <si>
    <t>Rosemary</t>
  </si>
  <si>
    <t>Ellison</t>
  </si>
  <si>
    <t>Santiago</t>
  </si>
  <si>
    <t>Bean</t>
  </si>
  <si>
    <t>Cataleya</t>
  </si>
  <si>
    <t>Daisy</t>
  </si>
  <si>
    <t>Burton</t>
  </si>
  <si>
    <t>Grady</t>
  </si>
  <si>
    <t>Thomas</t>
  </si>
  <si>
    <t>Garza</t>
  </si>
  <si>
    <t>Natalia</t>
  </si>
  <si>
    <t>Newman</t>
  </si>
  <si>
    <t>Celine</t>
  </si>
  <si>
    <t>Robbins</t>
  </si>
  <si>
    <t>Alex</t>
  </si>
  <si>
    <t>Sexton</t>
  </si>
  <si>
    <t>Meadow</t>
  </si>
  <si>
    <t>Ponce</t>
  </si>
  <si>
    <t>Lucille</t>
  </si>
  <si>
    <t>Gonzales</t>
  </si>
  <si>
    <t>Cairo</t>
  </si>
  <si>
    <t>Mejia</t>
  </si>
  <si>
    <t>Desmond</t>
  </si>
  <si>
    <t>Joy</t>
  </si>
  <si>
    <t>Bowers</t>
  </si>
  <si>
    <t>Frazier</t>
  </si>
  <si>
    <t>Ella</t>
  </si>
  <si>
    <t>Sparks</t>
  </si>
  <si>
    <t>Villarreal</t>
  </si>
  <si>
    <t>Damian</t>
  </si>
  <si>
    <t>Lozano</t>
  </si>
  <si>
    <t>Lorenzo</t>
  </si>
  <si>
    <t>Mcpherson</t>
  </si>
  <si>
    <t>Tucker</t>
  </si>
  <si>
    <t>Jade</t>
  </si>
  <si>
    <t>Riley</t>
  </si>
  <si>
    <t>Amaya</t>
  </si>
  <si>
    <t>Bruce</t>
  </si>
  <si>
    <t>Adan</t>
  </si>
  <si>
    <t>Williams</t>
  </si>
  <si>
    <t>Gideon</t>
  </si>
  <si>
    <t>Bowen</t>
  </si>
  <si>
    <t>Ryker</t>
  </si>
  <si>
    <t>Dorsey</t>
  </si>
  <si>
    <t>Hartman</t>
  </si>
  <si>
    <t>Huang</t>
  </si>
  <si>
    <t>Amanda</t>
  </si>
  <si>
    <t>Marlee</t>
  </si>
  <si>
    <t>Xiomara</t>
  </si>
  <si>
    <t>Logan</t>
  </si>
  <si>
    <t>Kaur</t>
  </si>
  <si>
    <t>Athena</t>
  </si>
  <si>
    <t>Conley</t>
  </si>
  <si>
    <t>Elsie</t>
  </si>
  <si>
    <t>Kramer</t>
  </si>
  <si>
    <t>Emersyn</t>
  </si>
  <si>
    <t>Crosby</t>
  </si>
  <si>
    <t>Talia</t>
  </si>
  <si>
    <t>Carson</t>
  </si>
  <si>
    <t>Duran</t>
  </si>
  <si>
    <t>Emilia</t>
  </si>
  <si>
    <t>Velasquez</t>
  </si>
  <si>
    <t>Booker</t>
  </si>
  <si>
    <t>Harding</t>
  </si>
  <si>
    <t>Lowery</t>
  </si>
  <si>
    <t>Lexi</t>
  </si>
  <si>
    <t>Byrd</t>
  </si>
  <si>
    <t>Charlotte</t>
  </si>
  <si>
    <t>Peters</t>
  </si>
  <si>
    <t>Estes</t>
  </si>
  <si>
    <t>Genesis</t>
  </si>
  <si>
    <t>Dodson</t>
  </si>
  <si>
    <t>Noah</t>
  </si>
  <si>
    <t>Chandler</t>
  </si>
  <si>
    <t>Nolan</t>
  </si>
  <si>
    <t>Kimberly</t>
  </si>
  <si>
    <t>Beil</t>
  </si>
  <si>
    <t>Kaleb</t>
  </si>
  <si>
    <t>Gibbs</t>
  </si>
  <si>
    <t>Lennox</t>
  </si>
  <si>
    <t>Liam</t>
  </si>
  <si>
    <t>Damien</t>
  </si>
  <si>
    <t>Black</t>
  </si>
  <si>
    <t>Donovan</t>
  </si>
  <si>
    <t>Stanton</t>
  </si>
  <si>
    <t>Piper</t>
  </si>
  <si>
    <t>Strong</t>
  </si>
  <si>
    <t>Oaklee</t>
  </si>
  <si>
    <t>Sellers</t>
  </si>
  <si>
    <t>Gael</t>
  </si>
  <si>
    <t>Prince</t>
  </si>
  <si>
    <t>Flowers</t>
  </si>
  <si>
    <t>Killian</t>
  </si>
  <si>
    <t>Henry</t>
  </si>
  <si>
    <t>Cora</t>
  </si>
  <si>
    <t>Nash</t>
  </si>
  <si>
    <t>Waller</t>
  </si>
  <si>
    <t>Tate</t>
  </si>
  <si>
    <t>Peña</t>
  </si>
  <si>
    <t>Malachi</t>
  </si>
  <si>
    <t>Daniels</t>
  </si>
  <si>
    <t>Lilith</t>
  </si>
  <si>
    <t>Gates</t>
  </si>
  <si>
    <t>Braxton</t>
  </si>
  <si>
    <t>Erickson</t>
  </si>
  <si>
    <t>Cassidy</t>
  </si>
  <si>
    <t>Odom</t>
  </si>
  <si>
    <t>Gregory</t>
  </si>
  <si>
    <t>Wagner</t>
  </si>
  <si>
    <t>Archer</t>
  </si>
  <si>
    <t>Kennedy</t>
  </si>
  <si>
    <t>Weston</t>
  </si>
  <si>
    <t>Case</t>
  </si>
  <si>
    <t>Alana</t>
  </si>
  <si>
    <t>Castillo</t>
  </si>
  <si>
    <t>Milani</t>
  </si>
  <si>
    <t>Torres</t>
  </si>
  <si>
    <t>Karson</t>
  </si>
  <si>
    <t>Paxton</t>
  </si>
  <si>
    <t>Parra</t>
  </si>
  <si>
    <t>Kingston</t>
  </si>
  <si>
    <t>Russo</t>
  </si>
  <si>
    <t>Olivia</t>
  </si>
  <si>
    <t>Mathews</t>
  </si>
  <si>
    <t>Kendall</t>
  </si>
  <si>
    <t>Tapia</t>
  </si>
  <si>
    <t>Roberson</t>
  </si>
  <si>
    <t>Fiona</t>
  </si>
  <si>
    <t>Brinley</t>
  </si>
  <si>
    <t>Macdonald</t>
  </si>
  <si>
    <t>Angelina</t>
  </si>
  <si>
    <t>Hester</t>
  </si>
  <si>
    <t>Alora</t>
  </si>
  <si>
    <t>Levy</t>
  </si>
  <si>
    <t>Santana</t>
  </si>
  <si>
    <t>Deleon</t>
  </si>
  <si>
    <t>Daleyza</t>
  </si>
  <si>
    <t>Harrell</t>
  </si>
  <si>
    <t>Esteban</t>
  </si>
  <si>
    <t>Ashley</t>
  </si>
  <si>
    <t>Zaire</t>
  </si>
  <si>
    <t>Miranda</t>
  </si>
  <si>
    <t>Potter</t>
  </si>
  <si>
    <t>Niko</t>
  </si>
  <si>
    <t>Wilkins</t>
  </si>
  <si>
    <t>Paris</t>
  </si>
  <si>
    <t>Hammond</t>
  </si>
  <si>
    <t>Aylin</t>
  </si>
  <si>
    <t>Juliana</t>
  </si>
  <si>
    <t>Ramirez</t>
  </si>
  <si>
    <t>Robert</t>
  </si>
  <si>
    <t>Reeves</t>
  </si>
  <si>
    <t>Ezequiel</t>
  </si>
  <si>
    <t>Dahlia</t>
  </si>
  <si>
    <t>Maya</t>
  </si>
  <si>
    <t>Ayla</t>
  </si>
  <si>
    <t>Wilson</t>
  </si>
  <si>
    <t>Alejandro</t>
  </si>
  <si>
    <t>Leon</t>
  </si>
  <si>
    <t>Elliott</t>
  </si>
  <si>
    <t>Nasir</t>
  </si>
  <si>
    <t>Norman</t>
  </si>
  <si>
    <t>Esme</t>
  </si>
  <si>
    <t>Vega</t>
  </si>
  <si>
    <t>Blake</t>
  </si>
  <si>
    <t>Oakley</t>
  </si>
  <si>
    <t>Brynlee</t>
  </si>
  <si>
    <t>Wallace</t>
  </si>
  <si>
    <t>Reid</t>
  </si>
  <si>
    <t>Rebecca</t>
  </si>
  <si>
    <t>Palmer</t>
  </si>
  <si>
    <t>Piñeda</t>
  </si>
  <si>
    <t>Kyler</t>
  </si>
  <si>
    <t>Holden</t>
  </si>
  <si>
    <t>Stafford</t>
  </si>
  <si>
    <t>Smith</t>
  </si>
  <si>
    <t>Hancock</t>
  </si>
  <si>
    <t>Norah</t>
  </si>
  <si>
    <t>Ruby</t>
  </si>
  <si>
    <t>Boyle</t>
  </si>
  <si>
    <t>Morgan</t>
  </si>
  <si>
    <t>Whitehead</t>
  </si>
  <si>
    <t>Bernal</t>
  </si>
  <si>
    <t>Koa</t>
  </si>
  <si>
    <t>Walsh</t>
  </si>
  <si>
    <t>Portillo</t>
  </si>
  <si>
    <t>Kline</t>
  </si>
  <si>
    <t>Lana</t>
  </si>
  <si>
    <t>Ahmed</t>
  </si>
  <si>
    <t>Laura</t>
  </si>
  <si>
    <t>Conner</t>
  </si>
  <si>
    <t>Arthur</t>
  </si>
  <si>
    <t>Ávila</t>
  </si>
  <si>
    <t>Peterson</t>
  </si>
  <si>
    <t>Armani</t>
  </si>
  <si>
    <t>Oliver</t>
  </si>
  <si>
    <t>Barajas</t>
  </si>
  <si>
    <t>Teagan</t>
  </si>
  <si>
    <t>Amara</t>
  </si>
  <si>
    <t>Poole</t>
  </si>
  <si>
    <t>Lane</t>
  </si>
  <si>
    <t>Campbell</t>
  </si>
  <si>
    <t>Stuart</t>
  </si>
  <si>
    <t>Burgess</t>
  </si>
  <si>
    <t>Alexandria</t>
  </si>
  <si>
    <t>Frost</t>
  </si>
  <si>
    <t>Judah</t>
  </si>
  <si>
    <t>Krueger</t>
  </si>
  <si>
    <t>Kaia</t>
  </si>
  <si>
    <t>Trejo</t>
  </si>
  <si>
    <t>Josephine</t>
  </si>
  <si>
    <t>Kali</t>
  </si>
  <si>
    <t>Combs</t>
  </si>
  <si>
    <t>Dream</t>
  </si>
  <si>
    <t>Haley</t>
  </si>
  <si>
    <t>Nathan</t>
  </si>
  <si>
    <t>Soto</t>
  </si>
  <si>
    <t>Bianca</t>
  </si>
  <si>
    <t>Cisneros</t>
  </si>
  <si>
    <t>Garrett</t>
  </si>
  <si>
    <t>Zimmerman</t>
  </si>
  <si>
    <t>Hahn</t>
  </si>
  <si>
    <t>Gibson</t>
  </si>
  <si>
    <t>Romeo</t>
  </si>
  <si>
    <t>Rodriguez</t>
  </si>
  <si>
    <t>August</t>
  </si>
  <si>
    <t>Wilkinson</t>
  </si>
  <si>
    <t>Maeve</t>
  </si>
  <si>
    <t>Alonzo</t>
  </si>
  <si>
    <t>Rocha</t>
  </si>
  <si>
    <t>Londyn</t>
  </si>
  <si>
    <t>Miracle</t>
  </si>
  <si>
    <t>Mcintosh</t>
  </si>
  <si>
    <t>Daugherty</t>
  </si>
  <si>
    <t>Noelle</t>
  </si>
  <si>
    <t>Newton</t>
  </si>
  <si>
    <t>Alessia</t>
  </si>
  <si>
    <t>Livingston</t>
  </si>
  <si>
    <t>Chloe</t>
  </si>
  <si>
    <t>Stanley</t>
  </si>
  <si>
    <t>Maxwell</t>
  </si>
  <si>
    <t>Serrano</t>
  </si>
  <si>
    <t>Nora</t>
  </si>
  <si>
    <t>Fletcher</t>
  </si>
  <si>
    <t>Leal</t>
  </si>
  <si>
    <t>Enzo</t>
  </si>
  <si>
    <t>Robertson</t>
  </si>
  <si>
    <t>Finn</t>
  </si>
  <si>
    <t>Goodwin</t>
  </si>
  <si>
    <t>Brody</t>
  </si>
  <si>
    <t>Kyle</t>
  </si>
  <si>
    <t>Maynard</t>
  </si>
  <si>
    <t>Jasper</t>
  </si>
  <si>
    <t>Lee</t>
  </si>
  <si>
    <t>Colin</t>
  </si>
  <si>
    <t>Sandoval</t>
  </si>
  <si>
    <t>Kash</t>
  </si>
  <si>
    <t>Wolfe</t>
  </si>
  <si>
    <t>Amari</t>
  </si>
  <si>
    <t>Molina</t>
  </si>
  <si>
    <t>Rush</t>
  </si>
  <si>
    <t>Harrison</t>
  </si>
  <si>
    <t>Alison</t>
  </si>
  <si>
    <t>Santino</t>
  </si>
  <si>
    <t>Henderson</t>
  </si>
  <si>
    <t>Dawson</t>
  </si>
  <si>
    <t>Ismael</t>
  </si>
  <si>
    <t>Porter</t>
  </si>
  <si>
    <t>Felix</t>
  </si>
  <si>
    <t>Singleton</t>
  </si>
  <si>
    <t>Bradley</t>
  </si>
  <si>
    <t>Castro</t>
  </si>
  <si>
    <t>Brooklynn</t>
  </si>
  <si>
    <t>Kim</t>
  </si>
  <si>
    <t>Briella</t>
  </si>
  <si>
    <t>Fischer</t>
  </si>
  <si>
    <t>Jeremiah</t>
  </si>
  <si>
    <t>Alaya</t>
  </si>
  <si>
    <t>Small</t>
  </si>
  <si>
    <t>Ada</t>
  </si>
  <si>
    <t>Perez</t>
  </si>
  <si>
    <t>Greene</t>
  </si>
  <si>
    <t>Rylie</t>
  </si>
  <si>
    <t>Nguyen</t>
  </si>
  <si>
    <t>Alfaro</t>
  </si>
  <si>
    <t>Hensley</t>
  </si>
  <si>
    <t>Sienna</t>
  </si>
  <si>
    <t>Stevenson</t>
  </si>
  <si>
    <t>Landon</t>
  </si>
  <si>
    <t>Pruitt</t>
  </si>
  <si>
    <t>Jax</t>
  </si>
  <si>
    <t>Best</t>
  </si>
  <si>
    <t>Aubrey</t>
  </si>
  <si>
    <t>Barrett</t>
  </si>
  <si>
    <t>Matteo</t>
  </si>
  <si>
    <t>Barker</t>
  </si>
  <si>
    <t>Richard</t>
  </si>
  <si>
    <t>Frances</t>
  </si>
  <si>
    <t>Brown</t>
  </si>
  <si>
    <t>Isabel</t>
  </si>
  <si>
    <t>Strickland</t>
  </si>
  <si>
    <t>Stephanie</t>
  </si>
  <si>
    <t>Brandt</t>
  </si>
  <si>
    <t>Durham</t>
  </si>
  <si>
    <t>William</t>
  </si>
  <si>
    <t>Myers</t>
  </si>
  <si>
    <t>Brewer</t>
  </si>
  <si>
    <t>Lucas</t>
  </si>
  <si>
    <t>Mercado</t>
  </si>
  <si>
    <t>Leonel</t>
  </si>
  <si>
    <t>Bates</t>
  </si>
  <si>
    <t>Anya</t>
  </si>
  <si>
    <t>Sweeney</t>
  </si>
  <si>
    <t>Valeria</t>
  </si>
  <si>
    <t>Enriquez</t>
  </si>
  <si>
    <t>Asa</t>
  </si>
  <si>
    <t>Ayers</t>
  </si>
  <si>
    <t>Ramsey</t>
  </si>
  <si>
    <t>Hank</t>
  </si>
  <si>
    <t>Kent</t>
  </si>
  <si>
    <t>Richardson</t>
  </si>
  <si>
    <t>Madelyn</t>
  </si>
  <si>
    <t>Mclean</t>
  </si>
  <si>
    <t>Duncan</t>
  </si>
  <si>
    <t>Maryam</t>
  </si>
  <si>
    <t>Haven</t>
  </si>
  <si>
    <t>Eden</t>
  </si>
  <si>
    <t>Esquivel</t>
  </si>
  <si>
    <t>Matias</t>
  </si>
  <si>
    <t>Murray</t>
  </si>
  <si>
    <t>Kyson</t>
  </si>
  <si>
    <t>Joseph</t>
  </si>
  <si>
    <t>Fernanda</t>
  </si>
  <si>
    <t>Ivan</t>
  </si>
  <si>
    <t>Dominic</t>
  </si>
  <si>
    <t>Renata</t>
  </si>
  <si>
    <t>Yu</t>
  </si>
  <si>
    <t>Huynh</t>
  </si>
  <si>
    <t>Sarah</t>
  </si>
  <si>
    <t>Sage</t>
  </si>
  <si>
    <t>Beau</t>
  </si>
  <si>
    <t>Lin</t>
  </si>
  <si>
    <t>Beard</t>
  </si>
  <si>
    <t>Leland</t>
  </si>
  <si>
    <t>Camilo</t>
  </si>
  <si>
    <t>Zyaire</t>
  </si>
  <si>
    <t>Shields</t>
  </si>
  <si>
    <t>Eduardo</t>
  </si>
  <si>
    <t>Zuniga</t>
  </si>
  <si>
    <t>Edwin</t>
  </si>
  <si>
    <t>Julian</t>
  </si>
  <si>
    <t>Pacheco</t>
  </si>
  <si>
    <t>Manning</t>
  </si>
  <si>
    <t>Connor</t>
  </si>
  <si>
    <t>Raelynn</t>
  </si>
  <si>
    <t>Hess</t>
  </si>
  <si>
    <t>Kairo</t>
  </si>
  <si>
    <t>Pablo</t>
  </si>
  <si>
    <t>Frederick</t>
  </si>
  <si>
    <t>Skinner</t>
  </si>
  <si>
    <t>Bennett</t>
  </si>
  <si>
    <t>Josue</t>
  </si>
  <si>
    <t>Carter</t>
  </si>
  <si>
    <t>Hamilton</t>
  </si>
  <si>
    <t>Elle</t>
  </si>
  <si>
    <t>Medina</t>
  </si>
  <si>
    <t>Jimenez</t>
  </si>
  <si>
    <t>Kamila</t>
  </si>
  <si>
    <t>Penelope</t>
  </si>
  <si>
    <t>Valentine</t>
  </si>
  <si>
    <t>Koda</t>
  </si>
  <si>
    <t>Chang</t>
  </si>
  <si>
    <t>Esmeralda</t>
  </si>
  <si>
    <t>Alayna</t>
  </si>
  <si>
    <t>Haisley</t>
  </si>
  <si>
    <t>Stephens</t>
  </si>
  <si>
    <t>Taylor</t>
  </si>
  <si>
    <t>Delacruz</t>
  </si>
  <si>
    <t>Zayne</t>
  </si>
  <si>
    <t>Alvarez</t>
  </si>
  <si>
    <t>Seth</t>
  </si>
  <si>
    <t>Gross</t>
  </si>
  <si>
    <t>Gianna</t>
  </si>
  <si>
    <t>Isaiah</t>
  </si>
  <si>
    <t>Bo</t>
  </si>
  <si>
    <t>Little</t>
  </si>
  <si>
    <t>Travis</t>
  </si>
  <si>
    <t>Micah</t>
  </si>
  <si>
    <t>Atticus</t>
  </si>
  <si>
    <t>Rowland</t>
  </si>
  <si>
    <t>Gavin</t>
  </si>
  <si>
    <t>Wheeler</t>
  </si>
  <si>
    <t>Sullivan</t>
  </si>
  <si>
    <t>Emmett</t>
  </si>
  <si>
    <t>Padilla</t>
  </si>
  <si>
    <t>Sims</t>
  </si>
  <si>
    <t>Selena</t>
  </si>
  <si>
    <t>Palacios</t>
  </si>
  <si>
    <t>Hall</t>
  </si>
  <si>
    <t>Barron</t>
  </si>
  <si>
    <t>Rhys</t>
  </si>
  <si>
    <t>Alicia</t>
  </si>
  <si>
    <t>O’Connell</t>
  </si>
  <si>
    <t>Evelynn</t>
  </si>
  <si>
    <t>Snow</t>
  </si>
  <si>
    <t>White</t>
  </si>
  <si>
    <t>Lila</t>
  </si>
  <si>
    <t>Theo</t>
  </si>
  <si>
    <t>Mayer</t>
  </si>
  <si>
    <t>Steven</t>
  </si>
  <si>
    <t>Nadia</t>
  </si>
  <si>
    <t>Greer</t>
  </si>
  <si>
    <t>Sydney</t>
  </si>
  <si>
    <t>Wise</t>
  </si>
  <si>
    <t>Ava</t>
  </si>
  <si>
    <t>Mathis</t>
  </si>
  <si>
    <t>Damon</t>
  </si>
  <si>
    <t>Vaughan</t>
  </si>
  <si>
    <t>Leila</t>
  </si>
  <si>
    <t>Hanna</t>
  </si>
  <si>
    <t>Rowan</t>
  </si>
  <si>
    <t>Henson</t>
  </si>
  <si>
    <t>Clayton</t>
  </si>
  <si>
    <t>Carr</t>
  </si>
  <si>
    <t>Arellano</t>
  </si>
  <si>
    <t>Jonathan</t>
  </si>
  <si>
    <t>Dennis</t>
  </si>
  <si>
    <t>Alijah</t>
  </si>
  <si>
    <t>Conrad</t>
  </si>
  <si>
    <t>Sebastian</t>
  </si>
  <si>
    <t>Kerr</t>
  </si>
  <si>
    <t>Summer</t>
  </si>
  <si>
    <t>Mcintyre</t>
  </si>
  <si>
    <t>June</t>
  </si>
  <si>
    <t>Scott</t>
  </si>
  <si>
    <t>Cordova</t>
  </si>
  <si>
    <t>Johns</t>
  </si>
  <si>
    <t>Payton</t>
  </si>
  <si>
    <t>Roth</t>
  </si>
  <si>
    <t>Titus</t>
  </si>
  <si>
    <t>Schneider</t>
  </si>
  <si>
    <t>Gill</t>
  </si>
  <si>
    <t>Phoenix</t>
  </si>
  <si>
    <t>Ferguson</t>
  </si>
  <si>
    <t>Craig</t>
  </si>
  <si>
    <t>Gonzalez</t>
  </si>
  <si>
    <t>Maria</t>
  </si>
  <si>
    <t>Huffman</t>
  </si>
  <si>
    <t>Curry</t>
  </si>
  <si>
    <t>Magana</t>
  </si>
  <si>
    <t>Kyrie</t>
  </si>
  <si>
    <t>Schroeder</t>
  </si>
  <si>
    <t>Dylan</t>
  </si>
  <si>
    <t>Love</t>
  </si>
  <si>
    <t>Abraham</t>
  </si>
  <si>
    <t>Emily</t>
  </si>
  <si>
    <t>Pugh</t>
  </si>
  <si>
    <t>Gracelyn</t>
  </si>
  <si>
    <t>Middleton</t>
  </si>
  <si>
    <t>Jesse</t>
  </si>
  <si>
    <t>Hubbard</t>
  </si>
  <si>
    <t>Barber</t>
  </si>
  <si>
    <t>Marcus</t>
  </si>
  <si>
    <t>Montes</t>
  </si>
  <si>
    <t>Catalina</t>
  </si>
  <si>
    <t>Rowe</t>
  </si>
  <si>
    <t>Trinity</t>
  </si>
  <si>
    <t>Adkins</t>
  </si>
  <si>
    <t>Cole</t>
  </si>
  <si>
    <t>Ian</t>
  </si>
  <si>
    <t>Page</t>
  </si>
  <si>
    <t>Quintero</t>
  </si>
  <si>
    <t>Huff</t>
  </si>
  <si>
    <t>Ryan</t>
  </si>
  <si>
    <t>Maisie</t>
  </si>
  <si>
    <t>Tanner</t>
  </si>
  <si>
    <t>Simpson</t>
  </si>
  <si>
    <t>Alexandra</t>
  </si>
  <si>
    <t>Kora</t>
  </si>
  <si>
    <t>Colón</t>
  </si>
  <si>
    <t>Samara</t>
  </si>
  <si>
    <t>Martin</t>
  </si>
  <si>
    <t>Mullins</t>
  </si>
  <si>
    <t>Regina</t>
  </si>
  <si>
    <t>Hayes</t>
  </si>
  <si>
    <t>Kaylee</t>
  </si>
  <si>
    <t>Mcgee</t>
  </si>
  <si>
    <t>Novak</t>
  </si>
  <si>
    <t>Wade</t>
  </si>
  <si>
    <t>Sonny</t>
  </si>
  <si>
    <t>Katherine</t>
  </si>
  <si>
    <t>Ximena</t>
  </si>
  <si>
    <t>Matthews</t>
  </si>
  <si>
    <t>Stetson</t>
  </si>
  <si>
    <t>Gray</t>
  </si>
  <si>
    <t>Rosario</t>
  </si>
  <si>
    <t>Casey</t>
  </si>
  <si>
    <t>Sutton</t>
  </si>
  <si>
    <t>Steele</t>
  </si>
  <si>
    <t>Patton</t>
  </si>
  <si>
    <t>Allie</t>
  </si>
  <si>
    <t>Mora</t>
  </si>
  <si>
    <t>Hanson</t>
  </si>
  <si>
    <t>Kayla</t>
  </si>
  <si>
    <t>Barnes</t>
  </si>
  <si>
    <t>Naomi</t>
  </si>
  <si>
    <t>Larson</t>
  </si>
  <si>
    <t>Jasmine</t>
  </si>
  <si>
    <t>Georgia</t>
  </si>
  <si>
    <t>Sterling</t>
  </si>
  <si>
    <t>Makayla</t>
  </si>
  <si>
    <t>Ariana</t>
  </si>
  <si>
    <t>Warren</t>
  </si>
  <si>
    <t>Walker</t>
  </si>
  <si>
    <t>Saige</t>
  </si>
  <si>
    <t>French</t>
  </si>
  <si>
    <t>Hodge</t>
  </si>
  <si>
    <t>Banks</t>
  </si>
  <si>
    <t>Hudson</t>
  </si>
  <si>
    <t>Aisha</t>
  </si>
  <si>
    <t>Jacob</t>
  </si>
  <si>
    <t>Velez</t>
  </si>
  <si>
    <t>Navy</t>
  </si>
  <si>
    <t>Schultz</t>
  </si>
  <si>
    <t>Lilly</t>
  </si>
  <si>
    <t>Rhodes</t>
  </si>
  <si>
    <t>Evelyn</t>
  </si>
  <si>
    <t>Arya</t>
  </si>
  <si>
    <t>Cantrell</t>
  </si>
  <si>
    <t>Sophia</t>
  </si>
  <si>
    <t>Quinn</t>
  </si>
  <si>
    <t>George</t>
  </si>
  <si>
    <t>Rhett</t>
  </si>
  <si>
    <t>Ward</t>
  </si>
  <si>
    <t>Amelia</t>
  </si>
  <si>
    <t>Payne</t>
  </si>
  <si>
    <t>Ortiz</t>
  </si>
  <si>
    <t>Gracie</t>
  </si>
  <si>
    <t>Becker</t>
  </si>
  <si>
    <t>Jaxon</t>
  </si>
  <si>
    <t>Kade</t>
  </si>
  <si>
    <t>Glass</t>
  </si>
  <si>
    <t>Timothy</t>
  </si>
  <si>
    <t>Petersen</t>
  </si>
  <si>
    <t>Elliot</t>
  </si>
  <si>
    <t>Lu</t>
  </si>
  <si>
    <t>Sergio</t>
  </si>
  <si>
    <t>Brooks</t>
  </si>
  <si>
    <t>Randall</t>
  </si>
  <si>
    <t>Potts</t>
  </si>
  <si>
    <t>Herman</t>
  </si>
  <si>
    <t>Gillespie</t>
  </si>
  <si>
    <t>Allison</t>
  </si>
  <si>
    <t>Ingram</t>
  </si>
  <si>
    <t>Reyes</t>
  </si>
  <si>
    <t>Aaliyah</t>
  </si>
  <si>
    <t>Elian</t>
  </si>
  <si>
    <t>Phillips</t>
  </si>
  <si>
    <t>Autumn</t>
  </si>
  <si>
    <t>Emiliano</t>
  </si>
  <si>
    <t>Jacobson</t>
  </si>
  <si>
    <t>Ariah</t>
  </si>
  <si>
    <t>Beasley</t>
  </si>
  <si>
    <t>Malia</t>
  </si>
  <si>
    <t>Aguirre</t>
  </si>
  <si>
    <t>Baylor</t>
  </si>
  <si>
    <t>Nicolas</t>
  </si>
  <si>
    <t>Morrison</t>
  </si>
  <si>
    <t>Caiden</t>
  </si>
  <si>
    <t>Dallas</t>
  </si>
  <si>
    <t>Swanson</t>
  </si>
  <si>
    <t>Carolina</t>
  </si>
  <si>
    <t>Ayden</t>
  </si>
  <si>
    <t>Skylar</t>
  </si>
  <si>
    <t>Noble</t>
  </si>
  <si>
    <t>Hunt</t>
  </si>
  <si>
    <t>Ivy</t>
  </si>
  <si>
    <t>Kayson</t>
  </si>
  <si>
    <t>Washington</t>
  </si>
  <si>
    <t>Savannah</t>
  </si>
  <si>
    <t>Avalos</t>
  </si>
  <si>
    <t>Alan</t>
  </si>
  <si>
    <t>Adams</t>
  </si>
  <si>
    <t>Valerie</t>
  </si>
  <si>
    <t>Brock</t>
  </si>
  <si>
    <t>Itzel</t>
  </si>
  <si>
    <t>Jimena</t>
  </si>
  <si>
    <t>Alyssa</t>
  </si>
  <si>
    <t>Zamora</t>
  </si>
  <si>
    <t>Drake</t>
  </si>
  <si>
    <t>Emma</t>
  </si>
  <si>
    <t>Fatima</t>
  </si>
  <si>
    <t>Bonilla</t>
  </si>
  <si>
    <t>Zander</t>
  </si>
  <si>
    <t>Maddox</t>
  </si>
  <si>
    <t>Doyle</t>
  </si>
  <si>
    <t>Messiah</t>
  </si>
  <si>
    <t>Owen</t>
  </si>
  <si>
    <t>Kendrick</t>
  </si>
  <si>
    <t>Stephenson</t>
  </si>
  <si>
    <t>Hodges</t>
  </si>
  <si>
    <t>Hopkins</t>
  </si>
  <si>
    <t>Serenity</t>
  </si>
  <si>
    <t>Parks</t>
  </si>
  <si>
    <t>Leonardo</t>
  </si>
  <si>
    <t>Graham</t>
  </si>
  <si>
    <t>Ball</t>
  </si>
  <si>
    <t>Moore</t>
  </si>
  <si>
    <t>Liliana</t>
  </si>
  <si>
    <t>Browning</t>
  </si>
  <si>
    <t>Curtis</t>
  </si>
  <si>
    <t>Claire</t>
  </si>
  <si>
    <t>Brennan</t>
  </si>
  <si>
    <t>Osborne</t>
  </si>
  <si>
    <t>Salem</t>
  </si>
  <si>
    <t>Charlee</t>
  </si>
  <si>
    <t>Duffy</t>
  </si>
  <si>
    <t>Hannah</t>
  </si>
  <si>
    <t>Lang</t>
  </si>
  <si>
    <t>Gracelynn</t>
  </si>
  <si>
    <t>Guevara</t>
  </si>
  <si>
    <t>Dominguez</t>
  </si>
  <si>
    <t>Justin</t>
  </si>
  <si>
    <t>Dillon</t>
  </si>
  <si>
    <t>Jaxton</t>
  </si>
  <si>
    <t>Makenna</t>
  </si>
  <si>
    <t>O’Brien</t>
  </si>
  <si>
    <t>Reese</t>
  </si>
  <si>
    <t>Hutchinson</t>
  </si>
  <si>
    <t>Millie</t>
  </si>
  <si>
    <t>Harlow</t>
  </si>
  <si>
    <t>Harmon</t>
  </si>
  <si>
    <t>Camille</t>
  </si>
  <si>
    <t>Lamb</t>
  </si>
  <si>
    <t>Lia</t>
  </si>
  <si>
    <t>Walters</t>
  </si>
  <si>
    <t>Farrell</t>
  </si>
  <si>
    <t>Hurst</t>
  </si>
  <si>
    <t>Ruiz</t>
  </si>
  <si>
    <t>Alayah</t>
  </si>
  <si>
    <t>Adelaide</t>
  </si>
  <si>
    <t>Elaine</t>
  </si>
  <si>
    <t>Ronan</t>
  </si>
  <si>
    <t>Aurora</t>
  </si>
  <si>
    <t>Ricardo</t>
  </si>
  <si>
    <t>Mcconnell</t>
  </si>
  <si>
    <t>Lilah</t>
  </si>
  <si>
    <t>Webster</t>
  </si>
  <si>
    <t>Sylas</t>
  </si>
  <si>
    <t>Lyla</t>
  </si>
  <si>
    <t>Robinson</t>
  </si>
  <si>
    <t>Ho</t>
  </si>
  <si>
    <t>Everleigh</t>
  </si>
  <si>
    <t>Bryson</t>
  </si>
  <si>
    <t>Marshall</t>
  </si>
  <si>
    <t>Sanford</t>
  </si>
  <si>
    <t>Caroline</t>
  </si>
  <si>
    <t>Price</t>
  </si>
  <si>
    <t>Jaylen</t>
  </si>
  <si>
    <t>Harris</t>
  </si>
  <si>
    <t>Grayson</t>
  </si>
  <si>
    <t>Pope</t>
  </si>
  <si>
    <t>Savage</t>
  </si>
  <si>
    <t>Rogers</t>
  </si>
  <si>
    <t>Phoebe</t>
  </si>
  <si>
    <t>Peck</t>
  </si>
  <si>
    <t>Sophie</t>
  </si>
  <si>
    <t>Javier</t>
  </si>
  <si>
    <t>Welch</t>
  </si>
  <si>
    <t>Moran</t>
  </si>
  <si>
    <t>Mayo</t>
  </si>
  <si>
    <t>Octavia</t>
  </si>
  <si>
    <t>Cortéz</t>
  </si>
  <si>
    <t>Bravo</t>
  </si>
  <si>
    <t>Sabrina</t>
  </si>
  <si>
    <t>Augustus</t>
  </si>
  <si>
    <t>Burns</t>
  </si>
  <si>
    <t>Joel</t>
  </si>
  <si>
    <t>Remington</t>
  </si>
  <si>
    <t>Stone</t>
  </si>
  <si>
    <t>Francesca</t>
  </si>
  <si>
    <t>Eaton</t>
  </si>
  <si>
    <t>Violet</t>
  </si>
  <si>
    <t>Journee</t>
  </si>
  <si>
    <t>Hill</t>
  </si>
  <si>
    <t>Valentina</t>
  </si>
  <si>
    <t>Gordon</t>
  </si>
  <si>
    <t>Jett</t>
  </si>
  <si>
    <t>Hobbs</t>
  </si>
  <si>
    <t>Adalyn</t>
  </si>
  <si>
    <t>Atkinson</t>
  </si>
  <si>
    <t>Jose</t>
  </si>
  <si>
    <t>Knapp</t>
  </si>
  <si>
    <t>Ventura</t>
  </si>
  <si>
    <t>Zoey</t>
  </si>
  <si>
    <t>House</t>
  </si>
  <si>
    <t>Willow</t>
  </si>
  <si>
    <t>Vargas</t>
  </si>
  <si>
    <t>Zayden</t>
  </si>
  <si>
    <t>Royalty</t>
  </si>
  <si>
    <t>Mcdonald</t>
  </si>
  <si>
    <t>Adrian</t>
  </si>
  <si>
    <t>Leblanc</t>
  </si>
  <si>
    <t>Bishop</t>
  </si>
  <si>
    <t>Mack</t>
  </si>
  <si>
    <t>Chung</t>
  </si>
  <si>
    <t>Remi</t>
  </si>
  <si>
    <t>Nixon</t>
  </si>
  <si>
    <t>Eleanor</t>
  </si>
  <si>
    <t>Calhoun</t>
  </si>
  <si>
    <t>Aubree</t>
  </si>
  <si>
    <t>Cabrera</t>
  </si>
  <si>
    <t>Kira</t>
  </si>
  <si>
    <t>Reynolds</t>
  </si>
  <si>
    <t>Luis</t>
  </si>
  <si>
    <t>Willis</t>
  </si>
  <si>
    <t>Marsh</t>
  </si>
  <si>
    <t>Whitaker</t>
  </si>
  <si>
    <t>Jefferson</t>
  </si>
  <si>
    <t>Delaney</t>
  </si>
  <si>
    <t>Callan</t>
  </si>
  <si>
    <t>Danielle</t>
  </si>
  <si>
    <t>West</t>
  </si>
  <si>
    <t>Mueller</t>
  </si>
  <si>
    <t>Poppy</t>
  </si>
  <si>
    <t>Mann</t>
  </si>
  <si>
    <t>Cody</t>
  </si>
  <si>
    <t>Simmons</t>
  </si>
  <si>
    <t>Davila</t>
  </si>
  <si>
    <t>Tristan</t>
  </si>
  <si>
    <t>Mckenzie</t>
  </si>
  <si>
    <t>Khan</t>
  </si>
  <si>
    <t>Caldwell</t>
  </si>
  <si>
    <t>Fernandez</t>
  </si>
  <si>
    <t>Catherine</t>
  </si>
  <si>
    <t>Beckett</t>
  </si>
  <si>
    <t>Muhammad</t>
  </si>
  <si>
    <t>Hampton</t>
  </si>
  <si>
    <t>Muñoz</t>
  </si>
  <si>
    <t>Carmen</t>
  </si>
  <si>
    <t>Kenneth</t>
  </si>
  <si>
    <t>Gutierrez</t>
  </si>
  <si>
    <t>Andy</t>
  </si>
  <si>
    <t>Boyd</t>
  </si>
  <si>
    <t>Evangeline</t>
  </si>
  <si>
    <t>Moses</t>
  </si>
  <si>
    <t>Gabriella</t>
  </si>
  <si>
    <t>Esparza</t>
  </si>
  <si>
    <t>Tobias</t>
  </si>
  <si>
    <t>Floyd</t>
  </si>
  <si>
    <t>Rojas</t>
  </si>
  <si>
    <t>Dunn</t>
  </si>
  <si>
    <t>Kelley</t>
  </si>
  <si>
    <t>Kevin</t>
  </si>
  <si>
    <t>Gardner</t>
  </si>
  <si>
    <t>Winter</t>
  </si>
  <si>
    <t>Melton</t>
  </si>
  <si>
    <t>Suarez</t>
  </si>
  <si>
    <t>Merritt</t>
  </si>
  <si>
    <t>Ezra</t>
  </si>
  <si>
    <t>Uriel</t>
  </si>
  <si>
    <t>Stella</t>
  </si>
  <si>
    <t>Armstrong</t>
  </si>
  <si>
    <t>Angelo</t>
  </si>
  <si>
    <t>Ruth</t>
  </si>
  <si>
    <t>Clements</t>
  </si>
  <si>
    <t>Blair</t>
  </si>
  <si>
    <t>Butler</t>
  </si>
  <si>
    <t>Natalie</t>
  </si>
  <si>
    <t>Patel</t>
  </si>
  <si>
    <t>Holmes</t>
  </si>
  <si>
    <t>Green</t>
  </si>
  <si>
    <t>Crew</t>
  </si>
  <si>
    <t>Salinas</t>
  </si>
  <si>
    <t>Bond</t>
  </si>
  <si>
    <t>Compton</t>
  </si>
  <si>
    <t>Terrence</t>
  </si>
  <si>
    <t>Service</t>
  </si>
  <si>
    <t>Price (USD)</t>
  </si>
  <si>
    <t>Resume (service fee)</t>
  </si>
  <si>
    <t>$600</t>
  </si>
  <si>
    <t>Interview Prep</t>
  </si>
  <si>
    <t>$250</t>
  </si>
  <si>
    <t>Networking Strategy</t>
  </si>
  <si>
    <t>Resume + LinkedIn Profile</t>
  </si>
  <si>
    <t>$800</t>
  </si>
  <si>
    <t>LinkedIn Profile</t>
  </si>
  <si>
    <t>$300</t>
  </si>
  <si>
    <t>Mentoring Program</t>
  </si>
  <si>
    <t>$1200</t>
  </si>
  <si>
    <t>WA</t>
  </si>
  <si>
    <t>Broome</t>
  </si>
  <si>
    <t>ACT</t>
  </si>
  <si>
    <t>Canberra</t>
  </si>
  <si>
    <t>NSW</t>
  </si>
  <si>
    <t>Newcastle</t>
  </si>
  <si>
    <t>VIC</t>
  </si>
  <si>
    <t>Ballarat</t>
  </si>
  <si>
    <t>QLD</t>
  </si>
  <si>
    <t>Gold Coast</t>
  </si>
  <si>
    <t>SA</t>
  </si>
  <si>
    <t>Mount Gambier</t>
  </si>
  <si>
    <t>Geelong</t>
  </si>
  <si>
    <t>Fremantle</t>
  </si>
  <si>
    <t>TAS</t>
  </si>
  <si>
    <t>Launceston</t>
  </si>
  <si>
    <t>Hobart</t>
  </si>
  <si>
    <t>Cairns</t>
  </si>
  <si>
    <t>Melbourne</t>
  </si>
  <si>
    <t>NT</t>
  </si>
  <si>
    <t>Darwin</t>
  </si>
  <si>
    <t>Wollongong</t>
  </si>
  <si>
    <t>Perth</t>
  </si>
  <si>
    <t>Brisbane</t>
  </si>
  <si>
    <t>Whyalla</t>
  </si>
  <si>
    <t>Alice Springs</t>
  </si>
  <si>
    <t>Devonport</t>
  </si>
  <si>
    <t>Sales Price (Per unit)</t>
  </si>
  <si>
    <t>Service Booked</t>
  </si>
  <si>
    <t>In Progress</t>
  </si>
  <si>
    <t>Service Provider Expense</t>
  </si>
  <si>
    <t>Margins</t>
  </si>
  <si>
    <t>Margin (in %)</t>
  </si>
  <si>
    <t>Service Category</t>
  </si>
  <si>
    <t>LinkedIn profile</t>
  </si>
  <si>
    <t>Mentoring program</t>
  </si>
  <si>
    <t>+61 8 9929 7089</t>
  </si>
  <si>
    <t>+61 2 2684 3193</t>
  </si>
  <si>
    <t>+61 6 6279 4893</t>
  </si>
  <si>
    <t>+61 9 6193 6662</t>
  </si>
  <si>
    <t>+61 8 2149 9223</t>
  </si>
  <si>
    <t>+61 7 3754 9016</t>
  </si>
  <si>
    <t>+61 2 5999 8075</t>
  </si>
  <si>
    <t>+61 8 5174 1777</t>
  </si>
  <si>
    <t>+61 2 3646 7756</t>
  </si>
  <si>
    <t>+61 7 5771 9670</t>
  </si>
  <si>
    <t>+61 4 3247 8562</t>
  </si>
  <si>
    <t>+61 6 6035 7957</t>
  </si>
  <si>
    <t>+61 5 4315 9069</t>
  </si>
  <si>
    <t>+61 6 4872 6400</t>
  </si>
  <si>
    <t>+61 6 3685 2382</t>
  </si>
  <si>
    <t>+61 3 1281 9764</t>
  </si>
  <si>
    <t>+61 2 8353 1443</t>
  </si>
  <si>
    <t>+61 7 3818 3446</t>
  </si>
  <si>
    <t>+61 9 3972 9212</t>
  </si>
  <si>
    <t>+61 4 6693 3445</t>
  </si>
  <si>
    <t>+61 6 4641 4524</t>
  </si>
  <si>
    <t>+61 4 4909 1170</t>
  </si>
  <si>
    <t>+61 9 2069 3039</t>
  </si>
  <si>
    <t>+61 3 7245 8172</t>
  </si>
  <si>
    <t>+61 3 2697 1777</t>
  </si>
  <si>
    <t>+61 2 6247 7968</t>
  </si>
  <si>
    <t>+61 2 3558 5728</t>
  </si>
  <si>
    <t>+61 4 3819 3436</t>
  </si>
  <si>
    <t>+61 8 6187 1974</t>
  </si>
  <si>
    <t>+61 2 5223 7219</t>
  </si>
  <si>
    <t>+61 4 7114 5580</t>
  </si>
  <si>
    <t>+61 5 3648 6335</t>
  </si>
  <si>
    <t>+61 7 4459 6057</t>
  </si>
  <si>
    <t>+61 3 3537 4490</t>
  </si>
  <si>
    <t>+61 2 9478 4516</t>
  </si>
  <si>
    <t>+61 6 4136 2298</t>
  </si>
  <si>
    <t>+61 6 1603 7513</t>
  </si>
  <si>
    <t>+61 4 8640 6144</t>
  </si>
  <si>
    <t>+61 7 7556 5559</t>
  </si>
  <si>
    <t>+61 9 7387 7435</t>
  </si>
  <si>
    <t>+61 3 1125 8801</t>
  </si>
  <si>
    <t>+61 2 8707 1256</t>
  </si>
  <si>
    <t>+61 4 4894 3292</t>
  </si>
  <si>
    <t>+61 4 4846 8091</t>
  </si>
  <si>
    <t>+61 3 5429 9394</t>
  </si>
  <si>
    <t>+61 3 4274 6770</t>
  </si>
  <si>
    <t>+61 3 5456 4663</t>
  </si>
  <si>
    <t>+61 2 3230 4597</t>
  </si>
  <si>
    <t>+61 4 5733 1690</t>
  </si>
  <si>
    <t>+61 4 4793 3785</t>
  </si>
  <si>
    <t>+61 5 9847 1946</t>
  </si>
  <si>
    <t>+61 2 9438 9181</t>
  </si>
  <si>
    <t>+61 3 9100 4349</t>
  </si>
  <si>
    <t>+61 2 7743 5562</t>
  </si>
  <si>
    <t>+61 6 1800 8105</t>
  </si>
  <si>
    <t>+61 8 4482 1286</t>
  </si>
  <si>
    <t>+61 3 2068 2596</t>
  </si>
  <si>
    <t>+61 8 7435 8384</t>
  </si>
  <si>
    <t>+61 6 8086 1334</t>
  </si>
  <si>
    <t>+61 2 3492 5141</t>
  </si>
  <si>
    <t>+61 6 6452 8362</t>
  </si>
  <si>
    <t>+61 8 6113 5419</t>
  </si>
  <si>
    <t>+61 9 4440 7340</t>
  </si>
  <si>
    <t>+61 7 1636 2524</t>
  </si>
  <si>
    <t>+61 3 5550 3211</t>
  </si>
  <si>
    <t>+61 2 4555 5372</t>
  </si>
  <si>
    <t>+61 7 1631 2802</t>
  </si>
  <si>
    <t>+61 8 7187 1753</t>
  </si>
  <si>
    <t>+61 7 3920 3959</t>
  </si>
  <si>
    <t>+61 3 1862 1493</t>
  </si>
  <si>
    <t>+61 6 1890 9215</t>
  </si>
  <si>
    <t>+61 5 6362 5705</t>
  </si>
  <si>
    <t>+61 3 8660 5395</t>
  </si>
  <si>
    <t>+61 8 8950 5310</t>
  </si>
  <si>
    <t>+61 9 5739 8952</t>
  </si>
  <si>
    <t>+61 8 5349 5901</t>
  </si>
  <si>
    <t>+61 4 3688 5969</t>
  </si>
  <si>
    <t>+61 9 4216 6909</t>
  </si>
  <si>
    <t>+61 7 9022 6640</t>
  </si>
  <si>
    <t>+61 4 6601 4396</t>
  </si>
  <si>
    <t>+61 7 5735 2927</t>
  </si>
  <si>
    <t>+61 3 8666 1404</t>
  </si>
  <si>
    <t>+61 5 6939 1328</t>
  </si>
  <si>
    <t>+61 8 3728 5894</t>
  </si>
  <si>
    <t>+61 6 3418 1922</t>
  </si>
  <si>
    <t>+61 8 2910 7914</t>
  </si>
  <si>
    <t>+61 4 5434 3125</t>
  </si>
  <si>
    <t>+61 2 1302 4663</t>
  </si>
  <si>
    <t>+61 3 3577 1687</t>
  </si>
  <si>
    <t>+61 9 7901 6154</t>
  </si>
  <si>
    <t>+61 8 9703 5285</t>
  </si>
  <si>
    <t>+61 2 8881 2797</t>
  </si>
  <si>
    <t>+61 7 3849 8517</t>
  </si>
  <si>
    <t>+61 6 5402 6258</t>
  </si>
  <si>
    <t>+61 2 1395 7503</t>
  </si>
  <si>
    <t>+61 8 3901 2578</t>
  </si>
  <si>
    <t>+61 4 2614 2207</t>
  </si>
  <si>
    <t>+61 2 7447 5070</t>
  </si>
  <si>
    <t>+61 7 3269 4746</t>
  </si>
  <si>
    <t>+61 9 3545 4286</t>
  </si>
  <si>
    <t>+61 6 1507 3766</t>
  </si>
  <si>
    <t>+61 6 4695 4722</t>
  </si>
  <si>
    <t>+61 7 6592 8091</t>
  </si>
  <si>
    <t>+61 7 8539 7050</t>
  </si>
  <si>
    <t>+61 3 3040 9752</t>
  </si>
  <si>
    <t>+61 7 1593 9784</t>
  </si>
  <si>
    <t>+61 6 3768 2860</t>
  </si>
  <si>
    <t>+61 2 6480 2898</t>
  </si>
  <si>
    <t>+61 3 4656 7360</t>
  </si>
  <si>
    <t>+61 7 4900 6201</t>
  </si>
  <si>
    <t>+61 6 8714 3821</t>
  </si>
  <si>
    <t>+61 9 6012 6163</t>
  </si>
  <si>
    <t>+61 9 2865 3419</t>
  </si>
  <si>
    <t>+61 2 2849 9015</t>
  </si>
  <si>
    <t>+61 5 1573 1844</t>
  </si>
  <si>
    <t>+61 5 2774 5791</t>
  </si>
  <si>
    <t>+61 3 9180 5756</t>
  </si>
  <si>
    <t>+61 2 2601 5037</t>
  </si>
  <si>
    <t>+61 9 5347 3197</t>
  </si>
  <si>
    <t>+61 4 4586 1728</t>
  </si>
  <si>
    <t>+61 4 3356 9902</t>
  </si>
  <si>
    <t>+61 2 3917 9548</t>
  </si>
  <si>
    <t>+61 8 2589 3473</t>
  </si>
  <si>
    <t>+61 7 2265 7067</t>
  </si>
  <si>
    <t>+61 6 1192 5957</t>
  </si>
  <si>
    <t>+61 7 9133 7546</t>
  </si>
  <si>
    <t>+61 9 3571 6748</t>
  </si>
  <si>
    <t>+61 2 4485 1979</t>
  </si>
  <si>
    <t>+61 3 3035 2375</t>
  </si>
  <si>
    <t>+61 2 1570 2706</t>
  </si>
  <si>
    <t>+61 2 4909 4507</t>
  </si>
  <si>
    <t>+61 9 3631 8970</t>
  </si>
  <si>
    <t>+61 8 7579 9079</t>
  </si>
  <si>
    <t>+61 8 3186 1254</t>
  </si>
  <si>
    <t>+61 3 5206 7089</t>
  </si>
  <si>
    <t>+61 6 4646 9808</t>
  </si>
  <si>
    <t>+61 4 8872 4964</t>
  </si>
  <si>
    <t>+61 2 1213 2983</t>
  </si>
  <si>
    <t>+61 8 6491 7251</t>
  </si>
  <si>
    <t>+61 3 7088 1359</t>
  </si>
  <si>
    <t>+61 3 4709 6126</t>
  </si>
  <si>
    <t>+61 2 4964 6632</t>
  </si>
  <si>
    <t>+61 9 5466 4896</t>
  </si>
  <si>
    <t>+61 7 5231 4873</t>
  </si>
  <si>
    <t>+61 2 3936 4942</t>
  </si>
  <si>
    <t>+61 7 7052 5237</t>
  </si>
  <si>
    <t>+61 2 3445 4248</t>
  </si>
  <si>
    <t>+61 8 1649 5175</t>
  </si>
  <si>
    <t>+61 9 7606 1481</t>
  </si>
  <si>
    <t>+61 6 9431 5985</t>
  </si>
  <si>
    <t>+61 3 1576 2190</t>
  </si>
  <si>
    <t>+61 8 3044 6852</t>
  </si>
  <si>
    <t>+61 6 1636 2846</t>
  </si>
  <si>
    <t>+61 2 9735 4987</t>
  </si>
  <si>
    <t>+61 6 3338 8997</t>
  </si>
  <si>
    <t>+61 9 3586 5040</t>
  </si>
  <si>
    <t>+61 8 8998 5233</t>
  </si>
  <si>
    <t>+61 5 6036 7076</t>
  </si>
  <si>
    <t>+61 7 2750 4125</t>
  </si>
  <si>
    <t>+61 2 3057 4306</t>
  </si>
  <si>
    <t>+61 9 8064 1833</t>
  </si>
  <si>
    <t>+61 3 3184 8150</t>
  </si>
  <si>
    <t>+61 5 9754 2178</t>
  </si>
  <si>
    <t>+61 5 2771 9609</t>
  </si>
  <si>
    <t>+61 3 7197 9043</t>
  </si>
  <si>
    <t>+61 4 5673 6955</t>
  </si>
  <si>
    <t>+61 6 7035 7589</t>
  </si>
  <si>
    <t>+61 5 9949 9157</t>
  </si>
  <si>
    <t>+61 3 6166 2541</t>
  </si>
  <si>
    <t>+61 4 3317 6822</t>
  </si>
  <si>
    <t>+61 6 6915 5646</t>
  </si>
  <si>
    <t>+61 8 9955 9053</t>
  </si>
  <si>
    <t>+61 6 9567 1027</t>
  </si>
  <si>
    <t>+61 2 7266 8180</t>
  </si>
  <si>
    <t>+61 2 6714 7732</t>
  </si>
  <si>
    <t>+61 3 4500 7676</t>
  </si>
  <si>
    <t>+61 4 7423 5207</t>
  </si>
  <si>
    <t>+61 6 2538 4144</t>
  </si>
  <si>
    <t>+61 9 2504 5508</t>
  </si>
  <si>
    <t>+61 3 8618 9130</t>
  </si>
  <si>
    <t>+61 2 8190 1793</t>
  </si>
  <si>
    <t>+61 6 3581 2528</t>
  </si>
  <si>
    <t>+61 7 2994 9440</t>
  </si>
  <si>
    <t>+61 4 3151 3154</t>
  </si>
  <si>
    <t>+61 2 8240 3829</t>
  </si>
  <si>
    <t>+61 5 6136 5152</t>
  </si>
  <si>
    <t>+61 4 7131 2101</t>
  </si>
  <si>
    <t>+61 9 9505 4724</t>
  </si>
  <si>
    <t>+61 2 3456 7586</t>
  </si>
  <si>
    <t>+61 8 4883 7717</t>
  </si>
  <si>
    <t>+61 3 7387 1747</t>
  </si>
  <si>
    <t>+61 4 1752 6729</t>
  </si>
  <si>
    <t>+61 9 5577 2262</t>
  </si>
  <si>
    <t>+61 7 6539 2509</t>
  </si>
  <si>
    <t>+61 4 3452 1800</t>
  </si>
  <si>
    <t>+61 7 6237 2109</t>
  </si>
  <si>
    <t>+61 8 3965 4830</t>
  </si>
  <si>
    <t>+61 7 7352 3406</t>
  </si>
  <si>
    <t>+61 5 8029 9708</t>
  </si>
  <si>
    <t>+61 3 3758 3336</t>
  </si>
  <si>
    <t>+61 3 2969 3359</t>
  </si>
  <si>
    <t>+61 2 7701 2644</t>
  </si>
  <si>
    <t>+61 6 2915 6519</t>
  </si>
  <si>
    <t>+61 6 4634 7533</t>
  </si>
  <si>
    <t>+61 5 4174 9967</t>
  </si>
  <si>
    <t>+61 8 9010 3405</t>
  </si>
  <si>
    <t>+61 7 7390 8269</t>
  </si>
  <si>
    <t>+61 7 7986 1424</t>
  </si>
  <si>
    <t>+61 6 9826 5838</t>
  </si>
  <si>
    <t>+61 2 7558 4740</t>
  </si>
  <si>
    <t>+61 3 7806 9582</t>
  </si>
  <si>
    <t>+61 8 6360 8797</t>
  </si>
  <si>
    <t>+61 2 9769 1187</t>
  </si>
  <si>
    <t>+61 6 3126 8733</t>
  </si>
  <si>
    <t>+61 3 4611 4540</t>
  </si>
  <si>
    <t>+61 2 1751 6920</t>
  </si>
  <si>
    <t>+61 6 5457 9565</t>
  </si>
  <si>
    <t>+61 7 5958 7903</t>
  </si>
  <si>
    <t>+61 3 3946 1798</t>
  </si>
  <si>
    <t>+61 3 8776 2770</t>
  </si>
  <si>
    <t>+61 3 3845 6066</t>
  </si>
  <si>
    <t>+61 2 5542 6542</t>
  </si>
  <si>
    <t>+61 4 1034 4670</t>
  </si>
  <si>
    <t>+61 4 8695 2168</t>
  </si>
  <si>
    <t>+61 2 3527 5145</t>
  </si>
  <si>
    <t>+61 4 7413 3436</t>
  </si>
  <si>
    <t>+61 7 8920 6050</t>
  </si>
  <si>
    <t>+61 9 9604 2224</t>
  </si>
  <si>
    <t>+61 2 7351 2472</t>
  </si>
  <si>
    <t>+61 3 3445 1836</t>
  </si>
  <si>
    <t>+61 9 9556 2575</t>
  </si>
  <si>
    <t>+61 7 9920 4262</t>
  </si>
  <si>
    <t>+61 6 1213 4289</t>
  </si>
  <si>
    <t>+61 3 4425 6625</t>
  </si>
  <si>
    <t>+61 3 2472 9476</t>
  </si>
  <si>
    <t>+61 9 2905 3791</t>
  </si>
  <si>
    <t>+61 3 1847 7499</t>
  </si>
  <si>
    <t>+61 4 2886 2825</t>
  </si>
  <si>
    <t>+61 3 4517 5236</t>
  </si>
  <si>
    <t>+61 2 6518 4178</t>
  </si>
  <si>
    <t>+61 3 4093 9473</t>
  </si>
  <si>
    <t>+61 3 7293 1088</t>
  </si>
  <si>
    <t>+61 3 3373 3712</t>
  </si>
  <si>
    <t>+61 7 9640 2971</t>
  </si>
  <si>
    <t>+61 6 4484 3145</t>
  </si>
  <si>
    <t>+61 8 4452 9285</t>
  </si>
  <si>
    <t>+61 2 8619 1250</t>
  </si>
  <si>
    <t>+61 7 4908 1904</t>
  </si>
  <si>
    <t>+61 5 3183 4910</t>
  </si>
  <si>
    <t>+61 4 4772 1999</t>
  </si>
  <si>
    <t>+61 3 4926 7730</t>
  </si>
  <si>
    <t>+61 4 6823 8737</t>
  </si>
  <si>
    <t>+61 7 7282 1265</t>
  </si>
  <si>
    <t>+61 8 3270 4332</t>
  </si>
  <si>
    <t>+61 2 5022 1308</t>
  </si>
  <si>
    <t>+61 6 5584 9269</t>
  </si>
  <si>
    <t>+61 6 2198 6361</t>
  </si>
  <si>
    <t>+61 9 8099 5014</t>
  </si>
  <si>
    <t>+61 9 4992 4841</t>
  </si>
  <si>
    <t>+61 7 7758 6562</t>
  </si>
  <si>
    <t>+61 7 3109 8008</t>
  </si>
  <si>
    <t>+61 4 6123 6348</t>
  </si>
  <si>
    <t>+61 9 4286 2796</t>
  </si>
  <si>
    <t>+61 9 1722 1807</t>
  </si>
  <si>
    <t>+61 5 3246 1038</t>
  </si>
  <si>
    <t>+61 2 5840 5898</t>
  </si>
  <si>
    <t>+61 6 2498 5764</t>
  </si>
  <si>
    <t>+61 2 9687 2093</t>
  </si>
  <si>
    <t>+61 3 5307 5826</t>
  </si>
  <si>
    <t>+61 3 8566 6434</t>
  </si>
  <si>
    <t>+61 8 8003 5827</t>
  </si>
  <si>
    <t>+61 6 6534 6776</t>
  </si>
  <si>
    <t>+61 9 5020 1131</t>
  </si>
  <si>
    <t>+61 3 4212 3879</t>
  </si>
  <si>
    <t>+61 5 3952 8262</t>
  </si>
  <si>
    <t>+61 5 1871 7938</t>
  </si>
  <si>
    <t>+61 9 5969 8091</t>
  </si>
  <si>
    <t>+61 2 4143 8435</t>
  </si>
  <si>
    <t>+61 5 1327 8746</t>
  </si>
  <si>
    <t>+61 8 7906 3910</t>
  </si>
  <si>
    <t>+61 5 9799 7727</t>
  </si>
  <si>
    <t>+61 7 2362 2722</t>
  </si>
  <si>
    <t>+61 6 8657 8263</t>
  </si>
  <si>
    <t>+61 4 9873 1337</t>
  </si>
  <si>
    <t>+61 4 9990 4432</t>
  </si>
  <si>
    <t>+61 9 2100 9195</t>
  </si>
  <si>
    <t>+61 5 1284 3216</t>
  </si>
  <si>
    <t>+61 8 5090 9019</t>
  </si>
  <si>
    <t>+61 9 7448 4994</t>
  </si>
  <si>
    <t>+61 5 5903 9622</t>
  </si>
  <si>
    <t>+61 5 1368 8804</t>
  </si>
  <si>
    <t>+61 4 5490 8093</t>
  </si>
  <si>
    <t>+61 3 8829 8274</t>
  </si>
  <si>
    <t>+61 9 2280 7014</t>
  </si>
  <si>
    <t>+61 2 5133 6518</t>
  </si>
  <si>
    <t>+61 2 9313 3823</t>
  </si>
  <si>
    <t>+61 3 1143 4289</t>
  </si>
  <si>
    <t>+61 2 9649 9859</t>
  </si>
  <si>
    <t>+61 7 3522 1181</t>
  </si>
  <si>
    <t>+61 7 7273 7374</t>
  </si>
  <si>
    <t>+61 9 4336 5417</t>
  </si>
  <si>
    <t>+61 5 3300 3302</t>
  </si>
  <si>
    <t>+61 6 2050 9134</t>
  </si>
  <si>
    <t>+61 2 8634 4007</t>
  </si>
  <si>
    <t>+61 7 6349 8069</t>
  </si>
  <si>
    <t>+61 7 5196 7639</t>
  </si>
  <si>
    <t>+61 3 1640 3321</t>
  </si>
  <si>
    <t>+61 4 1023 5906</t>
  </si>
  <si>
    <t>+61 7 8557 1630</t>
  </si>
  <si>
    <t>+61 6 3368 1313</t>
  </si>
  <si>
    <t>+61 2 5234 8935</t>
  </si>
  <si>
    <t>+61 6 6411 2548</t>
  </si>
  <si>
    <t>+61 3 8840 7087</t>
  </si>
  <si>
    <t>+61 9 4500 6422</t>
  </si>
  <si>
    <t>+61 7 1210 5446</t>
  </si>
  <si>
    <t>+61 7 6719 8414</t>
  </si>
  <si>
    <t>+61 4 2106 2789</t>
  </si>
  <si>
    <t>+61 3 6647 6581</t>
  </si>
  <si>
    <t>+61 3 4440 2950</t>
  </si>
  <si>
    <t>+61 2 8618 2977</t>
  </si>
  <si>
    <t>+61 9 2412 8119</t>
  </si>
  <si>
    <t>+61 8 9300 6908</t>
  </si>
  <si>
    <t>+61 3 9458 1914</t>
  </si>
  <si>
    <t>+61 9 2119 4832</t>
  </si>
  <si>
    <t>+61 5 5371 2920</t>
  </si>
  <si>
    <t>+61 9 7054 9665</t>
  </si>
  <si>
    <t>+61 4 1065 9506</t>
  </si>
  <si>
    <t>+61 2 1988 4731</t>
  </si>
  <si>
    <t>+61 6 3150 6885</t>
  </si>
  <si>
    <t>+61 3 7821 3974</t>
  </si>
  <si>
    <t>+61 7 6006 3452</t>
  </si>
  <si>
    <t>+61 6 5775 5635</t>
  </si>
  <si>
    <t>+61 8 5398 4545</t>
  </si>
  <si>
    <t>+61 8 6692 5490</t>
  </si>
  <si>
    <t>+61 2 9690 7644</t>
  </si>
  <si>
    <t>+61 7 5046 8274</t>
  </si>
  <si>
    <t>+61 9 7457 6647</t>
  </si>
  <si>
    <t>+61 3 9120 2817</t>
  </si>
  <si>
    <t>+61 5 5286 2417</t>
  </si>
  <si>
    <t>+61 3 3116 8053</t>
  </si>
  <si>
    <t>+61 3 4947 5283</t>
  </si>
  <si>
    <t>+61 6 6394 2679</t>
  </si>
  <si>
    <t>+61 4 9070 8038</t>
  </si>
  <si>
    <t>+61 7 3030 3275</t>
  </si>
  <si>
    <t>+61 8 7267 1640</t>
  </si>
  <si>
    <t>+61 8 8094 2946</t>
  </si>
  <si>
    <t>+61 2 7006 2780</t>
  </si>
  <si>
    <t>+61 9 2184 6402</t>
  </si>
  <si>
    <t>+61 2 4745 3970</t>
  </si>
  <si>
    <t>+61 3 6601 4019</t>
  </si>
  <si>
    <t>+61 5 7953 3343</t>
  </si>
  <si>
    <t>+61 3 4860 1426</t>
  </si>
  <si>
    <t>+61 9 1519 7172</t>
  </si>
  <si>
    <t>+61 8 6499 4080</t>
  </si>
  <si>
    <t>+61 5 6428 2775</t>
  </si>
  <si>
    <t>+61 7 4679 4753</t>
  </si>
  <si>
    <t>+61 8 9620 5173</t>
  </si>
  <si>
    <t>+61 8 1111 9888</t>
  </si>
  <si>
    <t>+61 2 4908 9219</t>
  </si>
  <si>
    <t>+61 4 4511 7994</t>
  </si>
  <si>
    <t>+61 2 6796 8985</t>
  </si>
  <si>
    <t>+61 9 9300 4147</t>
  </si>
  <si>
    <t>+61 3 8784 3604</t>
  </si>
  <si>
    <t>+61 9 2445 2988</t>
  </si>
  <si>
    <t>+61 3 1130 2035</t>
  </si>
  <si>
    <t>+61 9 3174 1558</t>
  </si>
  <si>
    <t>+61 5 6075 8503</t>
  </si>
  <si>
    <t>+61 2 5819 9002</t>
  </si>
  <si>
    <t>+61 8 5290 8659</t>
  </si>
  <si>
    <t>+61 2 9924 8192</t>
  </si>
  <si>
    <t>+61 8 7711 5584</t>
  </si>
  <si>
    <t>+61 2 2252 8358</t>
  </si>
  <si>
    <t>+61 4 5636 4220</t>
  </si>
  <si>
    <t>+61 7 7463 1415</t>
  </si>
  <si>
    <t>+61 7 5239 9452</t>
  </si>
  <si>
    <t>+61 5 4500 9667</t>
  </si>
  <si>
    <t>+61 7 7693 6077</t>
  </si>
  <si>
    <t>+61 4 3669 2278</t>
  </si>
  <si>
    <t>+61 8 7884 9125</t>
  </si>
  <si>
    <t>+61 9 3338 2639</t>
  </si>
  <si>
    <t>+61 7 2857 1484</t>
  </si>
  <si>
    <t>+61 9 1378 2610</t>
  </si>
  <si>
    <t>+61 8 6101 4143</t>
  </si>
  <si>
    <t>+61 3 4000 7625</t>
  </si>
  <si>
    <t>+61 8 3890 2127</t>
  </si>
  <si>
    <t>+61 2 4507 2353</t>
  </si>
  <si>
    <t>+61 2 7077 8588</t>
  </si>
  <si>
    <t>+61 7 5660 3870</t>
  </si>
  <si>
    <t>+61 9 1644 6395</t>
  </si>
  <si>
    <t>+61 3 2486 9758</t>
  </si>
  <si>
    <t>+61 7 3020 9401</t>
  </si>
  <si>
    <t>+61 7 9192 1766</t>
  </si>
  <si>
    <t>+61 7 1106 4272</t>
  </si>
  <si>
    <t>+61 5 9106 3119</t>
  </si>
  <si>
    <t>+61 9 5269 3329</t>
  </si>
  <si>
    <t>+61 5 2157 8545</t>
  </si>
  <si>
    <t>+61 7 3763 6131</t>
  </si>
  <si>
    <t>+61 2 5122 7278</t>
  </si>
  <si>
    <t>+61 4 2305 3310</t>
  </si>
  <si>
    <t>+61 8 7024 2977</t>
  </si>
  <si>
    <t>+61 8 7876 3764</t>
  </si>
  <si>
    <t>+61 5 3170 3024</t>
  </si>
  <si>
    <t>+61 2 6331 7379</t>
  </si>
  <si>
    <t>+61 7 9287 3004</t>
  </si>
  <si>
    <t>+61 6 2512 5782</t>
  </si>
  <si>
    <t>+61 7 5781 4076</t>
  </si>
  <si>
    <t>+61 2 2652 6129</t>
  </si>
  <si>
    <t>+61 9 8278 7118</t>
  </si>
  <si>
    <t>+61 4 2555 9635</t>
  </si>
  <si>
    <t>+61 3 8089 5868</t>
  </si>
  <si>
    <t>+61 7 7918 3121</t>
  </si>
  <si>
    <t>+61 8 1062 8209</t>
  </si>
  <si>
    <t>+61 9 2693 6370</t>
  </si>
  <si>
    <t>+61 7 2887 1005</t>
  </si>
  <si>
    <t>+61 3 5949 1538</t>
  </si>
  <si>
    <t>+61 2 3884 6784</t>
  </si>
  <si>
    <t>+61 7 2588 8358</t>
  </si>
  <si>
    <t>+61 3 2685 2177</t>
  </si>
  <si>
    <t>+61 6 3975 3891</t>
  </si>
  <si>
    <t>+61 9 8047 1129</t>
  </si>
  <si>
    <t>+61 4 6190 4393</t>
  </si>
  <si>
    <t>+61 6 1177 8268</t>
  </si>
  <si>
    <t>+61 6 9030 8977</t>
  </si>
  <si>
    <t>+61 4 8544 1955</t>
  </si>
  <si>
    <t>+61 7 3240 9913</t>
  </si>
  <si>
    <t>+61 2 2850 7800</t>
  </si>
  <si>
    <t>+61 2 5851 5693</t>
  </si>
  <si>
    <t>+61 3 7098 2584</t>
  </si>
  <si>
    <t>+61 2 4201 8207</t>
  </si>
  <si>
    <t>+61 8 9061 8391</t>
  </si>
  <si>
    <t>+61 2 4069 7830</t>
  </si>
  <si>
    <t>+61 6 4768 8889</t>
  </si>
  <si>
    <t>+61 2 6408 5571</t>
  </si>
  <si>
    <t>+61 7 9853 6186</t>
  </si>
  <si>
    <t>+61 5 7977 3185</t>
  </si>
  <si>
    <t>+61 7 4099 5063</t>
  </si>
  <si>
    <t>+61 8 7866 7637</t>
  </si>
  <si>
    <t>+61 3 1626 7924</t>
  </si>
  <si>
    <t>+61 9 5293 5625</t>
  </si>
  <si>
    <t>+61 7 7635 8631</t>
  </si>
  <si>
    <t>+61 3 2556 7203</t>
  </si>
  <si>
    <t>+61 7 9486 1321</t>
  </si>
  <si>
    <t>+61 3 1895 9485</t>
  </si>
  <si>
    <t>+61 5 7109 6316</t>
  </si>
  <si>
    <t>+61 2 2886 6912</t>
  </si>
  <si>
    <t>+61 3 8530 6068</t>
  </si>
  <si>
    <t>+61 7 9371 4432</t>
  </si>
  <si>
    <t>+61 2 8216 7125</t>
  </si>
  <si>
    <t>+61 6 9400 6376</t>
  </si>
  <si>
    <t>+61 3 5897 6313</t>
  </si>
  <si>
    <t>+61 8 9364 7186</t>
  </si>
  <si>
    <t>+61 5 4993 3912</t>
  </si>
  <si>
    <t>+61 7 4333 1195</t>
  </si>
  <si>
    <t>+61 7 6731 2160</t>
  </si>
  <si>
    <t>+61 9 7705 8878</t>
  </si>
  <si>
    <t>+61 5 2779 4599</t>
  </si>
  <si>
    <t>+61 5 7072 6820</t>
  </si>
  <si>
    <t>+61 9 6186 6315</t>
  </si>
  <si>
    <t>+61 2 8781 5658</t>
  </si>
  <si>
    <t>+61 2 4369 6515</t>
  </si>
  <si>
    <t>+61 3 4111 7949</t>
  </si>
  <si>
    <t>+61 8 4776 5283</t>
  </si>
  <si>
    <t>+61 4 2225 8852</t>
  </si>
  <si>
    <t>+61 6 4383 6678</t>
  </si>
  <si>
    <t>+61 5 8906 3212</t>
  </si>
  <si>
    <t>+61 2 1610 5076</t>
  </si>
  <si>
    <t>+61 5 6212 2478</t>
  </si>
  <si>
    <t>+61 7 1934 4269</t>
  </si>
  <si>
    <t>+61 2 2138 4725</t>
  </si>
  <si>
    <t>+61 3 4321 5989</t>
  </si>
  <si>
    <t>+61 9 9576 2316</t>
  </si>
  <si>
    <t>+61 2 8187 6860</t>
  </si>
  <si>
    <t>+61 8 8903 3304</t>
  </si>
  <si>
    <t>+61 2 4503 2718</t>
  </si>
  <si>
    <t>+61 8 9020 3126</t>
  </si>
  <si>
    <t>+61 5 2081 9291</t>
  </si>
  <si>
    <t>+61 2 9874 5259</t>
  </si>
  <si>
    <t>+61 6 2479 5667</t>
  </si>
  <si>
    <t>+61 6 2406 7397</t>
  </si>
  <si>
    <t>+61 3 4061 2397</t>
  </si>
  <si>
    <t>+61 9 5334 6624</t>
  </si>
  <si>
    <t>+61 5 3315 6760</t>
  </si>
  <si>
    <t>+61 4 9764 6655</t>
  </si>
  <si>
    <t>+61 9 2738 4323</t>
  </si>
  <si>
    <t>+61 6 4232 4353</t>
  </si>
  <si>
    <t>+61 6 8811 4196</t>
  </si>
  <si>
    <t>+61 6 6392 9189</t>
  </si>
  <si>
    <t>+61 7 9163 6449</t>
  </si>
  <si>
    <t>+61 5 4244 6477</t>
  </si>
  <si>
    <t>+61 6 5755 2649</t>
  </si>
  <si>
    <t>+61 5 1204 8250</t>
  </si>
  <si>
    <t>+61 8 6077 7154</t>
  </si>
  <si>
    <t>+61 4 7311 5651</t>
  </si>
  <si>
    <t>+61 3 3631 3459</t>
  </si>
  <si>
    <t>+61 7 5206 3556</t>
  </si>
  <si>
    <t>+61 3 3078 6417</t>
  </si>
  <si>
    <t>+61 9 8497 4998</t>
  </si>
  <si>
    <t>+61 9 3441 3482</t>
  </si>
  <si>
    <t>+61 8 6529 9607</t>
  </si>
  <si>
    <t>+61 9 5456 3626</t>
  </si>
  <si>
    <t>+61 5 6825 2558</t>
  </si>
  <si>
    <t>+61 8 1392 1348</t>
  </si>
  <si>
    <t>+61 4 5667 8109</t>
  </si>
  <si>
    <t>+61 5 6124 4407</t>
  </si>
  <si>
    <t>+61 4 6730 4657</t>
  </si>
  <si>
    <t>+61 5 2819 4127</t>
  </si>
  <si>
    <t>+61 9 1690 5814</t>
  </si>
  <si>
    <t>+61 8 6422 3707</t>
  </si>
  <si>
    <t>+61 5 4200 6467</t>
  </si>
  <si>
    <t>+61 6 5270 6885</t>
  </si>
  <si>
    <t>+61 6 7813 7359</t>
  </si>
  <si>
    <t>+61 4 4639 8605</t>
  </si>
  <si>
    <t>+61 2 3706 8467</t>
  </si>
  <si>
    <t>+61 5 9007 1338</t>
  </si>
  <si>
    <t>+61 4 5375 5168</t>
  </si>
  <si>
    <t>+61 8 1041 4290</t>
  </si>
  <si>
    <t>+61 2 3426 5126</t>
  </si>
  <si>
    <t>+61 2 3463 1198</t>
  </si>
  <si>
    <t>+61 8 9078 7417</t>
  </si>
  <si>
    <t>+61 7 1150 2105</t>
  </si>
  <si>
    <t>+61 3 1295 4323</t>
  </si>
  <si>
    <t>+61 3 4146 1838</t>
  </si>
  <si>
    <t>+61 9 8241 7773</t>
  </si>
  <si>
    <t>+61 8 1095 9989</t>
  </si>
  <si>
    <t>+61 7 4245 5379</t>
  </si>
  <si>
    <t>+61 3 2943 2215</t>
  </si>
  <si>
    <t>+61 8 6445 1057</t>
  </si>
  <si>
    <t>+61 5 6045 2889</t>
  </si>
  <si>
    <t>+61 7 6762 5320</t>
  </si>
  <si>
    <t>+61 8 5559 7932</t>
  </si>
  <si>
    <t>+61 8 7802 4536</t>
  </si>
  <si>
    <t>+61 6 6114 9971</t>
  </si>
  <si>
    <t>+61 7 5785 7892</t>
  </si>
  <si>
    <t>+61 4 2597 9081</t>
  </si>
  <si>
    <t>+61 6 8697 3773</t>
  </si>
  <si>
    <t>+61 7 6840 7098</t>
  </si>
  <si>
    <t>+61 8 2343 4356</t>
  </si>
  <si>
    <t>+61 5 9558 8299</t>
  </si>
  <si>
    <t>+61 5 7489 1743</t>
  </si>
  <si>
    <t>+61 3 9666 8432</t>
  </si>
  <si>
    <t>+61 5 6231 8063</t>
  </si>
  <si>
    <t>+61 7 9356 6381</t>
  </si>
  <si>
    <t>+61 2 5197 3330</t>
  </si>
  <si>
    <t>+61 3 6565 8944</t>
  </si>
  <si>
    <t>+61 6 2007 5450</t>
  </si>
  <si>
    <t>+61 7 4900 3276</t>
  </si>
  <si>
    <t>+61 4 4517 3075</t>
  </si>
  <si>
    <t>+61 4 7249 6195</t>
  </si>
  <si>
    <t>+61 9 8525 7981</t>
  </si>
  <si>
    <t>+61 6 2983 8302</t>
  </si>
  <si>
    <t>+61 7 2302 6702</t>
  </si>
  <si>
    <t>+61 7 3314 8880</t>
  </si>
  <si>
    <t>+61 8 3461 2672</t>
  </si>
  <si>
    <t>+61 2 7827 7190</t>
  </si>
  <si>
    <t>+61 7 5334 9747</t>
  </si>
  <si>
    <t>+61 8 2524 3784</t>
  </si>
  <si>
    <t>+61 2 2049 7163</t>
  </si>
  <si>
    <t>+61 2 9680 1909</t>
  </si>
  <si>
    <t>+61 6 4139 5719</t>
  </si>
  <si>
    <t>+61 8 5045 2277</t>
  </si>
  <si>
    <t>+61 4 9279 3090</t>
  </si>
  <si>
    <t>+61 6 7328 6468</t>
  </si>
  <si>
    <t>+61 9 3326 1390</t>
  </si>
  <si>
    <t>+61 6 7459 1858</t>
  </si>
  <si>
    <t>+61 4 4940 4497</t>
  </si>
  <si>
    <t>+61 8 1700 5517</t>
  </si>
  <si>
    <t>+61 3 1855 9399</t>
  </si>
  <si>
    <t>+61 2 2756 5034</t>
  </si>
  <si>
    <t>+61 2 3121 4194</t>
  </si>
  <si>
    <t>+61 4 2327 5154</t>
  </si>
  <si>
    <t>+61 7 4934 5320</t>
  </si>
  <si>
    <t>+61 9 5248 5166</t>
  </si>
  <si>
    <t>+61 9 8947 5077</t>
  </si>
  <si>
    <t>+61 4 3808 7633</t>
  </si>
  <si>
    <t>+61 5 8150 2211</t>
  </si>
  <si>
    <t>+61 4 8767 9810</t>
  </si>
  <si>
    <t>+61 8 1586 9178</t>
  </si>
  <si>
    <t>+61 6 3533 2192</t>
  </si>
  <si>
    <t>+61 2 2042 8464</t>
  </si>
  <si>
    <t>+61 9 5576 4110</t>
  </si>
  <si>
    <t>+61 2 9990 8692</t>
  </si>
  <si>
    <t>+61 5 3885 7780</t>
  </si>
  <si>
    <t>+61 6 8219 7980</t>
  </si>
  <si>
    <t>+61 4 3902 2757</t>
  </si>
  <si>
    <t>+61 9 5429 8138</t>
  </si>
  <si>
    <t>+61 5 5549 8954</t>
  </si>
  <si>
    <t>+61 9 8111 2735</t>
  </si>
  <si>
    <t>+61 4 2922 9221</t>
  </si>
  <si>
    <t>+61 7 3100 1232</t>
  </si>
  <si>
    <t>+61 5 9316 8522</t>
  </si>
  <si>
    <t>+61 9 8912 8414</t>
  </si>
  <si>
    <t>+61 3 8691 8551</t>
  </si>
  <si>
    <t>+61 6 7242 1436</t>
  </si>
  <si>
    <t>+61 6 7803 5515</t>
  </si>
  <si>
    <t>+61 3 9418 6024</t>
  </si>
  <si>
    <t>+61 3 2734 3636</t>
  </si>
  <si>
    <t>+61 5 9319 6299</t>
  </si>
  <si>
    <t>+61 3 3308 6958</t>
  </si>
  <si>
    <t>+61 6 6628 5467</t>
  </si>
  <si>
    <t>+61 4 2453 9462</t>
  </si>
  <si>
    <t>+61 9 7896 4970</t>
  </si>
  <si>
    <t>+61 8 6196 8859</t>
  </si>
  <si>
    <t>+61 9 6737 7941</t>
  </si>
  <si>
    <t>+61 2 9292 5134</t>
  </si>
  <si>
    <t>+61 3 5647 3230</t>
  </si>
  <si>
    <t>+61 7 8878 4867</t>
  </si>
  <si>
    <t>+61 8 3125 1232</t>
  </si>
  <si>
    <t>+61 4 5763 9911</t>
  </si>
  <si>
    <t>+61 6 4003 4266</t>
  </si>
  <si>
    <t>+61 4 6580 6268</t>
  </si>
  <si>
    <t>+61 2 3429 9439</t>
  </si>
  <si>
    <t>+61 9 2743 5533</t>
  </si>
  <si>
    <t>+61 8 5352 1899</t>
  </si>
  <si>
    <t>+61 8 8572 4847</t>
  </si>
  <si>
    <t>+61 6 5052 6806</t>
  </si>
  <si>
    <t>+61 3 7577 5035</t>
  </si>
  <si>
    <t>+61 8 8712 3468</t>
  </si>
  <si>
    <t>+61 7 2554 4619</t>
  </si>
  <si>
    <t>+61 9 9758 9277</t>
  </si>
  <si>
    <t>+61 3 4471 2585</t>
  </si>
  <si>
    <t>+61 3 4548 9939</t>
  </si>
  <si>
    <t>+61 4 2181 8430</t>
  </si>
  <si>
    <t>+61 9 3214 5863</t>
  </si>
  <si>
    <t>+61 3 8650 9016</t>
  </si>
  <si>
    <t>+61 2 5599 9574</t>
  </si>
  <si>
    <t>+61 7 9389 6402</t>
  </si>
  <si>
    <t>+61 9 9410 7462</t>
  </si>
  <si>
    <t>+61 5 9679 4455</t>
  </si>
  <si>
    <t>+61 9 4595 1182</t>
  </si>
  <si>
    <t>+61 5 1862 3850</t>
  </si>
  <si>
    <t>+61 5 9589 6157</t>
  </si>
  <si>
    <t>+61 9 2088 4579</t>
  </si>
  <si>
    <t>+61 3 2820 1182</t>
  </si>
  <si>
    <t>+61 8 1282 9452</t>
  </si>
  <si>
    <t>+61 8 5999 7305</t>
  </si>
  <si>
    <t>+61 8 9329 6404</t>
  </si>
  <si>
    <t>+61 9 7687 1598</t>
  </si>
  <si>
    <t>+61 6 3529 8182</t>
  </si>
  <si>
    <t>+61 9 1649 5990</t>
  </si>
  <si>
    <t>+61 2 9702 6218</t>
  </si>
  <si>
    <t>+61 4 9697 5075</t>
  </si>
  <si>
    <t>+61 5 8680 9754</t>
  </si>
  <si>
    <t>+61 2 2000 4435</t>
  </si>
  <si>
    <t>+61 9 4368 8288</t>
  </si>
  <si>
    <t>+61 2 1240 4668</t>
  </si>
  <si>
    <t>+61 9 4874 1313</t>
  </si>
  <si>
    <t>+61 3 7736 7839</t>
  </si>
  <si>
    <t>+61 8 8494 2214</t>
  </si>
  <si>
    <t>+61 2 3597 7348</t>
  </si>
  <si>
    <t>+61 6 8212 8022</t>
  </si>
  <si>
    <t>+61 3 6457 2981</t>
  </si>
  <si>
    <t>+61 9 7562 5019</t>
  </si>
  <si>
    <t>+61 7 8871 4504</t>
  </si>
  <si>
    <t>+61 8 6092 8073</t>
  </si>
  <si>
    <t>+61 5 1259 7152</t>
  </si>
  <si>
    <t>+61 2 1569 1905</t>
  </si>
  <si>
    <t>+61 7 6292 6782</t>
  </si>
  <si>
    <t>+61 7 7862 3307</t>
  </si>
  <si>
    <t>+61 9 6484 4375</t>
  </si>
  <si>
    <t>+61 9 1319 5639</t>
  </si>
  <si>
    <t>+61 7 8530 9220</t>
  </si>
  <si>
    <t>+61 3 8705 4047</t>
  </si>
  <si>
    <t>+61 7 7992 4290</t>
  </si>
  <si>
    <t>+61 9 9996 1404</t>
  </si>
  <si>
    <t>+61 3 7143 4027</t>
  </si>
  <si>
    <t>+61 4 4117 1129</t>
  </si>
  <si>
    <t>+61 3 1701 3745</t>
  </si>
  <si>
    <t>+61 7 3802 4381</t>
  </si>
  <si>
    <t>+61 2 3912 2411</t>
  </si>
  <si>
    <t>+61 4 8595 6702</t>
  </si>
  <si>
    <t>+61 2 7476 9141</t>
  </si>
  <si>
    <t>+61 4 7682 7214</t>
  </si>
  <si>
    <t>+61 4 9918 9128</t>
  </si>
  <si>
    <t>+61 3 1587 3450</t>
  </si>
  <si>
    <t>+61 3 4552 2208</t>
  </si>
  <si>
    <t>+61 6 2516 9152</t>
  </si>
  <si>
    <t>+61 3 4205 6450</t>
  </si>
  <si>
    <t>+61 8 7792 5861</t>
  </si>
  <si>
    <t>+61 3 5177 1630</t>
  </si>
  <si>
    <t>+61 5 5778 6082</t>
  </si>
  <si>
    <t>+61 8 7073 8653</t>
  </si>
  <si>
    <t>+61 2 3899 5216</t>
  </si>
  <si>
    <t>+61 2 6947 1424</t>
  </si>
  <si>
    <t>+61 9 1923 5584</t>
  </si>
  <si>
    <t>+61 3 3918 1790</t>
  </si>
  <si>
    <t>+61 4 6792 7639</t>
  </si>
  <si>
    <t>+61 9 4238 1623</t>
  </si>
  <si>
    <t>+61 8 1654 6783</t>
  </si>
  <si>
    <t>+61 3 2819 5949</t>
  </si>
  <si>
    <t>+61 5 2230 1972</t>
  </si>
  <si>
    <t>+61 8 9008 7266</t>
  </si>
  <si>
    <t>+61 8 7440 9387</t>
  </si>
  <si>
    <t>+61 5 1569 6495</t>
  </si>
  <si>
    <t>+61 4 2577 2448</t>
  </si>
  <si>
    <t>+61 6 9816 1161</t>
  </si>
  <si>
    <t>+61 3 9994 9586</t>
  </si>
  <si>
    <t>+61 6 8016 8509</t>
  </si>
  <si>
    <t>+61 7 8842 8846</t>
  </si>
  <si>
    <t>+61 8 4532 6701</t>
  </si>
  <si>
    <t>+61 2 8445 8695</t>
  </si>
  <si>
    <t>+61 2 7664 9936</t>
  </si>
  <si>
    <t>+61 2 4148 3735</t>
  </si>
  <si>
    <t>+61 9 1647 6146</t>
  </si>
  <si>
    <t>+61 7 9754 6928</t>
  </si>
  <si>
    <t>+61 8 2860 1495</t>
  </si>
  <si>
    <t>+61 5 9022 4189</t>
  </si>
  <si>
    <t>+61 4 5278 7007</t>
  </si>
  <si>
    <t>+61 9 1623 2179</t>
  </si>
  <si>
    <t>+61 9 7209 6188</t>
  </si>
  <si>
    <t>+61 4 8198 1974</t>
  </si>
  <si>
    <t>+61 8 5655 6160</t>
  </si>
  <si>
    <t>+61 5 7878 5007</t>
  </si>
  <si>
    <t>+61 6 5788 7897</t>
  </si>
  <si>
    <t>+61 8 6851 5481</t>
  </si>
  <si>
    <t>+61 2 5790 3825</t>
  </si>
  <si>
    <t>+61 3 1993 3133</t>
  </si>
  <si>
    <t>+61 2 8265 9367</t>
  </si>
  <si>
    <t>+61 7 8607 7855</t>
  </si>
  <si>
    <t>+61 4 5458 7719</t>
  </si>
  <si>
    <t>+61 9 2070 1866</t>
  </si>
  <si>
    <t>+61 2 4251 4528</t>
  </si>
  <si>
    <t>+61 2 1388 4878</t>
  </si>
  <si>
    <t>+61 9 4952 3851</t>
  </si>
  <si>
    <t>+61 2 4875 2517</t>
  </si>
  <si>
    <t>+61 9 6542 2924</t>
  </si>
  <si>
    <t>+61 8 7988 9047</t>
  </si>
  <si>
    <t>+61 6 9128 8842</t>
  </si>
  <si>
    <t>+61 7 6123 3820</t>
  </si>
  <si>
    <t>+61 9 9694 2757</t>
  </si>
  <si>
    <t>+61 5 8191 2980</t>
  </si>
  <si>
    <t>+61 6 4128 7887</t>
  </si>
  <si>
    <t>+61 8 3507 3369</t>
  </si>
  <si>
    <t>+61 8 2790 5877</t>
  </si>
  <si>
    <t>+61 4 3865 4071</t>
  </si>
  <si>
    <t>+61 3 3104 6815</t>
  </si>
  <si>
    <t>+61 2 6319 1578</t>
  </si>
  <si>
    <t>+61 2 8636 6568</t>
  </si>
  <si>
    <t>+61 6 1005 3426</t>
  </si>
  <si>
    <t>+61 5 4101 4003</t>
  </si>
  <si>
    <t>+61 2 2837 7029</t>
  </si>
  <si>
    <t>+61 8 1195 1422</t>
  </si>
  <si>
    <t>+61 4 5476 9238</t>
  </si>
  <si>
    <t>+61 3 7949 9681</t>
  </si>
  <si>
    <t>+61 3 9429 7892</t>
  </si>
  <si>
    <t>+61 6 7064 6818</t>
  </si>
  <si>
    <t>+61 9 1631 1192</t>
  </si>
  <si>
    <t>+61 4 8840 2470</t>
  </si>
  <si>
    <t>+61 7 8222 4251</t>
  </si>
  <si>
    <t>+61 2 5979 6159</t>
  </si>
  <si>
    <t>+61 8 5401 7010</t>
  </si>
  <si>
    <t>+61 6 5930 5424</t>
  </si>
  <si>
    <t>+61 7 5851 4195</t>
  </si>
  <si>
    <t>+61 6 7078 6555</t>
  </si>
  <si>
    <t>+61 5 2670 2417</t>
  </si>
  <si>
    <t>+61 3 5038 4277</t>
  </si>
  <si>
    <t>+61 2 6933 8167</t>
  </si>
  <si>
    <t>+61 6 1194 6947</t>
  </si>
  <si>
    <t>+61 4 4080 8755</t>
  </si>
  <si>
    <t>+61 9 2519 8063</t>
  </si>
  <si>
    <t>+61 2 9506 7848</t>
  </si>
  <si>
    <t>+61 9 3806 1672</t>
  </si>
  <si>
    <t>+61 9 3284 7956</t>
  </si>
  <si>
    <t>+61 6 3437 4535</t>
  </si>
  <si>
    <t>+61 3 5364 2657</t>
  </si>
  <si>
    <t>+61 4 4720 2050</t>
  </si>
  <si>
    <t>+61 8 6430 8522</t>
  </si>
  <si>
    <t>+61 6 1775 2410</t>
  </si>
  <si>
    <t>+61 7 2518 4066</t>
  </si>
  <si>
    <t>+61 3 2040 4771</t>
  </si>
  <si>
    <t>+61 5 6972 3559</t>
  </si>
  <si>
    <t>+61 2 7525 1981</t>
  </si>
  <si>
    <t>+61 8 3398 2588</t>
  </si>
  <si>
    <t>+61 7 3535 3127</t>
  </si>
  <si>
    <t>+61 9 5705 5775</t>
  </si>
  <si>
    <t>+61 3 1237 2978</t>
  </si>
  <si>
    <t>+61 4 3437 8874</t>
  </si>
  <si>
    <t>+61 6 4593 6853</t>
  </si>
  <si>
    <t>+61 2 3441 7354</t>
  </si>
  <si>
    <t>+61 6 4037 4803</t>
  </si>
  <si>
    <t>+61 4 8831 6729</t>
  </si>
  <si>
    <t>+61 3 7451 4831</t>
  </si>
  <si>
    <t>+61 2 9143 7230</t>
  </si>
  <si>
    <t>+61 9 7040 2875</t>
  </si>
  <si>
    <t>+61 3 7636 5229</t>
  </si>
  <si>
    <t>+61 5 2868 8079</t>
  </si>
  <si>
    <t>+61 9 7419 5680</t>
  </si>
  <si>
    <t>+61 4 2766 8754</t>
  </si>
  <si>
    <t>+61 3 2527 3906</t>
  </si>
  <si>
    <t>+61 7 3190 2793</t>
  </si>
  <si>
    <t>+61 8 6304 8751</t>
  </si>
  <si>
    <t>+61 7 9424 1990</t>
  </si>
  <si>
    <t>+61 9 6112 9448</t>
  </si>
  <si>
    <t>+61 7 5941 8155</t>
  </si>
  <si>
    <t>+61 8 4643 1598</t>
  </si>
  <si>
    <t>+61 2 1934 6340</t>
  </si>
  <si>
    <t>+61 8 8831 5776</t>
  </si>
  <si>
    <t>+61 6 3754 9829</t>
  </si>
  <si>
    <t>+61 6 5469 1697</t>
  </si>
  <si>
    <t>+61 6 1752 6221</t>
  </si>
  <si>
    <t>+61 3 5985 2269</t>
  </si>
  <si>
    <t>+61 9 9344 2012</t>
  </si>
  <si>
    <t>+61 4 8085 2603</t>
  </si>
  <si>
    <t>+61 8 9043 7802</t>
  </si>
  <si>
    <t>+61 5 3834 1345</t>
  </si>
  <si>
    <t>+61 2 6414 7362</t>
  </si>
  <si>
    <t>+61 4 3038 4060</t>
  </si>
  <si>
    <t>+61 7 4156 8778</t>
  </si>
  <si>
    <t>+61 8 1558 8894</t>
  </si>
  <si>
    <t>+61 4 5134 5801</t>
  </si>
  <si>
    <t>+61 7 8412 6413</t>
  </si>
  <si>
    <t>+61 7 1573 4823</t>
  </si>
  <si>
    <t>+61 8 4488 4502</t>
  </si>
  <si>
    <t>+61 2 9933 4155</t>
  </si>
  <si>
    <t>+61 4 5456 7383</t>
  </si>
  <si>
    <t>+61 2 3110 9406</t>
  </si>
  <si>
    <t>+61 8 1793 9908</t>
  </si>
  <si>
    <t>+61 6 5978 5212</t>
  </si>
  <si>
    <t>+61 3 7673 2590</t>
  </si>
  <si>
    <t>+61 3 7858 1698</t>
  </si>
  <si>
    <t>+61 3 4518 4408</t>
  </si>
  <si>
    <t>+61 4 9780 7495</t>
  </si>
  <si>
    <t>+61 6 8916 7174</t>
  </si>
  <si>
    <t>+61 5 5589 2886</t>
  </si>
  <si>
    <t>+61 9 1745 1713</t>
  </si>
  <si>
    <t>+61 2 8988 1637</t>
  </si>
  <si>
    <t>+61 2 1597 8892</t>
  </si>
  <si>
    <t>+61 8 7714 4638</t>
  </si>
  <si>
    <t>+61 4 3916 4791</t>
  </si>
  <si>
    <t>+61 2 8150 3701</t>
  </si>
  <si>
    <t>+61 4 5131 9769</t>
  </si>
  <si>
    <t>+61 3 2222 3737</t>
  </si>
  <si>
    <t>+61 7 8730 9484</t>
  </si>
  <si>
    <t>+61 3 4844 2708</t>
  </si>
  <si>
    <t>+61 3 5471 9630</t>
  </si>
  <si>
    <t>+61 5 2076 2548</t>
  </si>
  <si>
    <t>+61 7 2454 8254</t>
  </si>
  <si>
    <t>+61 4 7373 3760</t>
  </si>
  <si>
    <t>+61 3 7065 6013</t>
  </si>
  <si>
    <t>+61 2 2237 5702</t>
  </si>
  <si>
    <t>+61 7 9848 1754</t>
  </si>
  <si>
    <t>+61 5 3191 2697</t>
  </si>
  <si>
    <t>+61 5 3441 2297</t>
  </si>
  <si>
    <t>+61 3 7114 1123</t>
  </si>
  <si>
    <t>+61 2 4172 9162</t>
  </si>
  <si>
    <t>+61 5 8202 9389</t>
  </si>
  <si>
    <t>+61 8 4046 7362</t>
  </si>
  <si>
    <t>+61 6 9269 9267</t>
  </si>
  <si>
    <t>+61 2 7694 5089</t>
  </si>
  <si>
    <t>+61 2 7851 1671</t>
  </si>
  <si>
    <t>+61 3 9040 1489</t>
  </si>
  <si>
    <t>+61 2 2126 8323</t>
  </si>
  <si>
    <t>+61 9 1687 9155</t>
  </si>
  <si>
    <t>+61 9 4712 8943</t>
  </si>
  <si>
    <t>+61 6 4370 9711</t>
  </si>
  <si>
    <t>+61 3 8764 9868</t>
  </si>
  <si>
    <t>+61 8 7556 9184</t>
  </si>
  <si>
    <t>+61 4 4875 7688</t>
  </si>
  <si>
    <t>+61 2 4260 2352</t>
  </si>
  <si>
    <t>+61 4 6987 7057</t>
  </si>
  <si>
    <t>+61 9 4206 6827</t>
  </si>
  <si>
    <t>+61 4 2501 5784</t>
  </si>
  <si>
    <t>+61 6 1149 1612</t>
  </si>
  <si>
    <t>+61 3 3870 1467</t>
  </si>
  <si>
    <t>+61 6 3470 5178</t>
  </si>
  <si>
    <t>+61 4 6516 9335</t>
  </si>
  <si>
    <t>+61 5 8849 1486</t>
  </si>
  <si>
    <t>+61 2 2369 2495</t>
  </si>
  <si>
    <t>+61 3 4213 2277</t>
  </si>
  <si>
    <t>+61 9 6424 8596</t>
  </si>
  <si>
    <t>+61 9 4249 8446</t>
  </si>
  <si>
    <t>+61 5 1589 6261</t>
  </si>
  <si>
    <t>+61 9 7681 1146</t>
  </si>
  <si>
    <t>+61 7 6601 3853</t>
  </si>
  <si>
    <t>+61 4 7987 3390</t>
  </si>
  <si>
    <t>+61 6 2131 5934</t>
  </si>
  <si>
    <t>+61 5 5612 7005</t>
  </si>
  <si>
    <t>+61 7 2472 7638</t>
  </si>
  <si>
    <t>+61 9 9580 4342</t>
  </si>
  <si>
    <t>+61 4 9972 2543</t>
  </si>
  <si>
    <t>+61 9 9752 3166</t>
  </si>
  <si>
    <t>+61 6 8793 2531</t>
  </si>
  <si>
    <t>+61 7 5330 8702</t>
  </si>
  <si>
    <t>+61 8 3368 6261</t>
  </si>
  <si>
    <t>+61 6 1534 6522</t>
  </si>
  <si>
    <t>+61 6 3573 9723</t>
  </si>
  <si>
    <t>+61 8 2553 2421</t>
  </si>
  <si>
    <t>+61 9 8720 1659</t>
  </si>
  <si>
    <t>+61 4 4786 6051</t>
  </si>
  <si>
    <t>+61 4 1098 2552</t>
  </si>
  <si>
    <t>+61 4 9140 7079</t>
  </si>
  <si>
    <t>+61 6 4204 1257</t>
  </si>
  <si>
    <t>+61 8 9465 2211</t>
  </si>
  <si>
    <t>+61 7 2486 2244</t>
  </si>
  <si>
    <t>+61 8 1957 2694</t>
  </si>
  <si>
    <t>+61 2 7016 1161</t>
  </si>
  <si>
    <t>+61 8 6245 1660</t>
  </si>
  <si>
    <t>+61 6 8214 9657</t>
  </si>
  <si>
    <t>+61 9 3905 3692</t>
  </si>
  <si>
    <t>+61 8 4556 9126</t>
  </si>
  <si>
    <t>+61 9 7251 1132</t>
  </si>
  <si>
    <t>+61 2 9938 7426</t>
  </si>
  <si>
    <t>+61 3 8124 4969</t>
  </si>
  <si>
    <t>+61 6 9102 1179</t>
  </si>
  <si>
    <t>+61 4 9457 9775</t>
  </si>
  <si>
    <t>+61 9 6345 5487</t>
  </si>
  <si>
    <t>+61 2 2551 6310</t>
  </si>
  <si>
    <t>+61 8 9576 4400</t>
  </si>
  <si>
    <t>+61 4 8456 7645</t>
  </si>
  <si>
    <t>+61 4 4268 7371</t>
  </si>
  <si>
    <t>+61 5 6116 8150</t>
  </si>
  <si>
    <t>+61 8 8499 6554</t>
  </si>
  <si>
    <t>+61 3 8916 7488</t>
  </si>
  <si>
    <t>+61 8 7837 8020</t>
  </si>
  <si>
    <t>+61 7 3660 9589</t>
  </si>
  <si>
    <t>+61 7 1029 8957</t>
  </si>
  <si>
    <t>+61 5 2857 2489</t>
  </si>
  <si>
    <t>+61 6 1261 1472</t>
  </si>
  <si>
    <t>+61 9 2370 1410</t>
  </si>
  <si>
    <t>+61 5 6542 4896</t>
  </si>
  <si>
    <t>+61 2 1382 4652</t>
  </si>
  <si>
    <t>+61 8 1457 1376</t>
  </si>
  <si>
    <t>+61 9 4300 9324</t>
  </si>
  <si>
    <t>+61 6 7447 5150</t>
  </si>
  <si>
    <t>+61 6 2685 5577</t>
  </si>
  <si>
    <t>+61 7 8100 4537</t>
  </si>
  <si>
    <t>+61 6 6625 6354</t>
  </si>
  <si>
    <t>+61 7 6964 2128</t>
  </si>
  <si>
    <t>+61 2 9772 2108</t>
  </si>
  <si>
    <t>+61 7 6989 9907</t>
  </si>
  <si>
    <t>+61 5 3704 2340</t>
  </si>
  <si>
    <t>+61 8 2027 9658</t>
  </si>
  <si>
    <t>+61 8 2544 7021</t>
  </si>
  <si>
    <t>+61 3 4076 1723</t>
  </si>
  <si>
    <t>+61 5 2716 1025</t>
  </si>
  <si>
    <t>+61 7 1678 2149</t>
  </si>
  <si>
    <t>+61 7 2525 5620</t>
  </si>
  <si>
    <t>+61 3 5001 2543</t>
  </si>
  <si>
    <t>+61 9 1915 9558</t>
  </si>
  <si>
    <t>+61 7 6474 6743</t>
  </si>
  <si>
    <t>+61 5 8722 8622</t>
  </si>
  <si>
    <t>+61 3 9236 9224</t>
  </si>
  <si>
    <t>+61 4 5660 5602</t>
  </si>
  <si>
    <t>+61 3 8458 9206</t>
  </si>
  <si>
    <t>+61 9 7263 1554</t>
  </si>
  <si>
    <t>+61 9 5313 7834</t>
  </si>
  <si>
    <t>+61 7 6496 3019</t>
  </si>
  <si>
    <t>+61 3 6435 5221</t>
  </si>
  <si>
    <t>+61 3 6317 5400</t>
  </si>
  <si>
    <t>+61 9 4614 9272</t>
  </si>
  <si>
    <t>+61 8 7753 1063</t>
  </si>
  <si>
    <t>+61 6 2285 4536</t>
  </si>
  <si>
    <t>+61 6 3619 8646</t>
  </si>
  <si>
    <t>+61 4 7926 6885</t>
  </si>
  <si>
    <t>+61 8 5225 8136</t>
  </si>
  <si>
    <t>+61 8 1343 4176</t>
  </si>
  <si>
    <t>+61 4 1099 4435</t>
  </si>
  <si>
    <t>+61 9 1320 6044</t>
  </si>
  <si>
    <t>+61 7 4701 8525</t>
  </si>
  <si>
    <t>+61 6 2990 2237</t>
  </si>
  <si>
    <t>+61 7 4788 5724</t>
  </si>
  <si>
    <t>+61 3 1117 8287</t>
  </si>
  <si>
    <t>+61 7 9795 2807</t>
  </si>
  <si>
    <t>+61 5 2900 1453</t>
  </si>
  <si>
    <t>+61 5 9903 5751</t>
  </si>
  <si>
    <t>+61 6 5580 9209</t>
  </si>
  <si>
    <t>+61 7 3713 2712</t>
  </si>
  <si>
    <t>+61 5 7778 4107</t>
  </si>
  <si>
    <t>+61 6 2311 7542</t>
  </si>
  <si>
    <t>+61 4 6394 1630</t>
  </si>
  <si>
    <t>+61 9 2131 1244</t>
  </si>
  <si>
    <t>+61 4 4597 6472</t>
  </si>
  <si>
    <t>+61 8 5453 8533</t>
  </si>
  <si>
    <t>+61 6 9989 9472</t>
  </si>
  <si>
    <t>+61 7 3737 7757</t>
  </si>
  <si>
    <t>+61 6 2788 7937</t>
  </si>
  <si>
    <t>+61 9 4399 2405</t>
  </si>
  <si>
    <t>+61 3 2484 4174</t>
  </si>
  <si>
    <t>+61 6 9053 9128</t>
  </si>
  <si>
    <t>+61 4 3324 8517</t>
  </si>
  <si>
    <t>+61 4 7253 6518</t>
  </si>
  <si>
    <t>+61 5 3204 3367</t>
  </si>
  <si>
    <t>+61 3 9151 1956</t>
  </si>
  <si>
    <t>+61 6 3844 8232</t>
  </si>
  <si>
    <t>+61 6 8464 1720</t>
  </si>
  <si>
    <t>+61 5 2454 7375</t>
  </si>
  <si>
    <t>+61 8 3726 3115</t>
  </si>
  <si>
    <t>+61 2 4360 3933</t>
  </si>
  <si>
    <t>+61 7 9552 2775</t>
  </si>
  <si>
    <t>+61 7 6139 7130</t>
  </si>
  <si>
    <t>+61 2 2779 7465</t>
  </si>
  <si>
    <t>+61 4 9335 8082</t>
  </si>
  <si>
    <t>+61 3 2507 8397</t>
  </si>
  <si>
    <t>+61 8 7094 4903</t>
  </si>
  <si>
    <t>+61 8 5129 7834</t>
  </si>
  <si>
    <t>+61 8 1903 8758</t>
  </si>
  <si>
    <t>+61 7 7694 6913</t>
  </si>
  <si>
    <t>+61 3 1902 6560</t>
  </si>
  <si>
    <t>+61 5 3178 5577</t>
  </si>
  <si>
    <t>+61 2 5468 5892</t>
  </si>
  <si>
    <t>+61 8 8824 7418</t>
  </si>
  <si>
    <t>Street Number</t>
  </si>
  <si>
    <t>Street Name</t>
  </si>
  <si>
    <t>Main Street</t>
  </si>
  <si>
    <t>King Street</t>
  </si>
  <si>
    <t>Park Avenue</t>
  </si>
  <si>
    <t>Elizabeth Street</t>
  </si>
  <si>
    <t>George Street</t>
  </si>
  <si>
    <t xml:space="preserve">Correlation chart </t>
  </si>
  <si>
    <t>Histograms</t>
  </si>
  <si>
    <t xml:space="preserve">Categorical - count/tile chart </t>
  </si>
  <si>
    <t>Continuous - geom_points/box plot</t>
  </si>
  <si>
    <t>Histogram  - annotated plot/ density plot</t>
  </si>
  <si>
    <t xml:space="preserve">Graphs </t>
  </si>
  <si>
    <t xml:space="preserve">Numerical &amp; Categorical </t>
  </si>
  <si>
    <t xml:space="preserve">Boxplot </t>
  </si>
  <si>
    <t xml:space="preserve">Describes a distribution </t>
  </si>
  <si>
    <t xml:space="preserve">Categorical &amp; Categorical </t>
  </si>
  <si>
    <t xml:space="preserve">Stacked bar plots </t>
  </si>
  <si>
    <t xml:space="preserve">Tile plots </t>
  </si>
  <si>
    <t>Linear Model</t>
  </si>
  <si>
    <t xml:space="preserve">try to make one </t>
  </si>
  <si>
    <t>Continuous &amp; Continuous</t>
  </si>
  <si>
    <t>scatterplots</t>
  </si>
  <si>
    <t>boxplots</t>
  </si>
  <si>
    <t xml:space="preserve">Single Variables </t>
  </si>
  <si>
    <t>histograms</t>
  </si>
  <si>
    <t>density / bar charts</t>
  </si>
  <si>
    <t>line charts</t>
  </si>
  <si>
    <t xml:space="preserve">SUM , AVG ,COUNT , PIVOT TABLES , DAX function , </t>
  </si>
  <si>
    <t>Error Handling</t>
  </si>
  <si>
    <t xml:space="preserve">Conditional Formatting </t>
  </si>
  <si>
    <t xml:space="preserve">Sorting </t>
  </si>
  <si>
    <t xml:space="preserve">Countif </t>
  </si>
  <si>
    <t>Standardisation</t>
  </si>
  <si>
    <t>Data Validation</t>
  </si>
  <si>
    <t>VLOOKUPS</t>
  </si>
  <si>
    <t>XLOOKUPS</t>
  </si>
  <si>
    <t>Mean</t>
  </si>
  <si>
    <t>Standard Error</t>
  </si>
  <si>
    <t>Median</t>
  </si>
  <si>
    <t>Mode</t>
  </si>
  <si>
    <t>Standard Deviation</t>
  </si>
  <si>
    <t>Sample Variance</t>
  </si>
  <si>
    <t>Kurtosis</t>
  </si>
  <si>
    <t>Skewness</t>
  </si>
  <si>
    <t>Range</t>
  </si>
  <si>
    <t>Minimum</t>
  </si>
  <si>
    <t>Maximum</t>
  </si>
  <si>
    <t>Sum</t>
  </si>
  <si>
    <t>Count</t>
  </si>
  <si>
    <t>Measure</t>
  </si>
  <si>
    <t xml:space="preserve">Expense vs Earnings </t>
  </si>
  <si>
    <t>Scatter plot — Service Provider Expense (X) vs Sale Price or GMROI (Y)</t>
  </si>
  <si>
    <r>
      <t>Why:</t>
    </r>
    <r>
      <rPr>
        <sz val="11"/>
        <color theme="1"/>
        <rFont val="Calibri"/>
        <family val="2"/>
        <scheme val="minor"/>
      </rPr>
      <t xml:space="preserve"> sees correlation: do higher costs buy higher prices/profit? Detects cost-effectiveness.</t>
    </r>
  </si>
  <si>
    <r>
      <t>How:</t>
    </r>
    <r>
      <rPr>
        <sz val="11"/>
        <color theme="1"/>
        <rFont val="Calibri"/>
        <family val="2"/>
        <scheme val="minor"/>
      </rPr>
      <t xml:space="preserve"> Select two numeric columns → </t>
    </r>
    <r>
      <rPr>
        <b/>
        <sz val="11"/>
        <color theme="1"/>
        <rFont val="Calibri"/>
        <family val="2"/>
        <scheme val="minor"/>
      </rPr>
      <t>Insert → Scatter</t>
    </r>
    <r>
      <rPr>
        <sz val="11"/>
        <color theme="1"/>
        <rFont val="Calibri"/>
        <family val="2"/>
        <scheme val="minor"/>
      </rPr>
      <t>.</t>
    </r>
  </si>
  <si>
    <t xml:space="preserve">OR </t>
  </si>
  <si>
    <t xml:space="preserve">CHECK CORRELATION </t>
  </si>
  <si>
    <t>Service Cat / vs / Margin</t>
  </si>
  <si>
    <t>7) Time series line chart — Total Profit over Order Date (daily/weekly/monthly)</t>
  </si>
  <si>
    <r>
      <t>Why:</t>
    </r>
    <r>
      <rPr>
        <sz val="11"/>
        <color theme="1"/>
        <rFont val="Calibri"/>
        <family val="2"/>
        <scheme val="minor"/>
      </rPr>
      <t xml:space="preserve"> reveals trends, seasonality, anomalies.</t>
    </r>
  </si>
  <si>
    <r>
      <t>How:</t>
    </r>
    <r>
      <rPr>
        <sz val="11"/>
        <color theme="1"/>
        <rFont val="Calibri"/>
        <family val="2"/>
        <scheme val="minor"/>
      </rPr>
      <t xml:space="preserve"> Group dates in PivotTable by Month → Sum(Total Profit) → Insert Line Chart.</t>
    </r>
  </si>
  <si>
    <t>Row Labels</t>
  </si>
  <si>
    <t>Grand Total</t>
  </si>
  <si>
    <t>Bronze</t>
  </si>
  <si>
    <t>Gold</t>
  </si>
  <si>
    <t>Silver</t>
  </si>
  <si>
    <t>Customer Segment</t>
  </si>
  <si>
    <t xml:space="preserve">Customer Full Name </t>
  </si>
  <si>
    <t>Acevedo King</t>
  </si>
  <si>
    <t>Adkins Sullivan</t>
  </si>
  <si>
    <t>Allen Dakota</t>
  </si>
  <si>
    <t>Barajas Teagan</t>
  </si>
  <si>
    <t>Barber Marcus</t>
  </si>
  <si>
    <t>Bartlett Manuel</t>
  </si>
  <si>
    <t>Bentley Abel</t>
  </si>
  <si>
    <t>Bernal Koa</t>
  </si>
  <si>
    <t>Bond Malachi</t>
  </si>
  <si>
    <t>Bonilla Melanie</t>
  </si>
  <si>
    <t>Sum of Sale Price</t>
  </si>
  <si>
    <t>1. Most Orders Are Small Quantities</t>
  </si>
  <si>
    <t>Quantity Ordered mean is 2.062.06 (median 22, mode 22), with min 11 and max 33. Most sales are for only a small number of units.</t>
  </si>
  <si>
    <t>Action: Promote upsell/cross-sell strategies to increase basket size, or introduce bulk-buy discounts.</t>
  </si>
  <si>
    <t xml:space="preserve">Month </t>
  </si>
  <si>
    <t>Jan</t>
  </si>
  <si>
    <t>Feb</t>
  </si>
  <si>
    <t>Mar</t>
  </si>
  <si>
    <t>Apr</t>
  </si>
  <si>
    <t>May</t>
  </si>
  <si>
    <t>Jun</t>
  </si>
  <si>
    <t>Jul</t>
  </si>
  <si>
    <t>Aug</t>
  </si>
  <si>
    <t>Sep</t>
  </si>
  <si>
    <t>Oct</t>
  </si>
  <si>
    <t>Nov</t>
  </si>
  <si>
    <t>Dec</t>
  </si>
  <si>
    <t>Sum of Quantity Ordered</t>
  </si>
  <si>
    <t>Customer Count</t>
  </si>
  <si>
    <t>Profit Percentage</t>
  </si>
  <si>
    <t>Month</t>
  </si>
  <si>
    <t>Count of Order ID</t>
  </si>
  <si>
    <t>Profit Margin</t>
  </si>
  <si>
    <t>Total Profit</t>
  </si>
  <si>
    <t xml:space="preserve">Sales Price </t>
  </si>
  <si>
    <t xml:space="preserve">Total Profit </t>
  </si>
  <si>
    <t>Months</t>
  </si>
  <si>
    <t xml:space="preserve"> Quantity </t>
  </si>
  <si>
    <t>SPE</t>
  </si>
  <si>
    <t xml:space="preserve">  Total Profit </t>
  </si>
  <si>
    <t>(blank)</t>
  </si>
  <si>
    <t xml:space="preserve">Count </t>
  </si>
  <si>
    <t>Months ( 2024)</t>
  </si>
  <si>
    <t xml:space="preserve">Total Sale Price </t>
  </si>
  <si>
    <t>Unit Sales Price</t>
  </si>
  <si>
    <t xml:space="preserve">Service Category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</si>
</sst>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 #,##0.00_ ;_ * \-#,##0.00_ ;_ * &quot;-&quot;??_ ;_ @_ "/>
    <numFmt numFmtId="164" formatCode="_ * #,##0_ ;_ * \-#,##0_ ;_ * &quot;-&quot;??_ ;_ @_ "/>
    <numFmt numFmtId="165" formatCode="0.000%"/>
  </numFmts>
  <fonts count="7" x14ac:knownFonts="1">
    <font>
      <sz val="11"/>
      <color theme="1"/>
      <name val="Calibri"/>
      <family val="2"/>
      <scheme val="minor"/>
    </font>
    <font>
      <b/>
      <sz val="11"/>
      <color theme="1"/>
      <name val="Calibri"/>
      <family val="2"/>
      <scheme val="minor"/>
    </font>
    <font>
      <sz val="11"/>
      <color rgb="FFFF0000"/>
      <name val="Calibri"/>
      <family val="2"/>
      <scheme val="minor"/>
    </font>
    <font>
      <i/>
      <sz val="11"/>
      <color theme="1"/>
      <name val="Calibri"/>
      <family val="2"/>
      <scheme val="minor"/>
    </font>
    <font>
      <b/>
      <i/>
      <sz val="11"/>
      <color rgb="FF000000"/>
      <name val="Calibri"/>
      <family val="2"/>
      <scheme val="minor"/>
    </font>
    <font>
      <b/>
      <sz val="13.5"/>
      <color theme="1"/>
      <name val="Calibri"/>
      <family val="2"/>
      <scheme val="minor"/>
    </font>
    <font>
      <sz val="11"/>
      <color theme="1"/>
      <name val="Calibri"/>
      <family val="2"/>
      <scheme val="minor"/>
    </font>
  </fonts>
  <fills count="9">
    <fill>
      <patternFill patternType="none"/>
    </fill>
    <fill>
      <patternFill patternType="gray125"/>
    </fill>
    <fill>
      <patternFill patternType="solid">
        <fgColor theme="0"/>
        <bgColor indexed="64"/>
      </patternFill>
    </fill>
    <fill>
      <patternFill patternType="solid">
        <fgColor theme="5" tint="0.39997558519241921"/>
        <bgColor indexed="64"/>
      </patternFill>
    </fill>
    <fill>
      <patternFill patternType="solid">
        <fgColor rgb="FFFFCC00"/>
        <bgColor indexed="64"/>
      </patternFill>
    </fill>
    <fill>
      <patternFill patternType="solid">
        <fgColor theme="5"/>
        <bgColor indexed="64"/>
      </patternFill>
    </fill>
    <fill>
      <patternFill patternType="solid">
        <fgColor rgb="FFFFFF00"/>
        <bgColor indexed="64"/>
      </patternFill>
    </fill>
    <fill>
      <patternFill patternType="solid">
        <fgColor theme="4" tint="0.39997558519241921"/>
        <bgColor indexed="64"/>
      </patternFill>
    </fill>
    <fill>
      <patternFill patternType="solid">
        <fgColor rgb="FF00B050"/>
        <bgColor indexed="64"/>
      </patternFill>
    </fill>
  </fills>
  <borders count="54">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style="thin">
        <color indexed="64"/>
      </top>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style="medium">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theme="5"/>
      </left>
      <right/>
      <top style="medium">
        <color theme="5"/>
      </top>
      <bottom/>
      <diagonal/>
    </border>
    <border>
      <left/>
      <right/>
      <top style="medium">
        <color theme="5"/>
      </top>
      <bottom/>
      <diagonal/>
    </border>
    <border>
      <left/>
      <right style="medium">
        <color theme="5"/>
      </right>
      <top style="medium">
        <color theme="5"/>
      </top>
      <bottom/>
      <diagonal/>
    </border>
    <border>
      <left style="medium">
        <color theme="5"/>
      </left>
      <right/>
      <top/>
      <bottom/>
      <diagonal/>
    </border>
    <border>
      <left/>
      <right style="medium">
        <color theme="5"/>
      </right>
      <top/>
      <bottom/>
      <diagonal/>
    </border>
    <border>
      <left style="medium">
        <color theme="5"/>
      </left>
      <right/>
      <top/>
      <bottom style="medium">
        <color theme="5"/>
      </bottom>
      <diagonal/>
    </border>
    <border>
      <left/>
      <right/>
      <top/>
      <bottom style="medium">
        <color theme="5"/>
      </bottom>
      <diagonal/>
    </border>
    <border>
      <left/>
      <right style="medium">
        <color theme="5"/>
      </right>
      <top/>
      <bottom style="medium">
        <color theme="5"/>
      </bottom>
      <diagonal/>
    </border>
    <border>
      <left style="medium">
        <color theme="4"/>
      </left>
      <right style="medium">
        <color theme="4"/>
      </right>
      <top style="medium">
        <color theme="4"/>
      </top>
      <bottom style="medium">
        <color theme="4"/>
      </bottom>
      <diagonal/>
    </border>
    <border>
      <left style="medium">
        <color theme="4"/>
      </left>
      <right/>
      <top style="medium">
        <color theme="4"/>
      </top>
      <bottom/>
      <diagonal/>
    </border>
    <border>
      <left/>
      <right/>
      <top style="medium">
        <color theme="4"/>
      </top>
      <bottom/>
      <diagonal/>
    </border>
    <border>
      <left/>
      <right style="medium">
        <color theme="4"/>
      </right>
      <top style="medium">
        <color theme="4"/>
      </top>
      <bottom/>
      <diagonal/>
    </border>
    <border>
      <left style="medium">
        <color theme="4"/>
      </left>
      <right/>
      <top/>
      <bottom/>
      <diagonal/>
    </border>
    <border>
      <left/>
      <right style="medium">
        <color theme="4"/>
      </right>
      <top/>
      <bottom/>
      <diagonal/>
    </border>
    <border>
      <left style="medium">
        <color theme="4"/>
      </left>
      <right/>
      <top/>
      <bottom style="medium">
        <color theme="4"/>
      </bottom>
      <diagonal/>
    </border>
    <border>
      <left/>
      <right/>
      <top/>
      <bottom style="medium">
        <color theme="4"/>
      </bottom>
      <diagonal/>
    </border>
    <border>
      <left/>
      <right style="medium">
        <color theme="4"/>
      </right>
      <top/>
      <bottom style="medium">
        <color theme="4"/>
      </bottom>
      <diagonal/>
    </border>
    <border>
      <left style="medium">
        <color theme="4"/>
      </left>
      <right style="medium">
        <color rgb="FF00FFFF"/>
      </right>
      <top/>
      <bottom/>
      <diagonal/>
    </border>
    <border>
      <left style="medium">
        <color theme="4"/>
      </left>
      <right style="medium">
        <color theme="4"/>
      </right>
      <top style="medium">
        <color theme="4"/>
      </top>
      <bottom/>
      <diagonal/>
    </border>
    <border>
      <left style="medium">
        <color theme="4"/>
      </left>
      <right style="medium">
        <color theme="4"/>
      </right>
      <top/>
      <bottom/>
      <diagonal/>
    </border>
    <border>
      <left style="medium">
        <color theme="4"/>
      </left>
      <right style="medium">
        <color theme="4"/>
      </right>
      <top/>
      <bottom style="medium">
        <color theme="4"/>
      </bottom>
      <diagonal/>
    </border>
    <border>
      <left style="medium">
        <color theme="4"/>
      </left>
      <right/>
      <top style="medium">
        <color theme="4"/>
      </top>
      <bottom style="medium">
        <color theme="4"/>
      </bottom>
      <diagonal/>
    </border>
    <border>
      <left/>
      <right style="medium">
        <color theme="4"/>
      </right>
      <top style="medium">
        <color theme="4"/>
      </top>
      <bottom style="medium">
        <color theme="4"/>
      </bottom>
      <diagonal/>
    </border>
  </borders>
  <cellStyleXfs count="2">
    <xf numFmtId="0" fontId="0" fillId="0" borderId="0"/>
    <xf numFmtId="43" fontId="6" fillId="0" borderId="0" applyFont="0" applyFill="0" applyBorder="0" applyAlignment="0" applyProtection="0"/>
  </cellStyleXfs>
  <cellXfs count="142">
    <xf numFmtId="0" fontId="0" fillId="0" borderId="0" xfId="0"/>
    <xf numFmtId="14" fontId="0" fillId="0" borderId="0" xfId="0" applyNumberFormat="1"/>
    <xf numFmtId="0" fontId="1" fillId="0" borderId="0" xfId="0" applyFont="1" applyAlignment="1">
      <alignment horizontal="center" vertical="center" wrapText="1"/>
    </xf>
    <xf numFmtId="0" fontId="0" fillId="0" borderId="0" xfId="0" applyAlignment="1">
      <alignment vertical="center" wrapText="1"/>
    </xf>
    <xf numFmtId="0" fontId="0" fillId="2" borderId="0" xfId="0" applyFill="1"/>
    <xf numFmtId="0" fontId="1" fillId="2" borderId="1" xfId="0" applyFont="1" applyFill="1" applyBorder="1"/>
    <xf numFmtId="0" fontId="0" fillId="2" borderId="2" xfId="0" applyFill="1" applyBorder="1"/>
    <xf numFmtId="0" fontId="1" fillId="2" borderId="2" xfId="0" applyFont="1" applyFill="1" applyBorder="1"/>
    <xf numFmtId="0" fontId="0" fillId="2" borderId="3" xfId="0" applyFill="1" applyBorder="1"/>
    <xf numFmtId="0" fontId="0" fillId="2" borderId="4" xfId="0" applyFill="1" applyBorder="1"/>
    <xf numFmtId="0" fontId="0" fillId="2" borderId="5" xfId="0" applyFill="1" applyBorder="1"/>
    <xf numFmtId="0" fontId="1" fillId="2" borderId="4" xfId="0" applyFont="1" applyFill="1" applyBorder="1"/>
    <xf numFmtId="0" fontId="1" fillId="2" borderId="0" xfId="0" applyFont="1" applyFill="1"/>
    <xf numFmtId="0" fontId="0" fillId="2" borderId="6" xfId="0" applyFill="1" applyBorder="1"/>
    <xf numFmtId="0" fontId="0" fillId="2" borderId="7" xfId="0" applyFill="1" applyBorder="1"/>
    <xf numFmtId="0" fontId="0" fillId="2" borderId="8" xfId="0" applyFill="1" applyBorder="1"/>
    <xf numFmtId="0" fontId="2" fillId="0" borderId="0" xfId="0" applyFont="1"/>
    <xf numFmtId="0" fontId="0" fillId="0" borderId="0" xfId="0" applyAlignment="1">
      <alignment horizontal="center"/>
    </xf>
    <xf numFmtId="0" fontId="0" fillId="0" borderId="9" xfId="0" applyBorder="1" applyAlignment="1">
      <alignment horizontal="center"/>
    </xf>
    <xf numFmtId="0" fontId="0" fillId="3" borderId="12" xfId="0" applyFill="1" applyBorder="1" applyAlignment="1">
      <alignment horizontal="left"/>
    </xf>
    <xf numFmtId="0" fontId="3" fillId="3" borderId="15" xfId="0" applyFont="1" applyFill="1" applyBorder="1" applyAlignment="1">
      <alignment horizontal="center"/>
    </xf>
    <xf numFmtId="0" fontId="0" fillId="0" borderId="11" xfId="0" applyBorder="1" applyAlignment="1">
      <alignment horizontal="left"/>
    </xf>
    <xf numFmtId="0" fontId="0" fillId="0" borderId="10" xfId="0" applyBorder="1" applyAlignment="1">
      <alignment horizontal="center"/>
    </xf>
    <xf numFmtId="0" fontId="0" fillId="0" borderId="14" xfId="0" applyBorder="1" applyAlignment="1">
      <alignment horizontal="left"/>
    </xf>
    <xf numFmtId="0" fontId="0" fillId="0" borderId="13" xfId="0" applyBorder="1" applyAlignment="1">
      <alignment horizontal="center"/>
    </xf>
    <xf numFmtId="0" fontId="0" fillId="0" borderId="16" xfId="0" applyBorder="1" applyAlignment="1">
      <alignment horizontal="center"/>
    </xf>
    <xf numFmtId="0" fontId="4" fillId="0" borderId="0" xfId="0" applyFont="1" applyAlignment="1">
      <alignment horizontal="center" vertical="center"/>
    </xf>
    <xf numFmtId="0" fontId="5" fillId="0" borderId="0" xfId="0" applyFont="1" applyAlignment="1">
      <alignment vertical="center"/>
    </xf>
    <xf numFmtId="0" fontId="1" fillId="0" borderId="0" xfId="0" applyFont="1"/>
    <xf numFmtId="0" fontId="0" fillId="4" borderId="0" xfId="0" applyFill="1"/>
    <xf numFmtId="0" fontId="0" fillId="5" borderId="0" xfId="0" applyFill="1"/>
    <xf numFmtId="0" fontId="0" fillId="5" borderId="0" xfId="0" applyFill="1" applyAlignment="1">
      <alignment horizontal="center"/>
    </xf>
    <xf numFmtId="164" fontId="0" fillId="0" borderId="0" xfId="1" applyNumberFormat="1" applyFont="1" applyAlignment="1">
      <alignment horizontal="center"/>
    </xf>
    <xf numFmtId="0" fontId="0" fillId="6" borderId="0" xfId="0" applyFill="1" applyAlignment="1">
      <alignment horizontal="center"/>
    </xf>
    <xf numFmtId="14" fontId="0" fillId="0" borderId="0" xfId="0" applyNumberFormat="1" applyAlignment="1">
      <alignment horizontal="center"/>
    </xf>
    <xf numFmtId="0" fontId="0" fillId="7" borderId="0" xfId="0" applyFill="1" applyAlignment="1">
      <alignment horizontal="center"/>
    </xf>
    <xf numFmtId="0" fontId="0" fillId="7" borderId="0" xfId="0" applyFill="1"/>
    <xf numFmtId="0" fontId="0" fillId="7" borderId="1" xfId="0" applyFill="1" applyBorder="1"/>
    <xf numFmtId="0" fontId="0" fillId="7" borderId="2" xfId="0" applyFill="1" applyBorder="1"/>
    <xf numFmtId="0" fontId="1" fillId="7" borderId="2" xfId="0" applyFont="1" applyFill="1" applyBorder="1" applyAlignment="1">
      <alignment horizontal="center"/>
    </xf>
    <xf numFmtId="0" fontId="0" fillId="7" borderId="2" xfId="0" applyFill="1" applyBorder="1" applyAlignment="1">
      <alignment horizontal="center"/>
    </xf>
    <xf numFmtId="0" fontId="0" fillId="7" borderId="3" xfId="0" applyFill="1" applyBorder="1"/>
    <xf numFmtId="0" fontId="0" fillId="7" borderId="4" xfId="0" applyFill="1" applyBorder="1"/>
    <xf numFmtId="0" fontId="0" fillId="7" borderId="5" xfId="0" applyFill="1" applyBorder="1"/>
    <xf numFmtId="0" fontId="0" fillId="7" borderId="6" xfId="0" applyFill="1" applyBorder="1"/>
    <xf numFmtId="0" fontId="0" fillId="7" borderId="7" xfId="0" applyFill="1" applyBorder="1"/>
    <xf numFmtId="0" fontId="0" fillId="7" borderId="7" xfId="0" applyFill="1" applyBorder="1" applyAlignment="1">
      <alignment horizontal="center"/>
    </xf>
    <xf numFmtId="0" fontId="0" fillId="7" borderId="8" xfId="0" applyFill="1" applyBorder="1"/>
    <xf numFmtId="0" fontId="0" fillId="7" borderId="18" xfId="0" applyFill="1" applyBorder="1"/>
    <xf numFmtId="0" fontId="0" fillId="7" borderId="19" xfId="0" applyFill="1" applyBorder="1"/>
    <xf numFmtId="0" fontId="0" fillId="7" borderId="24" xfId="0" applyFill="1" applyBorder="1"/>
    <xf numFmtId="0" fontId="0" fillId="7" borderId="20" xfId="0" applyFill="1" applyBorder="1"/>
    <xf numFmtId="0" fontId="0" fillId="7" borderId="21" xfId="0" applyFill="1" applyBorder="1" applyAlignment="1">
      <alignment horizontal="left"/>
    </xf>
    <xf numFmtId="165" fontId="0" fillId="7" borderId="2" xfId="0" applyNumberFormat="1" applyFill="1" applyBorder="1"/>
    <xf numFmtId="0" fontId="0" fillId="7" borderId="22" xfId="0" applyFill="1" applyBorder="1" applyAlignment="1">
      <alignment horizontal="left"/>
    </xf>
    <xf numFmtId="0" fontId="0" fillId="7" borderId="23" xfId="0" applyFill="1" applyBorder="1" applyAlignment="1">
      <alignment horizontal="left"/>
    </xf>
    <xf numFmtId="0" fontId="0" fillId="7" borderId="18" xfId="0" applyFill="1" applyBorder="1" applyAlignment="1">
      <alignment horizontal="left"/>
    </xf>
    <xf numFmtId="165" fontId="0" fillId="7" borderId="7" xfId="0" applyNumberFormat="1" applyFill="1" applyBorder="1"/>
    <xf numFmtId="0" fontId="0" fillId="7" borderId="9" xfId="0" applyFill="1" applyBorder="1" applyAlignment="1">
      <alignment horizontal="center"/>
    </xf>
    <xf numFmtId="0" fontId="3" fillId="7" borderId="0" xfId="0" applyFont="1" applyFill="1" applyAlignment="1">
      <alignment horizontal="center"/>
    </xf>
    <xf numFmtId="0" fontId="0" fillId="7" borderId="17" xfId="0" applyFill="1" applyBorder="1"/>
    <xf numFmtId="10" fontId="0" fillId="7" borderId="9" xfId="0" applyNumberFormat="1" applyFill="1" applyBorder="1" applyAlignment="1">
      <alignment horizontal="center"/>
    </xf>
    <xf numFmtId="0" fontId="1" fillId="7" borderId="2" xfId="0" applyFont="1" applyFill="1" applyBorder="1"/>
    <xf numFmtId="0" fontId="0" fillId="7" borderId="3" xfId="0" applyFill="1" applyBorder="1" applyAlignment="1">
      <alignment horizontal="center"/>
    </xf>
    <xf numFmtId="0" fontId="0" fillId="7" borderId="5" xfId="0" applyFill="1" applyBorder="1" applyAlignment="1">
      <alignment horizontal="center"/>
    </xf>
    <xf numFmtId="0" fontId="0" fillId="7" borderId="8" xfId="0" applyFill="1" applyBorder="1" applyAlignment="1">
      <alignment horizontal="center"/>
    </xf>
    <xf numFmtId="0" fontId="0" fillId="8" borderId="9" xfId="0" applyFill="1" applyBorder="1" applyAlignment="1">
      <alignment horizontal="center"/>
    </xf>
    <xf numFmtId="0" fontId="0" fillId="7" borderId="27" xfId="0" applyFill="1" applyBorder="1" applyAlignment="1">
      <alignment horizontal="center"/>
    </xf>
    <xf numFmtId="0" fontId="0" fillId="7" borderId="17" xfId="0" applyFill="1" applyBorder="1" applyAlignment="1">
      <alignment horizontal="center"/>
    </xf>
    <xf numFmtId="0" fontId="0" fillId="7" borderId="25" xfId="0" applyFill="1" applyBorder="1" applyAlignment="1">
      <alignment horizontal="center"/>
    </xf>
    <xf numFmtId="10" fontId="0" fillId="7" borderId="26" xfId="0" applyNumberFormat="1" applyFill="1" applyBorder="1" applyAlignment="1">
      <alignment horizontal="center"/>
    </xf>
    <xf numFmtId="0" fontId="0" fillId="7" borderId="27" xfId="0" applyNumberFormat="1" applyFill="1" applyBorder="1" applyAlignment="1">
      <alignment horizontal="center"/>
    </xf>
    <xf numFmtId="10" fontId="0" fillId="7" borderId="28" xfId="0" applyNumberFormat="1" applyFill="1" applyBorder="1" applyAlignment="1">
      <alignment horizontal="center"/>
    </xf>
    <xf numFmtId="0" fontId="0" fillId="7" borderId="17" xfId="0" applyNumberFormat="1" applyFill="1" applyBorder="1" applyAlignment="1">
      <alignment horizontal="center"/>
    </xf>
    <xf numFmtId="0" fontId="0" fillId="7" borderId="25" xfId="0" applyNumberFormat="1" applyFill="1" applyBorder="1" applyAlignment="1">
      <alignment horizontal="center"/>
    </xf>
    <xf numFmtId="0" fontId="0" fillId="7" borderId="29" xfId="0" applyFill="1" applyBorder="1" applyAlignment="1">
      <alignment horizontal="center"/>
    </xf>
    <xf numFmtId="0" fontId="0" fillId="7" borderId="30" xfId="0" applyFill="1" applyBorder="1" applyAlignment="1">
      <alignment horizontal="center"/>
    </xf>
    <xf numFmtId="0" fontId="0" fillId="0" borderId="0" xfId="0" applyNumberFormat="1" applyBorder="1"/>
    <xf numFmtId="0" fontId="0" fillId="7" borderId="1" xfId="0" applyNumberFormat="1" applyFill="1" applyBorder="1"/>
    <xf numFmtId="0" fontId="0" fillId="7" borderId="2" xfId="0" applyNumberFormat="1" applyFill="1" applyBorder="1"/>
    <xf numFmtId="0" fontId="0" fillId="7" borderId="3" xfId="0" applyNumberFormat="1" applyFill="1" applyBorder="1"/>
    <xf numFmtId="0" fontId="0" fillId="7" borderId="6" xfId="0" applyNumberFormat="1" applyFill="1" applyBorder="1"/>
    <xf numFmtId="0" fontId="0" fillId="7" borderId="7" xfId="0" applyNumberFormat="1" applyFill="1" applyBorder="1"/>
    <xf numFmtId="0" fontId="0" fillId="7" borderId="8" xfId="0" applyNumberFormat="1" applyFill="1" applyBorder="1"/>
    <xf numFmtId="0" fontId="0" fillId="7" borderId="4" xfId="0" applyNumberFormat="1" applyFill="1" applyBorder="1"/>
    <xf numFmtId="0" fontId="0" fillId="7" borderId="0" xfId="0" applyNumberFormat="1" applyFill="1" applyBorder="1"/>
    <xf numFmtId="165" fontId="0" fillId="7" borderId="0" xfId="0" applyNumberFormat="1" applyFill="1" applyBorder="1"/>
    <xf numFmtId="0" fontId="0" fillId="7" borderId="5" xfId="0" applyNumberFormat="1" applyFill="1" applyBorder="1"/>
    <xf numFmtId="0" fontId="0" fillId="7" borderId="8" xfId="0" applyNumberFormat="1" applyFill="1" applyBorder="1" applyAlignment="1">
      <alignment horizontal="center"/>
    </xf>
    <xf numFmtId="0" fontId="0" fillId="7" borderId="1" xfId="0" applyNumberFormat="1" applyFill="1" applyBorder="1" applyAlignment="1">
      <alignment horizontal="center"/>
    </xf>
    <xf numFmtId="0" fontId="0" fillId="7" borderId="3" xfId="0" applyNumberFormat="1" applyFill="1" applyBorder="1" applyAlignment="1">
      <alignment horizontal="center"/>
    </xf>
    <xf numFmtId="0" fontId="0" fillId="7" borderId="6" xfId="0" applyNumberFormat="1" applyFill="1" applyBorder="1" applyAlignment="1">
      <alignment horizontal="center"/>
    </xf>
    <xf numFmtId="0" fontId="0" fillId="7" borderId="18" xfId="0" applyFill="1" applyBorder="1" applyAlignment="1">
      <alignment horizontal="center"/>
    </xf>
    <xf numFmtId="0" fontId="0" fillId="7" borderId="19" xfId="0" applyFill="1" applyBorder="1" applyAlignment="1">
      <alignment horizontal="center"/>
    </xf>
    <xf numFmtId="0" fontId="0" fillId="7" borderId="20" xfId="0" applyFill="1" applyBorder="1" applyAlignment="1">
      <alignment horizontal="center"/>
    </xf>
    <xf numFmtId="0" fontId="0" fillId="7" borderId="5" xfId="0" applyNumberFormat="1" applyFill="1" applyBorder="1" applyAlignment="1">
      <alignment horizontal="center"/>
    </xf>
    <xf numFmtId="0" fontId="0" fillId="7" borderId="4" xfId="0" applyNumberFormat="1" applyFill="1" applyBorder="1" applyAlignment="1">
      <alignment horizontal="center"/>
    </xf>
    <xf numFmtId="0" fontId="0" fillId="7" borderId="21" xfId="0" applyFill="1" applyBorder="1" applyAlignment="1">
      <alignment horizontal="center"/>
    </xf>
    <xf numFmtId="0" fontId="0" fillId="7" borderId="22" xfId="0" applyFill="1" applyBorder="1" applyAlignment="1">
      <alignment horizontal="center"/>
    </xf>
    <xf numFmtId="0" fontId="0" fillId="7" borderId="23" xfId="0" applyFill="1" applyBorder="1" applyAlignment="1">
      <alignment horizontal="center"/>
    </xf>
    <xf numFmtId="0" fontId="0" fillId="0" borderId="0" xfId="0" applyBorder="1"/>
    <xf numFmtId="0" fontId="3" fillId="3" borderId="0" xfId="0" applyFont="1" applyFill="1" applyBorder="1" applyAlignment="1">
      <alignment horizontal="center"/>
    </xf>
    <xf numFmtId="0" fontId="0" fillId="0" borderId="0" xfId="0" pivotButton="1" applyBorder="1"/>
    <xf numFmtId="0" fontId="0" fillId="0" borderId="0" xfId="0" applyBorder="1" applyAlignment="1">
      <alignment horizontal="left"/>
    </xf>
    <xf numFmtId="0" fontId="0" fillId="0" borderId="31" xfId="0" applyBorder="1"/>
    <xf numFmtId="0" fontId="0" fillId="0" borderId="32" xfId="0" applyBorder="1"/>
    <xf numFmtId="0" fontId="0" fillId="0" borderId="33" xfId="0" applyBorder="1"/>
    <xf numFmtId="0" fontId="0" fillId="0" borderId="34" xfId="0" applyBorder="1"/>
    <xf numFmtId="0" fontId="0" fillId="6" borderId="0" xfId="0" applyFill="1" applyBorder="1"/>
    <xf numFmtId="0" fontId="0" fillId="6" borderId="0" xfId="0" applyFill="1" applyBorder="1" applyAlignment="1">
      <alignment horizontal="center"/>
    </xf>
    <xf numFmtId="0" fontId="0" fillId="0" borderId="35" xfId="0" applyBorder="1"/>
    <xf numFmtId="0" fontId="0" fillId="6" borderId="0" xfId="0" applyFill="1" applyBorder="1" applyAlignment="1">
      <alignment horizontal="left"/>
    </xf>
    <xf numFmtId="0" fontId="0" fillId="0" borderId="0" xfId="0" applyBorder="1" applyAlignment="1">
      <alignment horizontal="center"/>
    </xf>
    <xf numFmtId="0" fontId="0" fillId="6" borderId="0" xfId="0" applyFill="1" applyBorder="1" applyAlignment="1">
      <alignment horizontal="left" indent="1"/>
    </xf>
    <xf numFmtId="0" fontId="0" fillId="0" borderId="0" xfId="0" applyNumberFormat="1" applyBorder="1" applyAlignment="1">
      <alignment horizontal="center"/>
    </xf>
    <xf numFmtId="0" fontId="0" fillId="0" borderId="36" xfId="0" applyBorder="1"/>
    <xf numFmtId="0" fontId="0" fillId="0" borderId="37" xfId="0" applyBorder="1"/>
    <xf numFmtId="0" fontId="0" fillId="0" borderId="38" xfId="0" applyBorder="1"/>
    <xf numFmtId="0" fontId="0" fillId="0" borderId="40" xfId="0" applyBorder="1"/>
    <xf numFmtId="0" fontId="0" fillId="0" borderId="41" xfId="0" applyBorder="1"/>
    <xf numFmtId="0" fontId="0" fillId="0" borderId="42" xfId="0" applyBorder="1"/>
    <xf numFmtId="0" fontId="0" fillId="0" borderId="43" xfId="0" applyBorder="1"/>
    <xf numFmtId="0" fontId="0" fillId="0" borderId="44" xfId="0" applyBorder="1"/>
    <xf numFmtId="0" fontId="0" fillId="0" borderId="45" xfId="0" applyBorder="1"/>
    <xf numFmtId="0" fontId="0" fillId="0" borderId="46" xfId="0" applyBorder="1"/>
    <xf numFmtId="0" fontId="0" fillId="0" borderId="47" xfId="0" applyBorder="1"/>
    <xf numFmtId="0" fontId="0" fillId="0" borderId="48" xfId="0" applyBorder="1"/>
    <xf numFmtId="0" fontId="0" fillId="0" borderId="43" xfId="0" applyBorder="1" applyAlignment="1">
      <alignment horizontal="left"/>
    </xf>
    <xf numFmtId="0" fontId="0" fillId="0" borderId="44" xfId="0" applyNumberFormat="1" applyBorder="1"/>
    <xf numFmtId="0" fontId="0" fillId="0" borderId="47" xfId="0" applyNumberFormat="1" applyBorder="1"/>
    <xf numFmtId="0" fontId="0" fillId="0" borderId="40" xfId="0" applyNumberFormat="1" applyBorder="1"/>
    <xf numFmtId="0" fontId="0" fillId="0" borderId="42" xfId="0" applyNumberFormat="1" applyBorder="1"/>
    <xf numFmtId="0" fontId="0" fillId="0" borderId="43" xfId="0" applyNumberFormat="1" applyBorder="1"/>
    <xf numFmtId="0" fontId="0" fillId="0" borderId="45" xfId="0" applyNumberFormat="1" applyBorder="1"/>
    <xf numFmtId="0" fontId="0" fillId="0" borderId="39" xfId="0" pivotButton="1" applyBorder="1"/>
    <xf numFmtId="0" fontId="0" fillId="0" borderId="49" xfId="0" applyBorder="1" applyAlignment="1">
      <alignment horizontal="left"/>
    </xf>
    <xf numFmtId="0" fontId="0" fillId="0" borderId="50" xfId="0" applyBorder="1" applyAlignment="1">
      <alignment horizontal="left"/>
    </xf>
    <xf numFmtId="0" fontId="0" fillId="0" borderId="51" xfId="0" applyBorder="1" applyAlignment="1">
      <alignment horizontal="left"/>
    </xf>
    <xf numFmtId="0" fontId="0" fillId="0" borderId="39" xfId="0" applyBorder="1" applyAlignment="1">
      <alignment horizontal="left"/>
    </xf>
    <xf numFmtId="0" fontId="0" fillId="0" borderId="52" xfId="0" applyBorder="1"/>
    <xf numFmtId="0" fontId="0" fillId="0" borderId="53" xfId="0" applyBorder="1"/>
    <xf numFmtId="0" fontId="0" fillId="0" borderId="43" xfId="0" pivotButton="1" applyBorder="1"/>
  </cellXfs>
  <cellStyles count="2">
    <cellStyle name="Comma" xfId="1" builtinId="3"/>
    <cellStyle name="Normal" xfId="0" builtinId="0"/>
  </cellStyles>
  <dxfs count="245">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border>
        <left style="medium">
          <color theme="4"/>
        </left>
        <right style="medium">
          <color theme="4"/>
        </right>
        <top style="medium">
          <color theme="4"/>
        </top>
        <bottom style="medium">
          <color theme="4"/>
        </bottom>
      </border>
    </dxf>
    <dxf>
      <border>
        <left style="medium">
          <color theme="4"/>
        </left>
        <right style="medium">
          <color theme="4"/>
        </right>
        <top style="medium">
          <color theme="4"/>
        </top>
        <bottom style="medium">
          <color theme="4"/>
        </bottom>
      </border>
    </dxf>
    <dxf>
      <border>
        <left style="medium">
          <color theme="4"/>
        </left>
        <right style="medium">
          <color theme="4"/>
        </right>
        <top style="medium">
          <color theme="4"/>
        </top>
        <bottom style="medium">
          <color theme="4"/>
        </bottom>
      </border>
    </dxf>
    <dxf>
      <border>
        <left style="medium">
          <color theme="4"/>
        </left>
        <right style="medium">
          <color theme="4"/>
        </right>
        <top style="medium">
          <color theme="4"/>
        </top>
        <bottom style="medium">
          <color theme="4"/>
        </bottom>
      </border>
    </dxf>
    <dxf>
      <border>
        <left style="medium">
          <color theme="4"/>
        </left>
        <right style="medium">
          <color theme="4"/>
        </right>
        <top style="medium">
          <color theme="4"/>
        </top>
        <bottom style="medium">
          <color theme="4"/>
        </bottom>
      </border>
    </dxf>
    <dxf>
      <border>
        <left style="medium">
          <color theme="4"/>
        </left>
        <right style="medium">
          <color theme="4"/>
        </right>
        <top style="medium">
          <color theme="4"/>
        </top>
        <bottom style="medium">
          <color theme="4"/>
        </bottom>
      </border>
    </dxf>
    <dxf>
      <border>
        <left style="medium">
          <color theme="4"/>
        </left>
        <right style="medium">
          <color theme="4"/>
        </right>
        <top style="medium">
          <color theme="4"/>
        </top>
        <bottom style="medium">
          <color theme="4"/>
        </bottom>
      </border>
    </dxf>
    <dxf>
      <border>
        <left style="medium">
          <color theme="4"/>
        </left>
        <right style="medium">
          <color theme="4"/>
        </right>
        <top style="medium">
          <color theme="4"/>
        </top>
        <bottom style="medium">
          <color theme="4"/>
        </bottom>
      </border>
    </dxf>
    <dxf>
      <border>
        <left style="medium">
          <color theme="4"/>
        </left>
        <right style="medium">
          <color theme="4"/>
        </right>
        <top style="medium">
          <color theme="4"/>
        </top>
        <bottom style="medium">
          <color theme="4"/>
        </bottom>
      </border>
    </dxf>
    <dxf>
      <border>
        <left style="medium">
          <color theme="4"/>
        </left>
        <right style="medium">
          <color theme="4"/>
        </right>
        <top style="medium">
          <color theme="4"/>
        </top>
        <bottom style="medium">
          <color theme="4"/>
        </bottom>
      </border>
    </dxf>
    <dxf>
      <alignment horizontal="center"/>
    </dxf>
    <dxf>
      <alignment horizontal="center"/>
    </dxf>
    <dxf>
      <border>
        <left style="medium">
          <color theme="5"/>
        </left>
        <right style="medium">
          <color theme="5"/>
        </right>
        <top style="medium">
          <color theme="5"/>
        </top>
        <bottom style="medium">
          <color theme="5"/>
        </bottom>
      </border>
    </dxf>
    <dxf>
      <border>
        <left style="medium">
          <color theme="5"/>
        </left>
        <right style="medium">
          <color theme="5"/>
        </right>
        <top style="medium">
          <color theme="5"/>
        </top>
        <bottom style="medium">
          <color theme="5"/>
        </bottom>
      </border>
    </dxf>
    <dxf>
      <border>
        <left style="medium">
          <color theme="5"/>
        </left>
        <right style="medium">
          <color theme="5"/>
        </right>
        <top style="medium">
          <color theme="5"/>
        </top>
        <bottom style="medium">
          <color theme="5"/>
        </bottom>
      </border>
    </dxf>
    <dxf>
      <border>
        <left style="medium">
          <color theme="5"/>
        </left>
        <right style="medium">
          <color theme="5"/>
        </right>
        <top style="medium">
          <color theme="5"/>
        </top>
        <bottom style="medium">
          <color theme="5"/>
        </bottom>
      </border>
    </dxf>
    <dxf>
      <border>
        <left style="medium">
          <color theme="5"/>
        </left>
        <right style="medium">
          <color theme="5"/>
        </right>
        <top style="medium">
          <color theme="5"/>
        </top>
        <bottom style="medium">
          <color theme="5"/>
        </bottom>
      </border>
    </dxf>
    <dxf>
      <border>
        <left style="medium">
          <color theme="5"/>
        </left>
        <right style="medium">
          <color theme="5"/>
        </right>
        <top style="medium">
          <color theme="5"/>
        </top>
        <bottom style="medium">
          <color theme="5"/>
        </bottom>
      </border>
    </dxf>
    <dxf>
      <alignment horizontal="center"/>
    </dxf>
    <dxf>
      <alignment horizontal="center"/>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border>
        <left style="medium">
          <color theme="5"/>
        </left>
        <right style="medium">
          <color theme="5"/>
        </right>
        <top style="medium">
          <color theme="5"/>
        </top>
        <bottom style="medium">
          <color theme="5"/>
        </bottom>
      </border>
    </dxf>
    <dxf>
      <border>
        <left style="medium">
          <color theme="5"/>
        </left>
        <right style="medium">
          <color theme="5"/>
        </right>
        <top style="medium">
          <color theme="5"/>
        </top>
        <bottom style="medium">
          <color theme="5"/>
        </bottom>
      </border>
    </dxf>
    <dxf>
      <border>
        <left style="medium">
          <color theme="5"/>
        </left>
        <right style="medium">
          <color theme="5"/>
        </right>
        <top style="medium">
          <color theme="5"/>
        </top>
        <bottom style="medium">
          <color theme="5"/>
        </bottom>
      </border>
    </dxf>
    <dxf>
      <border>
        <left style="medium">
          <color theme="5"/>
        </left>
        <right style="medium">
          <color theme="5"/>
        </right>
        <top style="medium">
          <color theme="5"/>
        </top>
        <bottom style="medium">
          <color theme="5"/>
        </bottom>
      </border>
    </dxf>
    <dxf>
      <border>
        <left style="medium">
          <color theme="5"/>
        </left>
        <right style="medium">
          <color theme="5"/>
        </right>
        <top style="medium">
          <color theme="5"/>
        </top>
        <bottom style="medium">
          <color theme="5"/>
        </bottom>
      </border>
    </dxf>
    <dxf>
      <border>
        <left style="medium">
          <color theme="5"/>
        </left>
        <right style="medium">
          <color theme="5"/>
        </right>
        <top style="medium">
          <color theme="5"/>
        </top>
        <bottom style="medium">
          <color theme="5"/>
        </bottom>
      </border>
    </dxf>
    <dxf>
      <border>
        <left style="medium">
          <color theme="5"/>
        </left>
        <right style="medium">
          <color theme="5"/>
        </right>
        <top style="medium">
          <color theme="5"/>
        </top>
        <bottom style="medium">
          <color theme="5"/>
        </bottom>
      </border>
    </dxf>
    <dxf>
      <border>
        <left style="medium">
          <color theme="5"/>
        </left>
        <right style="medium">
          <color theme="5"/>
        </right>
        <top style="medium">
          <color theme="5"/>
        </top>
        <bottom style="medium">
          <color theme="5"/>
        </bottom>
      </border>
    </dxf>
    <dxf>
      <border>
        <left style="medium">
          <color theme="5"/>
        </left>
        <right style="medium">
          <color theme="5"/>
        </right>
        <top style="medium">
          <color theme="5"/>
        </top>
        <bottom style="medium">
          <color theme="5"/>
        </bottom>
      </border>
    </dxf>
    <dxf>
      <border>
        <left style="medium">
          <color theme="5"/>
        </left>
        <right style="medium">
          <color theme="5"/>
        </right>
        <top style="medium">
          <color theme="5"/>
        </top>
        <bottom style="medium">
          <color theme="5"/>
        </bottom>
      </border>
    </dxf>
    <dxf>
      <border>
        <left style="medium">
          <color theme="5"/>
        </left>
        <right style="medium">
          <color theme="5"/>
        </right>
        <top style="medium">
          <color theme="5"/>
        </top>
        <bottom style="medium">
          <color theme="5"/>
        </bottom>
      </border>
    </dxf>
    <dxf>
      <border>
        <left style="medium">
          <color theme="5"/>
        </left>
        <right style="medium">
          <color theme="5"/>
        </right>
        <top style="medium">
          <color theme="5"/>
        </top>
        <bottom style="medium">
          <color theme="5"/>
        </bottom>
      </border>
    </dxf>
    <dxf>
      <border>
        <left style="medium">
          <color theme="5"/>
        </left>
        <right style="medium">
          <color theme="5"/>
        </right>
        <top style="medium">
          <color theme="5"/>
        </top>
        <bottom style="medium">
          <color theme="5"/>
        </bottom>
      </border>
    </dxf>
    <dxf>
      <border>
        <left style="medium">
          <color theme="5"/>
        </left>
        <right style="medium">
          <color theme="5"/>
        </right>
        <top style="medium">
          <color theme="5"/>
        </top>
        <bottom style="medium">
          <color theme="5"/>
        </bottom>
      </border>
    </dxf>
    <dxf>
      <border>
        <left style="medium">
          <color theme="5"/>
        </left>
        <right style="medium">
          <color theme="5"/>
        </right>
        <top style="medium">
          <color theme="5"/>
        </top>
        <bottom style="medium">
          <color theme="5"/>
        </bottom>
      </border>
    </dxf>
    <dxf>
      <border>
        <left style="medium">
          <color theme="5"/>
        </left>
        <right style="medium">
          <color theme="5"/>
        </right>
        <top style="medium">
          <color theme="5"/>
        </top>
        <bottom style="medium">
          <color theme="5"/>
        </bottom>
      </border>
    </dxf>
    <dxf>
      <border>
        <left style="medium">
          <color theme="4"/>
        </left>
        <right style="medium">
          <color theme="4"/>
        </right>
        <top style="medium">
          <color theme="4"/>
        </top>
        <bottom style="medium">
          <color theme="4"/>
        </bottom>
      </border>
    </dxf>
    <dxf>
      <border>
        <left style="medium">
          <color theme="4"/>
        </left>
        <right style="medium">
          <color theme="4"/>
        </right>
        <top style="medium">
          <color theme="4"/>
        </top>
        <bottom style="medium">
          <color theme="4"/>
        </bottom>
      </border>
    </dxf>
    <dxf>
      <border>
        <left style="medium">
          <color theme="4"/>
        </left>
        <right style="medium">
          <color theme="4"/>
        </right>
        <top style="medium">
          <color theme="4"/>
        </top>
        <bottom style="medium">
          <color theme="4"/>
        </bottom>
      </border>
    </dxf>
    <dxf>
      <border>
        <left style="medium">
          <color theme="4"/>
        </left>
        <right style="medium">
          <color theme="4"/>
        </right>
        <top style="medium">
          <color theme="4"/>
        </top>
        <bottom style="medium">
          <color theme="4"/>
        </bottom>
      </border>
    </dxf>
    <dxf>
      <border>
        <left style="medium">
          <color theme="4"/>
        </left>
        <right style="medium">
          <color theme="4"/>
        </right>
        <top style="medium">
          <color theme="4"/>
        </top>
        <bottom style="medium">
          <color theme="4"/>
        </bottom>
      </border>
    </dxf>
    <dxf>
      <border>
        <left style="medium">
          <color theme="4"/>
        </left>
        <right style="medium">
          <color theme="4"/>
        </right>
        <top style="medium">
          <color theme="4"/>
        </top>
        <bottom style="medium">
          <color theme="4"/>
        </bottom>
      </border>
    </dxf>
    <dxf>
      <fill>
        <patternFill patternType="none">
          <fgColor indexed="64"/>
          <bgColor indexed="65"/>
        </patternFill>
      </fill>
      <alignment horizontal="center" vertical="bottom" textRotation="0" wrapText="0"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fill>
        <patternFill patternType="none">
          <fgColor indexed="64"/>
          <bgColor indexed="65"/>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indexed="65"/>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fgColor indexed="64"/>
          <bgColor indexed="65"/>
        </patternFill>
      </fill>
      <alignment horizontal="left" vertical="bottom" textRotation="0" wrapText="0" indent="0" justifyLastLine="0" shrinkToFit="0" readingOrder="0"/>
      <border diagonalUp="0" diagonalDown="0">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bottom style="medium">
          <color indexed="64"/>
        </bottom>
      </border>
    </dxf>
    <dxf>
      <border diagonalUp="0" diagonalDown="0">
        <left style="medium">
          <color indexed="64"/>
        </left>
        <right style="medium">
          <color indexed="64"/>
        </right>
        <top style="medium">
          <color indexed="64"/>
        </top>
        <bottom style="medium">
          <color indexed="64"/>
        </bottom>
      </border>
    </dxf>
    <dxf>
      <fill>
        <patternFill patternType="none">
          <fgColor indexed="64"/>
          <bgColor indexed="65"/>
        </patternFill>
      </fill>
      <alignment horizontal="center" vertical="bottom" textRotation="0" wrapText="0" indent="0" justifyLastLine="0" shrinkToFit="0" readingOrder="0"/>
    </dxf>
    <dxf>
      <font>
        <b val="0"/>
        <i/>
        <strike val="0"/>
        <condense val="0"/>
        <extend val="0"/>
        <outline val="0"/>
        <shadow val="0"/>
        <u val="none"/>
        <vertAlign val="baseline"/>
        <sz val="11"/>
        <color theme="1"/>
        <name val="Calibri"/>
        <family val="2"/>
        <scheme val="minor"/>
      </font>
      <fill>
        <patternFill patternType="solid">
          <fgColor indexed="64"/>
          <bgColor theme="5" tint="0.39997558519241921"/>
        </patternFill>
      </fill>
      <alignment horizontal="center" vertical="bottom" textRotation="0" wrapText="0" indent="0" justifyLastLine="0" shrinkToFit="0" readingOrder="0"/>
      <border diagonalUp="0" diagonalDown="0" outline="0">
        <left/>
        <right/>
        <top/>
        <bottom/>
      </border>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
      <font>
        <b val="0"/>
      </font>
      <fill>
        <patternFill patternType="solid">
          <fgColor indexed="64"/>
          <bgColor theme="4" tint="0.39997558519241921"/>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font>
      <fill>
        <patternFill patternType="solid">
          <fgColor indexed="64"/>
          <bgColor theme="4" tint="0.39997558519241921"/>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font>
      <fill>
        <patternFill patternType="solid">
          <fgColor indexed="64"/>
          <bgColor theme="4" tint="0.39997558519241921"/>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font>
      <fill>
        <patternFill patternType="solid">
          <fgColor indexed="64"/>
          <bgColor theme="4" tint="0.39997558519241921"/>
        </patternFill>
      </fil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font>
        <b val="0"/>
      </font>
      <fill>
        <patternFill patternType="solid">
          <fgColor indexed="64"/>
          <bgColor theme="4" tint="0.39997558519241921"/>
        </patternFill>
      </fill>
      <alignment horizontal="general" vertical="bottom" textRotation="0" wrapText="0" indent="0" justifyLastLine="0" shrinkToFit="0" readingOrder="0"/>
      <border diagonalUp="0" diagonalDown="0">
        <left style="thin">
          <color indexed="64"/>
        </left>
        <right style="thin">
          <color indexed="64"/>
        </right>
        <top style="thin">
          <color indexed="64"/>
        </top>
        <bottom style="thin">
          <color indexed="64"/>
        </bottom>
      </border>
    </dxf>
    <dxf>
      <border diagonalUp="0" diagonalDown="0">
        <left style="medium">
          <color indexed="64"/>
        </left>
        <right style="medium">
          <color indexed="64"/>
        </right>
        <top style="medium">
          <color indexed="64"/>
        </top>
        <bottom style="medium">
          <color indexed="64"/>
        </bottom>
      </border>
    </dxf>
    <dxf>
      <font>
        <b val="0"/>
        <family val="2"/>
      </font>
      <fill>
        <patternFill patternType="solid">
          <fgColor indexed="64"/>
          <bgColor theme="4" tint="0.39997558519241921"/>
        </patternFill>
      </fill>
      <alignment horizontal="center" vertical="bottom" textRotation="0" wrapText="0" indent="0" justifyLastLine="0" shrinkToFit="0" readingOrder="0"/>
    </dxf>
    <dxf>
      <font>
        <b val="0"/>
        <i/>
        <strike val="0"/>
        <condense val="0"/>
        <extend val="0"/>
        <outline val="0"/>
        <shadow val="0"/>
        <u val="none"/>
        <vertAlign val="baseline"/>
        <sz val="11"/>
        <color theme="1"/>
        <name val="Calibri"/>
        <family val="2"/>
        <scheme val="minor"/>
      </font>
      <fill>
        <patternFill patternType="solid">
          <fgColor indexed="64"/>
          <bgColor theme="4" tint="0.39997558519241921"/>
        </patternFill>
      </fill>
      <alignment horizontal="center" vertical="bottom" textRotation="0" wrapText="0" indent="0" justifyLastLine="0" shrinkToFit="0" readingOrder="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fill>
        <patternFill>
          <bgColor theme="4" tint="0.39997558519241921"/>
        </patternFill>
      </fill>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fill>
        <patternFill>
          <bgColor theme="4" tint="0.79998168889431442"/>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bgColor theme="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alignment horizontal="center"/>
    </dxf>
    <dxf>
      <alignment horizontal="center"/>
    </dxf>
    <dxf>
      <alignment horizontal="center"/>
    </dxf>
    <dxf>
      <alignment horizontal="center"/>
    </dxf>
    <dxf>
      <alignment horizontal="center"/>
    </dxf>
    <dxf>
      <alignment horizontal="cent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border>
        <left style="medium">
          <color indexed="64"/>
        </left>
        <top style="medium">
          <color indexed="64"/>
        </top>
        <bottom style="medium">
          <color indexed="64"/>
        </bottom>
      </border>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fill>
        <patternFill patternType="solid">
          <bgColor theme="4" tint="0.39997558519241921"/>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0" formatCode="General"/>
    </dxf>
    <dxf>
      <numFmt numFmtId="0" formatCode="General"/>
    </dxf>
    <dxf>
      <numFmt numFmtId="0" formatCode="General"/>
    </dxf>
    <dxf>
      <numFmt numFmtId="19" formatCode="dd/mm/yyyy"/>
      <alignment horizontal="center" vertical="bottom" textRotation="0" wrapText="0" indent="0" justifyLastLine="0" shrinkToFit="0" readingOrder="0"/>
    </dxf>
    <dxf>
      <numFmt numFmtId="19" formatCode="dd/mm/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dxf>
    <dxf>
      <numFmt numFmtId="0" formatCode="General"/>
    </dxf>
    <dxf>
      <numFmt numFmtId="164" formatCode="_ * #,##0_ ;_ * \-#,##0_ ;_ * &quot;-&quot;??_ ;_ @_ "/>
      <alignment horizontal="center" vertical="bottom" textRotation="0" wrapText="0" indent="0" justifyLastLine="0" shrinkToFit="0" readingOrder="0"/>
    </dxf>
    <dxf>
      <numFmt numFmtId="19" formatCode="dd/mm/yyyy"/>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A50021"/>
      <color rgb="FF66FF33"/>
      <color rgb="FF00FFFF"/>
      <color rgb="FF56CF39"/>
      <color rgb="FF3131BF"/>
      <color rgb="FFFFCC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openxmlformats.org/officeDocument/2006/relationships/pivotCacheDefinition" Target="pivotCache/pivotCacheDefinition7.xml"/><Relationship Id="rId18" Type="http://schemas.microsoft.com/office/2007/relationships/slicerCache" Target="slicerCaches/slicerCache5.xml"/><Relationship Id="rId26" Type="http://schemas.openxmlformats.org/officeDocument/2006/relationships/styles" Target="styles.xml"/><Relationship Id="rId3" Type="http://schemas.openxmlformats.org/officeDocument/2006/relationships/worksheet" Target="worksheets/sheet3.xml"/><Relationship Id="rId21" Type="http://schemas.microsoft.com/office/2007/relationships/slicerCache" Target="slicerCaches/slicerCache8.xml"/><Relationship Id="rId34" Type="http://schemas.openxmlformats.org/officeDocument/2006/relationships/customXml" Target="../customXml/item5.xml"/><Relationship Id="rId7" Type="http://schemas.openxmlformats.org/officeDocument/2006/relationships/pivotCacheDefinition" Target="pivotCache/pivotCacheDefinition1.xml"/><Relationship Id="rId12" Type="http://schemas.openxmlformats.org/officeDocument/2006/relationships/pivotCacheDefinition" Target="pivotCache/pivotCacheDefinition6.xml"/><Relationship Id="rId17" Type="http://schemas.microsoft.com/office/2007/relationships/slicerCache" Target="slicerCaches/slicerCache4.xml"/><Relationship Id="rId25" Type="http://schemas.openxmlformats.org/officeDocument/2006/relationships/connections" Target="connections.xml"/><Relationship Id="rId33" Type="http://schemas.openxmlformats.org/officeDocument/2006/relationships/customXml" Target="../customXml/item4.xml"/><Relationship Id="rId38" Type="http://schemas.openxmlformats.org/officeDocument/2006/relationships/customXml" Target="../customXml/item9.xml"/><Relationship Id="rId2" Type="http://schemas.openxmlformats.org/officeDocument/2006/relationships/worksheet" Target="worksheets/sheet2.xml"/><Relationship Id="rId16" Type="http://schemas.microsoft.com/office/2007/relationships/slicerCache" Target="slicerCaches/slicerCache3.xml"/><Relationship Id="rId20" Type="http://schemas.microsoft.com/office/2007/relationships/slicerCache" Target="slicerCaches/slicerCache7.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theme" Target="theme/theme1.xml"/><Relationship Id="rId32" Type="http://schemas.openxmlformats.org/officeDocument/2006/relationships/customXml" Target="../customXml/item3.xml"/><Relationship Id="rId37" Type="http://schemas.openxmlformats.org/officeDocument/2006/relationships/customXml" Target="../customXml/item8.xml"/><Relationship Id="rId5" Type="http://schemas.openxmlformats.org/officeDocument/2006/relationships/worksheet" Target="worksheets/sheet5.xml"/><Relationship Id="rId15" Type="http://schemas.microsoft.com/office/2007/relationships/slicerCache" Target="slicerCaches/slicerCache2.xml"/><Relationship Id="rId23" Type="http://schemas.microsoft.com/office/2011/relationships/timelineCache" Target="timelineCaches/timelineCache1.xml"/><Relationship Id="rId28" Type="http://schemas.openxmlformats.org/officeDocument/2006/relationships/powerPivotData" Target="model/item.data"/><Relationship Id="rId36" Type="http://schemas.openxmlformats.org/officeDocument/2006/relationships/customXml" Target="../customXml/item7.xml"/><Relationship Id="rId10" Type="http://schemas.openxmlformats.org/officeDocument/2006/relationships/pivotCacheDefinition" Target="pivotCache/pivotCacheDefinition4.xml"/><Relationship Id="rId19" Type="http://schemas.microsoft.com/office/2007/relationships/slicerCache" Target="slicerCaches/slicerCache6.xml"/><Relationship Id="rId31"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microsoft.com/office/2007/relationships/slicerCache" Target="slicerCaches/slicerCache1.xml"/><Relationship Id="rId22" Type="http://schemas.microsoft.com/office/2007/relationships/slicerCache" Target="slicerCaches/slicerCache9.xml"/><Relationship Id="rId27" Type="http://schemas.openxmlformats.org/officeDocument/2006/relationships/sharedStrings" Target="sharedStrings.xml"/><Relationship Id="rId30" Type="http://schemas.openxmlformats.org/officeDocument/2006/relationships/customXml" Target="../customXml/item1.xml"/><Relationship Id="rId35" Type="http://schemas.openxmlformats.org/officeDocument/2006/relationships/customXml" Target="../customXml/item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 Customer Segmentation Dataset.xlsx]Customer Analysis!PivotTable6</c:name>
    <c:fmtId val="1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s>
    <c:plotArea>
      <c:layout/>
      <c:pieChart>
        <c:varyColors val="1"/>
        <c:ser>
          <c:idx val="0"/>
          <c:order val="0"/>
          <c:tx>
            <c:strRef>
              <c:f>'Customer Analysis'!$G$32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44B-43F5-920A-A2372BD0DE6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44B-43F5-920A-A2372BD0DE6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44B-43F5-920A-A2372BD0DE60}"/>
              </c:ext>
            </c:extLst>
          </c:dPt>
          <c:cat>
            <c:strRef>
              <c:f>'Customer Analysis'!$F$33:$F$36</c:f>
              <c:strCache>
                <c:ptCount val="3"/>
                <c:pt idx="0">
                  <c:v>Bronze</c:v>
                </c:pt>
                <c:pt idx="1">
                  <c:v>Gold</c:v>
                </c:pt>
                <c:pt idx="2">
                  <c:v>Silver</c:v>
                </c:pt>
              </c:strCache>
            </c:strRef>
          </c:cat>
          <c:val>
            <c:numRef>
              <c:f>'Customer Analysis'!$G$33:$G$36</c:f>
              <c:numCache>
                <c:formatCode>General</c:formatCode>
                <c:ptCount val="3"/>
                <c:pt idx="0">
                  <c:v>291</c:v>
                </c:pt>
                <c:pt idx="1">
                  <c:v>354</c:v>
                </c:pt>
                <c:pt idx="2">
                  <c:v>355</c:v>
                </c:pt>
              </c:numCache>
            </c:numRef>
          </c:val>
          <c:extLst>
            <c:ext xmlns:c16="http://schemas.microsoft.com/office/drawing/2014/chart" uri="{C3380CC4-5D6E-409C-BE32-E72D297353CC}">
              <c16:uniqueId val="{00000006-044B-43F5-920A-A2372BD0DE60}"/>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v>Interview Prep</c:v>
          </c:tx>
          <c:spPr>
            <a:solidFill>
              <a:schemeClr val="accent1"/>
            </a:solidFill>
            <a:ln>
              <a:noFill/>
            </a:ln>
            <a:effectLst/>
          </c:spPr>
          <c:invertIfNegative val="0"/>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38</c:v>
              </c:pt>
              <c:pt idx="1">
                <c:v>26</c:v>
              </c:pt>
              <c:pt idx="2">
                <c:v>28</c:v>
              </c:pt>
              <c:pt idx="3">
                <c:v>22</c:v>
              </c:pt>
              <c:pt idx="4">
                <c:v>19</c:v>
              </c:pt>
              <c:pt idx="5">
                <c:v>33</c:v>
              </c:pt>
              <c:pt idx="6">
                <c:v>24</c:v>
              </c:pt>
              <c:pt idx="7">
                <c:v>33</c:v>
              </c:pt>
              <c:pt idx="8">
                <c:v>23</c:v>
              </c:pt>
              <c:pt idx="9">
                <c:v>20</c:v>
              </c:pt>
              <c:pt idx="10">
                <c:v>22</c:v>
              </c:pt>
              <c:pt idx="11">
                <c:v>18</c:v>
              </c:pt>
            </c:numLit>
          </c:val>
          <c:extLst>
            <c:ext xmlns:c16="http://schemas.microsoft.com/office/drawing/2014/chart" uri="{C3380CC4-5D6E-409C-BE32-E72D297353CC}">
              <c16:uniqueId val="{00000000-EF8B-47D6-A9FF-953C9E4F60CE}"/>
            </c:ext>
          </c:extLst>
        </c:ser>
        <c:ser>
          <c:idx val="1"/>
          <c:order val="1"/>
          <c:tx>
            <c:v>LinkedIn profile</c:v>
          </c:tx>
          <c:spPr>
            <a:solidFill>
              <a:schemeClr val="accent2"/>
            </a:solidFill>
            <a:ln>
              <a:noFill/>
            </a:ln>
            <a:effectLst/>
          </c:spPr>
          <c:invertIfNegative val="0"/>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15</c:v>
              </c:pt>
              <c:pt idx="1">
                <c:v>31</c:v>
              </c:pt>
              <c:pt idx="2">
                <c:v>30</c:v>
              </c:pt>
              <c:pt idx="3">
                <c:v>17</c:v>
              </c:pt>
              <c:pt idx="4">
                <c:v>22</c:v>
              </c:pt>
              <c:pt idx="5">
                <c:v>28</c:v>
              </c:pt>
              <c:pt idx="6">
                <c:v>28</c:v>
              </c:pt>
              <c:pt idx="7">
                <c:v>22</c:v>
              </c:pt>
              <c:pt idx="8">
                <c:v>30</c:v>
              </c:pt>
              <c:pt idx="9">
                <c:v>26</c:v>
              </c:pt>
              <c:pt idx="10">
                <c:v>45</c:v>
              </c:pt>
              <c:pt idx="11">
                <c:v>25</c:v>
              </c:pt>
            </c:numLit>
          </c:val>
          <c:extLst>
            <c:ext xmlns:c16="http://schemas.microsoft.com/office/drawing/2014/chart" uri="{C3380CC4-5D6E-409C-BE32-E72D297353CC}">
              <c16:uniqueId val="{00000001-EF8B-47D6-A9FF-953C9E4F60CE}"/>
            </c:ext>
          </c:extLst>
        </c:ser>
        <c:ser>
          <c:idx val="2"/>
          <c:order val="2"/>
          <c:tx>
            <c:v>Mentoring program</c:v>
          </c:tx>
          <c:spPr>
            <a:solidFill>
              <a:schemeClr val="accent3"/>
            </a:solidFill>
            <a:ln>
              <a:noFill/>
            </a:ln>
            <a:effectLst/>
          </c:spPr>
          <c:invertIfNegative val="0"/>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42</c:v>
              </c:pt>
              <c:pt idx="1">
                <c:v>31</c:v>
              </c:pt>
              <c:pt idx="2">
                <c:v>63</c:v>
              </c:pt>
              <c:pt idx="3">
                <c:v>35</c:v>
              </c:pt>
              <c:pt idx="4">
                <c:v>39</c:v>
              </c:pt>
              <c:pt idx="5">
                <c:v>41</c:v>
              </c:pt>
              <c:pt idx="6">
                <c:v>40</c:v>
              </c:pt>
              <c:pt idx="7">
                <c:v>48</c:v>
              </c:pt>
              <c:pt idx="8">
                <c:v>50</c:v>
              </c:pt>
              <c:pt idx="9">
                <c:v>47</c:v>
              </c:pt>
              <c:pt idx="10">
                <c:v>51</c:v>
              </c:pt>
              <c:pt idx="11">
                <c:v>56</c:v>
              </c:pt>
            </c:numLit>
          </c:val>
          <c:extLst>
            <c:ext xmlns:c16="http://schemas.microsoft.com/office/drawing/2014/chart" uri="{C3380CC4-5D6E-409C-BE32-E72D297353CC}">
              <c16:uniqueId val="{00000002-EF8B-47D6-A9FF-953C9E4F60CE}"/>
            </c:ext>
          </c:extLst>
        </c:ser>
        <c:ser>
          <c:idx val="3"/>
          <c:order val="3"/>
          <c:tx>
            <c:v>Networking Strategy</c:v>
          </c:tx>
          <c:spPr>
            <a:solidFill>
              <a:schemeClr val="accent4"/>
            </a:solidFill>
            <a:ln>
              <a:noFill/>
            </a:ln>
            <a:effectLst/>
          </c:spPr>
          <c:invertIfNegative val="0"/>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21</c:v>
              </c:pt>
              <c:pt idx="1">
                <c:v>37</c:v>
              </c:pt>
              <c:pt idx="2">
                <c:v>31</c:v>
              </c:pt>
              <c:pt idx="3">
                <c:v>17</c:v>
              </c:pt>
              <c:pt idx="4">
                <c:v>37</c:v>
              </c:pt>
              <c:pt idx="5">
                <c:v>21</c:v>
              </c:pt>
              <c:pt idx="6">
                <c:v>28</c:v>
              </c:pt>
              <c:pt idx="7">
                <c:v>41</c:v>
              </c:pt>
              <c:pt idx="8">
                <c:v>14</c:v>
              </c:pt>
              <c:pt idx="9">
                <c:v>30</c:v>
              </c:pt>
              <c:pt idx="10">
                <c:v>25</c:v>
              </c:pt>
              <c:pt idx="11">
                <c:v>25</c:v>
              </c:pt>
            </c:numLit>
          </c:val>
          <c:extLst>
            <c:ext xmlns:c16="http://schemas.microsoft.com/office/drawing/2014/chart" uri="{C3380CC4-5D6E-409C-BE32-E72D297353CC}">
              <c16:uniqueId val="{00000003-EF8B-47D6-A9FF-953C9E4F60CE}"/>
            </c:ext>
          </c:extLst>
        </c:ser>
        <c:ser>
          <c:idx val="4"/>
          <c:order val="4"/>
          <c:tx>
            <c:v>Resume (service fee)</c:v>
          </c:tx>
          <c:spPr>
            <a:solidFill>
              <a:schemeClr val="accent5"/>
            </a:solidFill>
            <a:ln>
              <a:noFill/>
            </a:ln>
            <a:effectLst/>
          </c:spPr>
          <c:invertIfNegative val="0"/>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12</c:v>
              </c:pt>
              <c:pt idx="1">
                <c:v>24</c:v>
              </c:pt>
              <c:pt idx="2">
                <c:v>33</c:v>
              </c:pt>
              <c:pt idx="3">
                <c:v>16</c:v>
              </c:pt>
              <c:pt idx="4">
                <c:v>22</c:v>
              </c:pt>
              <c:pt idx="5">
                <c:v>21</c:v>
              </c:pt>
              <c:pt idx="6">
                <c:v>19</c:v>
              </c:pt>
              <c:pt idx="7">
                <c:v>27</c:v>
              </c:pt>
              <c:pt idx="8">
                <c:v>33</c:v>
              </c:pt>
              <c:pt idx="9">
                <c:v>19</c:v>
              </c:pt>
              <c:pt idx="10">
                <c:v>20</c:v>
              </c:pt>
              <c:pt idx="11">
                <c:v>30</c:v>
              </c:pt>
            </c:numLit>
          </c:val>
          <c:extLst>
            <c:ext xmlns:c16="http://schemas.microsoft.com/office/drawing/2014/chart" uri="{C3380CC4-5D6E-409C-BE32-E72D297353CC}">
              <c16:uniqueId val="{00000004-EF8B-47D6-A9FF-953C9E4F60CE}"/>
            </c:ext>
          </c:extLst>
        </c:ser>
        <c:ser>
          <c:idx val="5"/>
          <c:order val="5"/>
          <c:tx>
            <c:v>Resume + LinkedIn Profile</c:v>
          </c:tx>
          <c:spPr>
            <a:solidFill>
              <a:schemeClr val="accent6"/>
            </a:solidFill>
            <a:ln>
              <a:noFill/>
            </a:ln>
            <a:effectLst/>
          </c:spPr>
          <c:invertIfNegative val="0"/>
          <c:cat>
            <c:strLit>
              <c:ptCount val="12"/>
              <c:pt idx="0">
                <c:v>Jan</c:v>
              </c:pt>
              <c:pt idx="1">
                <c:v>Feb</c:v>
              </c:pt>
              <c:pt idx="2">
                <c:v>Mar</c:v>
              </c:pt>
              <c:pt idx="3">
                <c:v>Apr</c:v>
              </c:pt>
              <c:pt idx="4">
                <c:v>May</c:v>
              </c:pt>
              <c:pt idx="5">
                <c:v>Jun</c:v>
              </c:pt>
              <c:pt idx="6">
                <c:v>Jul</c:v>
              </c:pt>
              <c:pt idx="7">
                <c:v>Aug</c:v>
              </c:pt>
              <c:pt idx="8">
                <c:v>Sep</c:v>
              </c:pt>
              <c:pt idx="9">
                <c:v>Oct</c:v>
              </c:pt>
              <c:pt idx="10">
                <c:v>Nov</c:v>
              </c:pt>
              <c:pt idx="11">
                <c:v>Dec</c:v>
              </c:pt>
            </c:strLit>
          </c:cat>
          <c:val>
            <c:numLit>
              <c:formatCode>General</c:formatCode>
              <c:ptCount val="12"/>
              <c:pt idx="0">
                <c:v>32</c:v>
              </c:pt>
              <c:pt idx="1">
                <c:v>16</c:v>
              </c:pt>
              <c:pt idx="2">
                <c:v>16</c:v>
              </c:pt>
              <c:pt idx="3">
                <c:v>36</c:v>
              </c:pt>
              <c:pt idx="4">
                <c:v>19</c:v>
              </c:pt>
              <c:pt idx="5">
                <c:v>24</c:v>
              </c:pt>
              <c:pt idx="6">
                <c:v>33</c:v>
              </c:pt>
              <c:pt idx="7">
                <c:v>25</c:v>
              </c:pt>
              <c:pt idx="8">
                <c:v>21</c:v>
              </c:pt>
              <c:pt idx="9">
                <c:v>30</c:v>
              </c:pt>
              <c:pt idx="10">
                <c:v>20</c:v>
              </c:pt>
              <c:pt idx="11">
                <c:v>20</c:v>
              </c:pt>
            </c:numLit>
          </c:val>
          <c:extLst>
            <c:ext xmlns:c16="http://schemas.microsoft.com/office/drawing/2014/chart" uri="{C3380CC4-5D6E-409C-BE32-E72D297353CC}">
              <c16:uniqueId val="{00000005-EF8B-47D6-A9FF-953C9E4F60CE}"/>
            </c:ext>
          </c:extLst>
        </c:ser>
        <c:dLbls>
          <c:showLegendKey val="0"/>
          <c:showVal val="0"/>
          <c:showCatName val="0"/>
          <c:showSerName val="0"/>
          <c:showPercent val="0"/>
          <c:showBubbleSize val="0"/>
        </c:dLbls>
        <c:gapWidth val="150"/>
        <c:overlap val="100"/>
        <c:axId val="502425560"/>
        <c:axId val="502431680"/>
      </c:barChart>
      <c:catAx>
        <c:axId val="5024255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2431680"/>
        <c:crosses val="autoZero"/>
        <c:auto val="1"/>
        <c:lblAlgn val="ctr"/>
        <c:lblOffset val="100"/>
        <c:noMultiLvlLbl val="0"/>
      </c:catAx>
      <c:valAx>
        <c:axId val="5024316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24255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 Customer Segmentation Dataset.xlsx] Sales Analysis !PivotTable3</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 Sales Analysis '!$D$28</c:f>
              <c:strCache>
                <c:ptCount val="1"/>
                <c:pt idx="0">
                  <c:v>Total Profit</c:v>
                </c:pt>
              </c:strCache>
            </c:strRef>
          </c:tx>
          <c:spPr>
            <a:solidFill>
              <a:schemeClr val="accent1"/>
            </a:solidFill>
            <a:ln>
              <a:noFill/>
            </a:ln>
            <a:effectLst/>
          </c:spPr>
          <c:invertIfNegative val="0"/>
          <c:cat>
            <c:strRef>
              <c:f>' Sales Analysis '!$C$29:$C$34</c:f>
              <c:strCache>
                <c:ptCount val="5"/>
                <c:pt idx="0">
                  <c:v>Priscilla</c:v>
                </c:pt>
                <c:pt idx="1">
                  <c:v>Kelly</c:v>
                </c:pt>
                <c:pt idx="2">
                  <c:v>Daniel</c:v>
                </c:pt>
                <c:pt idx="3">
                  <c:v>Brian</c:v>
                </c:pt>
                <c:pt idx="4">
                  <c:v>Terrence</c:v>
                </c:pt>
              </c:strCache>
            </c:strRef>
          </c:cat>
          <c:val>
            <c:numRef>
              <c:f>' Sales Analysis '!$D$29:$D$34</c:f>
              <c:numCache>
                <c:formatCode>General</c:formatCode>
                <c:ptCount val="5"/>
                <c:pt idx="0">
                  <c:v>156433.15</c:v>
                </c:pt>
                <c:pt idx="1">
                  <c:v>151415.99999999985</c:v>
                </c:pt>
                <c:pt idx="2">
                  <c:v>129503.45</c:v>
                </c:pt>
                <c:pt idx="3">
                  <c:v>123793.29999999993</c:v>
                </c:pt>
                <c:pt idx="4">
                  <c:v>122814.44999999998</c:v>
                </c:pt>
              </c:numCache>
            </c:numRef>
          </c:val>
          <c:extLst>
            <c:ext xmlns:c16="http://schemas.microsoft.com/office/drawing/2014/chart" uri="{C3380CC4-5D6E-409C-BE32-E72D297353CC}">
              <c16:uniqueId val="{00000000-7A19-4ECA-B272-87AC23602C0F}"/>
            </c:ext>
          </c:extLst>
        </c:ser>
        <c:ser>
          <c:idx val="1"/>
          <c:order val="1"/>
          <c:tx>
            <c:strRef>
              <c:f>' Sales Analysis '!$E$28</c:f>
              <c:strCache>
                <c:ptCount val="1"/>
                <c:pt idx="0">
                  <c:v>Sales Price </c:v>
                </c:pt>
              </c:strCache>
            </c:strRef>
          </c:tx>
          <c:spPr>
            <a:solidFill>
              <a:schemeClr val="accent2"/>
            </a:solidFill>
            <a:ln>
              <a:noFill/>
            </a:ln>
            <a:effectLst/>
          </c:spPr>
          <c:invertIfNegative val="0"/>
          <c:cat>
            <c:strRef>
              <c:f>' Sales Analysis '!$C$29:$C$34</c:f>
              <c:strCache>
                <c:ptCount val="5"/>
                <c:pt idx="0">
                  <c:v>Priscilla</c:v>
                </c:pt>
                <c:pt idx="1">
                  <c:v>Kelly</c:v>
                </c:pt>
                <c:pt idx="2">
                  <c:v>Daniel</c:v>
                </c:pt>
                <c:pt idx="3">
                  <c:v>Brian</c:v>
                </c:pt>
                <c:pt idx="4">
                  <c:v>Terrence</c:v>
                </c:pt>
              </c:strCache>
            </c:strRef>
          </c:cat>
          <c:val>
            <c:numRef>
              <c:f>' Sales Analysis '!$E$29:$E$34</c:f>
              <c:numCache>
                <c:formatCode>General</c:formatCode>
                <c:ptCount val="5"/>
                <c:pt idx="0">
                  <c:v>202931</c:v>
                </c:pt>
                <c:pt idx="1">
                  <c:v>198365</c:v>
                </c:pt>
                <c:pt idx="2">
                  <c:v>169311</c:v>
                </c:pt>
                <c:pt idx="3">
                  <c:v>161563</c:v>
                </c:pt>
                <c:pt idx="4">
                  <c:v>158257</c:v>
                </c:pt>
              </c:numCache>
            </c:numRef>
          </c:val>
          <c:extLst>
            <c:ext xmlns:c16="http://schemas.microsoft.com/office/drawing/2014/chart" uri="{C3380CC4-5D6E-409C-BE32-E72D297353CC}">
              <c16:uniqueId val="{00000001-7A19-4ECA-B272-87AC23602C0F}"/>
            </c:ext>
          </c:extLst>
        </c:ser>
        <c:dLbls>
          <c:showLegendKey val="0"/>
          <c:showVal val="0"/>
          <c:showCatName val="0"/>
          <c:showSerName val="0"/>
          <c:showPercent val="0"/>
          <c:showBubbleSize val="0"/>
        </c:dLbls>
        <c:gapWidth val="219"/>
        <c:overlap val="-27"/>
        <c:axId val="669617616"/>
        <c:axId val="669621936"/>
      </c:barChart>
      <c:lineChart>
        <c:grouping val="standard"/>
        <c:varyColors val="0"/>
        <c:ser>
          <c:idx val="2"/>
          <c:order val="2"/>
          <c:tx>
            <c:strRef>
              <c:f>' Sales Analysis '!$F$28</c:f>
              <c:strCache>
                <c:ptCount val="1"/>
                <c:pt idx="0">
                  <c:v>Profit Margin</c:v>
                </c:pt>
              </c:strCache>
            </c:strRef>
          </c:tx>
          <c:spPr>
            <a:ln w="28575" cap="rnd">
              <a:solidFill>
                <a:schemeClr val="accent3"/>
              </a:solidFill>
              <a:round/>
            </a:ln>
            <a:effectLst/>
          </c:spPr>
          <c:marker>
            <c:symbol val="none"/>
          </c:marker>
          <c:cat>
            <c:strRef>
              <c:f>' Sales Analysis '!$C$29:$C$34</c:f>
              <c:strCache>
                <c:ptCount val="5"/>
                <c:pt idx="0">
                  <c:v>Priscilla</c:v>
                </c:pt>
                <c:pt idx="1">
                  <c:v>Kelly</c:v>
                </c:pt>
                <c:pt idx="2">
                  <c:v>Daniel</c:v>
                </c:pt>
                <c:pt idx="3">
                  <c:v>Brian</c:v>
                </c:pt>
                <c:pt idx="4">
                  <c:v>Terrence</c:v>
                </c:pt>
              </c:strCache>
            </c:strRef>
          </c:cat>
          <c:val>
            <c:numRef>
              <c:f>' Sales Analysis '!$F$29:$F$34</c:f>
              <c:numCache>
                <c:formatCode>0.000%</c:formatCode>
                <c:ptCount val="5"/>
                <c:pt idx="0">
                  <c:v>0.20976677108084768</c:v>
                </c:pt>
                <c:pt idx="1">
                  <c:v>0.19059535243197365</c:v>
                </c:pt>
                <c:pt idx="2">
                  <c:v>0.19063688688688687</c:v>
                </c:pt>
                <c:pt idx="3">
                  <c:v>0.18787987785629284</c:v>
                </c:pt>
                <c:pt idx="4">
                  <c:v>0.19741946217563439</c:v>
                </c:pt>
              </c:numCache>
            </c:numRef>
          </c:val>
          <c:smooth val="0"/>
          <c:extLst>
            <c:ext xmlns:c16="http://schemas.microsoft.com/office/drawing/2014/chart" uri="{C3380CC4-5D6E-409C-BE32-E72D297353CC}">
              <c16:uniqueId val="{00000002-7A19-4ECA-B272-87AC23602C0F}"/>
            </c:ext>
          </c:extLst>
        </c:ser>
        <c:dLbls>
          <c:showLegendKey val="0"/>
          <c:showVal val="0"/>
          <c:showCatName val="0"/>
          <c:showSerName val="0"/>
          <c:showPercent val="0"/>
          <c:showBubbleSize val="0"/>
        </c:dLbls>
        <c:marker val="1"/>
        <c:smooth val="0"/>
        <c:axId val="326194208"/>
        <c:axId val="377845680"/>
      </c:lineChart>
      <c:lineChart>
        <c:grouping val="standard"/>
        <c:varyColors val="0"/>
        <c:ser>
          <c:idx val="3"/>
          <c:order val="3"/>
          <c:tx>
            <c:strRef>
              <c:f>' Sales Analysis '!$G$28</c:f>
              <c:strCache>
                <c:ptCount val="1"/>
                <c:pt idx="0">
                  <c:v>Count of Order ID</c:v>
                </c:pt>
              </c:strCache>
            </c:strRef>
          </c:tx>
          <c:spPr>
            <a:ln w="28575" cap="rnd">
              <a:solidFill>
                <a:schemeClr val="accent4"/>
              </a:solidFill>
              <a:round/>
            </a:ln>
            <a:effectLst/>
          </c:spPr>
          <c:marker>
            <c:symbol val="none"/>
          </c:marker>
          <c:cat>
            <c:strRef>
              <c:f>' Sales Analysis '!$C$29:$C$34</c:f>
              <c:strCache>
                <c:ptCount val="5"/>
                <c:pt idx="0">
                  <c:v>Priscilla</c:v>
                </c:pt>
                <c:pt idx="1">
                  <c:v>Kelly</c:v>
                </c:pt>
                <c:pt idx="2">
                  <c:v>Daniel</c:v>
                </c:pt>
                <c:pt idx="3">
                  <c:v>Brian</c:v>
                </c:pt>
                <c:pt idx="4">
                  <c:v>Terrence</c:v>
                </c:pt>
              </c:strCache>
            </c:strRef>
          </c:cat>
          <c:val>
            <c:numRef>
              <c:f>' Sales Analysis '!$G$29:$G$34</c:f>
              <c:numCache>
                <c:formatCode>General</c:formatCode>
                <c:ptCount val="5"/>
                <c:pt idx="0">
                  <c:v>215</c:v>
                </c:pt>
                <c:pt idx="1">
                  <c:v>226</c:v>
                </c:pt>
                <c:pt idx="2">
                  <c:v>194</c:v>
                </c:pt>
                <c:pt idx="3">
                  <c:v>188</c:v>
                </c:pt>
                <c:pt idx="4">
                  <c:v>177</c:v>
                </c:pt>
              </c:numCache>
            </c:numRef>
          </c:val>
          <c:smooth val="0"/>
          <c:extLst>
            <c:ext xmlns:c16="http://schemas.microsoft.com/office/drawing/2014/chart" uri="{C3380CC4-5D6E-409C-BE32-E72D297353CC}">
              <c16:uniqueId val="{00000003-7A19-4ECA-B272-87AC23602C0F}"/>
            </c:ext>
          </c:extLst>
        </c:ser>
        <c:dLbls>
          <c:showLegendKey val="0"/>
          <c:showVal val="0"/>
          <c:showCatName val="0"/>
          <c:showSerName val="0"/>
          <c:showPercent val="0"/>
          <c:showBubbleSize val="0"/>
        </c:dLbls>
        <c:marker val="1"/>
        <c:smooth val="0"/>
        <c:axId val="669617616"/>
        <c:axId val="669621936"/>
      </c:lineChart>
      <c:catAx>
        <c:axId val="326194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7845680"/>
        <c:crosses val="autoZero"/>
        <c:auto val="1"/>
        <c:lblAlgn val="ctr"/>
        <c:lblOffset val="100"/>
        <c:noMultiLvlLbl val="0"/>
      </c:catAx>
      <c:valAx>
        <c:axId val="377845680"/>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6194208"/>
        <c:crosses val="autoZero"/>
        <c:crossBetween val="between"/>
      </c:valAx>
      <c:valAx>
        <c:axId val="669621936"/>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9617616"/>
        <c:crosses val="max"/>
        <c:crossBetween val="between"/>
      </c:valAx>
      <c:catAx>
        <c:axId val="669617616"/>
        <c:scaling>
          <c:orientation val="minMax"/>
        </c:scaling>
        <c:delete val="1"/>
        <c:axPos val="b"/>
        <c:numFmt formatCode="General" sourceLinked="1"/>
        <c:majorTickMark val="out"/>
        <c:minorTickMark val="none"/>
        <c:tickLblPos val="nextTo"/>
        <c:crossAx val="669621936"/>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[Cleaned Customer Segmentation Dataset.xlsx] Sales Analysis !PivotTable2</c:name>
    <c:fmtId val="4"/>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 Sales Analysis '!$E$52</c:f>
              <c:strCache>
                <c:ptCount val="1"/>
                <c:pt idx="0">
                  <c:v>Total Profit</c:v>
                </c:pt>
              </c:strCache>
            </c:strRef>
          </c:tx>
          <c:spPr>
            <a:solidFill>
              <a:schemeClr val="accent1"/>
            </a:solidFill>
            <a:ln>
              <a:noFill/>
            </a:ln>
            <a:effectLst/>
          </c:spPr>
          <c:invertIfNegative val="0"/>
          <c:cat>
            <c:strRef>
              <c:f>' Sales Analysis '!$D$53:$D$66</c:f>
              <c:strCache>
                <c:ptCount val="13"/>
                <c:pt idx="0">
                  <c:v>Jan</c:v>
                </c:pt>
                <c:pt idx="1">
                  <c:v>Feb</c:v>
                </c:pt>
                <c:pt idx="2">
                  <c:v>Mar</c:v>
                </c:pt>
                <c:pt idx="3">
                  <c:v>Apr</c:v>
                </c:pt>
                <c:pt idx="4">
                  <c:v>May</c:v>
                </c:pt>
                <c:pt idx="5">
                  <c:v>Jun</c:v>
                </c:pt>
                <c:pt idx="6">
                  <c:v>Jul</c:v>
                </c:pt>
                <c:pt idx="7">
                  <c:v>Aug</c:v>
                </c:pt>
                <c:pt idx="8">
                  <c:v>Sep</c:v>
                </c:pt>
                <c:pt idx="9">
                  <c:v>Oct</c:v>
                </c:pt>
                <c:pt idx="10">
                  <c:v>Nov</c:v>
                </c:pt>
                <c:pt idx="11">
                  <c:v>Dec</c:v>
                </c:pt>
                <c:pt idx="12">
                  <c:v>(blank)</c:v>
                </c:pt>
              </c:strCache>
            </c:strRef>
          </c:cat>
          <c:val>
            <c:numRef>
              <c:f>' Sales Analysis '!$E$53:$E$66</c:f>
              <c:numCache>
                <c:formatCode>General</c:formatCode>
                <c:ptCount val="13"/>
                <c:pt idx="0">
                  <c:v>50431.350000000006</c:v>
                </c:pt>
                <c:pt idx="1">
                  <c:v>60135.75</c:v>
                </c:pt>
                <c:pt idx="2">
                  <c:v>67967.150000000009</c:v>
                </c:pt>
                <c:pt idx="3">
                  <c:v>45044.5</c:v>
                </c:pt>
                <c:pt idx="4">
                  <c:v>47984.049999999974</c:v>
                </c:pt>
                <c:pt idx="5">
                  <c:v>57192.749999999993</c:v>
                </c:pt>
                <c:pt idx="6">
                  <c:v>59274.3</c:v>
                </c:pt>
                <c:pt idx="7">
                  <c:v>65451.65</c:v>
                </c:pt>
                <c:pt idx="8">
                  <c:v>59353.800000000025</c:v>
                </c:pt>
                <c:pt idx="9">
                  <c:v>56773.999999999978</c:v>
                </c:pt>
                <c:pt idx="10">
                  <c:v>57484.249999999985</c:v>
                </c:pt>
                <c:pt idx="11">
                  <c:v>56866.800000000017</c:v>
                </c:pt>
              </c:numCache>
            </c:numRef>
          </c:val>
          <c:extLst>
            <c:ext xmlns:c16="http://schemas.microsoft.com/office/drawing/2014/chart" uri="{C3380CC4-5D6E-409C-BE32-E72D297353CC}">
              <c16:uniqueId val="{00000000-CBBC-4BD0-B93F-4D51341F0F45}"/>
            </c:ext>
          </c:extLst>
        </c:ser>
        <c:dLbls>
          <c:showLegendKey val="0"/>
          <c:showVal val="0"/>
          <c:showCatName val="0"/>
          <c:showSerName val="0"/>
          <c:showPercent val="0"/>
          <c:showBubbleSize val="0"/>
        </c:dLbls>
        <c:gapWidth val="219"/>
        <c:overlap val="-27"/>
        <c:axId val="377862240"/>
        <c:axId val="377863680"/>
      </c:barChart>
      <c:lineChart>
        <c:grouping val="standard"/>
        <c:varyColors val="0"/>
        <c:ser>
          <c:idx val="1"/>
          <c:order val="1"/>
          <c:tx>
            <c:strRef>
              <c:f>' Sales Analysis '!$F$52</c:f>
              <c:strCache>
                <c:ptCount val="1"/>
                <c:pt idx="0">
                  <c:v> Quantity </c:v>
                </c:pt>
              </c:strCache>
            </c:strRef>
          </c:tx>
          <c:spPr>
            <a:ln w="28575" cap="rnd">
              <a:solidFill>
                <a:schemeClr val="accent2"/>
              </a:solidFill>
              <a:round/>
            </a:ln>
            <a:effectLst/>
          </c:spPr>
          <c:marker>
            <c:symbol val="none"/>
          </c:marker>
          <c:cat>
            <c:strRef>
              <c:f>' Sales Analysis '!$D$53:$D$66</c:f>
              <c:strCache>
                <c:ptCount val="13"/>
                <c:pt idx="0">
                  <c:v>Jan</c:v>
                </c:pt>
                <c:pt idx="1">
                  <c:v>Feb</c:v>
                </c:pt>
                <c:pt idx="2">
                  <c:v>Mar</c:v>
                </c:pt>
                <c:pt idx="3">
                  <c:v>Apr</c:v>
                </c:pt>
                <c:pt idx="4">
                  <c:v>May</c:v>
                </c:pt>
                <c:pt idx="5">
                  <c:v>Jun</c:v>
                </c:pt>
                <c:pt idx="6">
                  <c:v>Jul</c:v>
                </c:pt>
                <c:pt idx="7">
                  <c:v>Aug</c:v>
                </c:pt>
                <c:pt idx="8">
                  <c:v>Sep</c:v>
                </c:pt>
                <c:pt idx="9">
                  <c:v>Oct</c:v>
                </c:pt>
                <c:pt idx="10">
                  <c:v>Nov</c:v>
                </c:pt>
                <c:pt idx="11">
                  <c:v>Dec</c:v>
                </c:pt>
                <c:pt idx="12">
                  <c:v>(blank)</c:v>
                </c:pt>
              </c:strCache>
            </c:strRef>
          </c:cat>
          <c:val>
            <c:numRef>
              <c:f>' Sales Analysis '!$F$53:$F$66</c:f>
              <c:numCache>
                <c:formatCode>General</c:formatCode>
                <c:ptCount val="13"/>
                <c:pt idx="0">
                  <c:v>137</c:v>
                </c:pt>
                <c:pt idx="1">
                  <c:v>163</c:v>
                </c:pt>
                <c:pt idx="2">
                  <c:v>184</c:v>
                </c:pt>
                <c:pt idx="3">
                  <c:v>157</c:v>
                </c:pt>
                <c:pt idx="4">
                  <c:v>146</c:v>
                </c:pt>
                <c:pt idx="5">
                  <c:v>161</c:v>
                </c:pt>
                <c:pt idx="6">
                  <c:v>188</c:v>
                </c:pt>
                <c:pt idx="7">
                  <c:v>191</c:v>
                </c:pt>
                <c:pt idx="8">
                  <c:v>171</c:v>
                </c:pt>
                <c:pt idx="9">
                  <c:v>148</c:v>
                </c:pt>
                <c:pt idx="10">
                  <c:v>189</c:v>
                </c:pt>
                <c:pt idx="11">
                  <c:v>175</c:v>
                </c:pt>
              </c:numCache>
            </c:numRef>
          </c:val>
          <c:smooth val="0"/>
          <c:extLst>
            <c:ext xmlns:c16="http://schemas.microsoft.com/office/drawing/2014/chart" uri="{C3380CC4-5D6E-409C-BE32-E72D297353CC}">
              <c16:uniqueId val="{00000001-CBBC-4BD0-B93F-4D51341F0F45}"/>
            </c:ext>
          </c:extLst>
        </c:ser>
        <c:dLbls>
          <c:showLegendKey val="0"/>
          <c:showVal val="0"/>
          <c:showCatName val="0"/>
          <c:showSerName val="0"/>
          <c:showPercent val="0"/>
          <c:showBubbleSize val="0"/>
        </c:dLbls>
        <c:marker val="1"/>
        <c:smooth val="0"/>
        <c:axId val="377841720"/>
        <c:axId val="377846760"/>
      </c:lineChart>
      <c:catAx>
        <c:axId val="3778622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7863680"/>
        <c:crosses val="autoZero"/>
        <c:auto val="1"/>
        <c:lblAlgn val="ctr"/>
        <c:lblOffset val="100"/>
        <c:noMultiLvlLbl val="0"/>
      </c:catAx>
      <c:valAx>
        <c:axId val="3778636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7862240"/>
        <c:crosses val="autoZero"/>
        <c:crossBetween val="between"/>
      </c:valAx>
      <c:valAx>
        <c:axId val="377846760"/>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7841720"/>
        <c:crosses val="max"/>
        <c:crossBetween val="between"/>
      </c:valAx>
      <c:catAx>
        <c:axId val="377841720"/>
        <c:scaling>
          <c:orientation val="minMax"/>
        </c:scaling>
        <c:delete val="1"/>
        <c:axPos val="b"/>
        <c:numFmt formatCode="General" sourceLinked="1"/>
        <c:majorTickMark val="out"/>
        <c:minorTickMark val="none"/>
        <c:tickLblPos val="nextTo"/>
        <c:crossAx val="377846760"/>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oneCellAnchor>
    <xdr:from>
      <xdr:col>4</xdr:col>
      <xdr:colOff>964259</xdr:colOff>
      <xdr:row>1</xdr:row>
      <xdr:rowOff>116535</xdr:rowOff>
    </xdr:from>
    <xdr:ext cx="4118209" cy="593304"/>
    <xdr:sp macro="" textlink="">
      <xdr:nvSpPr>
        <xdr:cNvPr id="2" name="TextBox 1">
          <a:extLst>
            <a:ext uri="{FF2B5EF4-FFF2-40B4-BE49-F238E27FC236}">
              <a16:creationId xmlns:a16="http://schemas.microsoft.com/office/drawing/2014/main" id="{8DC037A5-CEA2-4541-B829-1AFF87DE94A1}"/>
            </a:ext>
          </a:extLst>
        </xdr:cNvPr>
        <xdr:cNvSpPr txBox="1"/>
      </xdr:nvSpPr>
      <xdr:spPr>
        <a:xfrm>
          <a:off x="5715000" y="304683"/>
          <a:ext cx="4118209" cy="593304"/>
        </a:xfrm>
        <a:prstGeom prst="rect">
          <a:avLst/>
        </a:prstGeom>
        <a:solidFill>
          <a:schemeClr val="accent2"/>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IN" sz="3200" b="1" i="1"/>
            <a:t>Customer Analysis</a:t>
          </a:r>
          <a:r>
            <a:rPr lang="en-IN" sz="3200" b="1" i="1" baseline="0"/>
            <a:t> </a:t>
          </a:r>
          <a:endParaRPr lang="en-IN" sz="3200" b="1" i="1"/>
        </a:p>
      </xdr:txBody>
    </xdr:sp>
    <xdr:clientData/>
  </xdr:oneCellAnchor>
  <xdr:twoCellAnchor>
    <xdr:from>
      <xdr:col>7</xdr:col>
      <xdr:colOff>238125</xdr:colOff>
      <xdr:row>30</xdr:row>
      <xdr:rowOff>67236</xdr:rowOff>
    </xdr:from>
    <xdr:to>
      <xdr:col>10</xdr:col>
      <xdr:colOff>85726</xdr:colOff>
      <xdr:row>40</xdr:row>
      <xdr:rowOff>85726</xdr:rowOff>
    </xdr:to>
    <xdr:graphicFrame macro="">
      <xdr:nvGraphicFramePr>
        <xdr:cNvPr id="5" name="Chart 4">
          <a:extLst>
            <a:ext uri="{FF2B5EF4-FFF2-40B4-BE49-F238E27FC236}">
              <a16:creationId xmlns:a16="http://schemas.microsoft.com/office/drawing/2014/main" id="{7DF4113E-BA86-4473-B605-2F12C2B2B1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411692</xdr:colOff>
      <xdr:row>75</xdr:row>
      <xdr:rowOff>21167</xdr:rowOff>
    </xdr:from>
    <xdr:to>
      <xdr:col>5</xdr:col>
      <xdr:colOff>408734</xdr:colOff>
      <xdr:row>91</xdr:row>
      <xdr:rowOff>14402</xdr:rowOff>
    </xdr:to>
    <xdr:graphicFrame macro="">
      <xdr:nvGraphicFramePr>
        <xdr:cNvPr id="6" name="Chart 5">
          <a:extLst>
            <a:ext uri="{FF2B5EF4-FFF2-40B4-BE49-F238E27FC236}">
              <a16:creationId xmlns:a16="http://schemas.microsoft.com/office/drawing/2014/main" id="{26507FB3-D8BF-49ED-A314-8E596D1DE4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10</xdr:col>
      <xdr:colOff>354542</xdr:colOff>
      <xdr:row>7</xdr:row>
      <xdr:rowOff>68791</xdr:rowOff>
    </xdr:from>
    <xdr:to>
      <xdr:col>11</xdr:col>
      <xdr:colOff>278342</xdr:colOff>
      <xdr:row>20</xdr:row>
      <xdr:rowOff>74082</xdr:rowOff>
    </xdr:to>
    <mc:AlternateContent xmlns:mc="http://schemas.openxmlformats.org/markup-compatibility/2006">
      <mc:Choice xmlns:a14="http://schemas.microsoft.com/office/drawing/2010/main" Requires="a14">
        <xdr:graphicFrame macro="">
          <xdr:nvGraphicFramePr>
            <xdr:cNvPr id="7" name="Month ">
              <a:extLst>
                <a:ext uri="{FF2B5EF4-FFF2-40B4-BE49-F238E27FC236}">
                  <a16:creationId xmlns:a16="http://schemas.microsoft.com/office/drawing/2014/main" id="{C761A7FF-F93D-94FD-1EB3-08306BCA616C}"/>
                </a:ext>
              </a:extLst>
            </xdr:cNvPr>
            <xdr:cNvGraphicFramePr/>
          </xdr:nvGraphicFramePr>
          <xdr:xfrm>
            <a:off x="0" y="0"/>
            <a:ext cx="0" cy="0"/>
          </xdr:xfrm>
          <a:graphic>
            <a:graphicData uri="http://schemas.microsoft.com/office/drawing/2010/slicer">
              <sle:slicer xmlns:sle="http://schemas.microsoft.com/office/drawing/2010/slicer" name="Month "/>
            </a:graphicData>
          </a:graphic>
        </xdr:graphicFrame>
      </mc:Choice>
      <mc:Fallback>
        <xdr:sp macro="" textlink="">
          <xdr:nvSpPr>
            <xdr:cNvPr id="0" name=""/>
            <xdr:cNvSpPr>
              <a:spLocks noTextEdit="1"/>
            </xdr:cNvSpPr>
          </xdr:nvSpPr>
          <xdr:spPr>
            <a:xfrm>
              <a:off x="12654727" y="1397587"/>
              <a:ext cx="1005652" cy="24982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419100</xdr:colOff>
      <xdr:row>20</xdr:row>
      <xdr:rowOff>180975</xdr:rowOff>
    </xdr:from>
    <xdr:to>
      <xdr:col>9</xdr:col>
      <xdr:colOff>975784</xdr:colOff>
      <xdr:row>25</xdr:row>
      <xdr:rowOff>142875</xdr:rowOff>
    </xdr:to>
    <mc:AlternateContent xmlns:mc="http://schemas.openxmlformats.org/markup-compatibility/2006">
      <mc:Choice xmlns:a14="http://schemas.microsoft.com/office/drawing/2010/main" Requires="a14">
        <xdr:graphicFrame macro="">
          <xdr:nvGraphicFramePr>
            <xdr:cNvPr id="8" name="State 2">
              <a:extLst>
                <a:ext uri="{FF2B5EF4-FFF2-40B4-BE49-F238E27FC236}">
                  <a16:creationId xmlns:a16="http://schemas.microsoft.com/office/drawing/2014/main" id="{8CC7642A-9976-CBDA-2E30-A964722A7DA5}"/>
                </a:ext>
              </a:extLst>
            </xdr:cNvPr>
            <xdr:cNvGraphicFramePr/>
          </xdr:nvGraphicFramePr>
          <xdr:xfrm>
            <a:off x="0" y="0"/>
            <a:ext cx="0" cy="0"/>
          </xdr:xfrm>
          <a:graphic>
            <a:graphicData uri="http://schemas.microsoft.com/office/drawing/2010/slicer">
              <sle:slicer xmlns:sle="http://schemas.microsoft.com/office/drawing/2010/slicer" name="State 2"/>
            </a:graphicData>
          </a:graphic>
        </xdr:graphicFrame>
      </mc:Choice>
      <mc:Fallback>
        <xdr:sp macro="" textlink="">
          <xdr:nvSpPr>
            <xdr:cNvPr id="0" name=""/>
            <xdr:cNvSpPr>
              <a:spLocks noTextEdit="1"/>
            </xdr:cNvSpPr>
          </xdr:nvSpPr>
          <xdr:spPr>
            <a:xfrm>
              <a:off x="7709841" y="4002734"/>
              <a:ext cx="4543073" cy="9026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2</xdr:col>
      <xdr:colOff>971550</xdr:colOff>
      <xdr:row>22</xdr:row>
      <xdr:rowOff>161925</xdr:rowOff>
    </xdr:from>
    <xdr:ext cx="2724150" cy="374141"/>
    <xdr:sp macro="" textlink="">
      <xdr:nvSpPr>
        <xdr:cNvPr id="9" name="TextBox 8">
          <a:extLst>
            <a:ext uri="{FF2B5EF4-FFF2-40B4-BE49-F238E27FC236}">
              <a16:creationId xmlns:a16="http://schemas.microsoft.com/office/drawing/2014/main" id="{F4878218-8581-4B0C-BD42-FC6253D5EA8C}"/>
            </a:ext>
          </a:extLst>
        </xdr:cNvPr>
        <xdr:cNvSpPr txBox="1"/>
      </xdr:nvSpPr>
      <xdr:spPr>
        <a:xfrm>
          <a:off x="3124200" y="4352925"/>
          <a:ext cx="2724150" cy="37414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IN" sz="1800" b="1" i="1"/>
            <a:t>Summary</a:t>
          </a:r>
          <a:r>
            <a:rPr lang="en-IN" sz="1800" b="1" i="1" baseline="0"/>
            <a:t> </a:t>
          </a:r>
          <a:endParaRPr lang="en-IN" sz="1800" b="1" i="1"/>
        </a:p>
      </xdr:txBody>
    </xdr:sp>
    <xdr:clientData/>
  </xdr:oneCellAnchor>
  <xdr:twoCellAnchor>
    <xdr:from>
      <xdr:col>7</xdr:col>
      <xdr:colOff>438150</xdr:colOff>
      <xdr:row>6</xdr:row>
      <xdr:rowOff>161925</xdr:rowOff>
    </xdr:from>
    <xdr:to>
      <xdr:col>9</xdr:col>
      <xdr:colOff>638175</xdr:colOff>
      <xdr:row>8</xdr:row>
      <xdr:rowOff>136525</xdr:rowOff>
    </xdr:to>
    <xdr:sp macro="" textlink="">
      <xdr:nvSpPr>
        <xdr:cNvPr id="10" name="TextBox 9">
          <a:extLst>
            <a:ext uri="{FF2B5EF4-FFF2-40B4-BE49-F238E27FC236}">
              <a16:creationId xmlns:a16="http://schemas.microsoft.com/office/drawing/2014/main" id="{CA396401-56E6-43BE-944A-D701F12355BE}"/>
            </a:ext>
          </a:extLst>
        </xdr:cNvPr>
        <xdr:cNvSpPr txBox="1"/>
      </xdr:nvSpPr>
      <xdr:spPr>
        <a:xfrm>
          <a:off x="7800975" y="1304925"/>
          <a:ext cx="1981200" cy="355600"/>
        </a:xfrm>
        <a:prstGeom prst="rect">
          <a:avLst/>
        </a:prstGeom>
        <a:solidFill>
          <a:srgbClr val="56CF39"/>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baseline="0"/>
            <a:t>Customers By State Analysis</a:t>
          </a:r>
          <a:endParaRPr lang="en-IN" sz="1200" b="1"/>
        </a:p>
      </xdr:txBody>
    </xdr:sp>
    <xdr:clientData/>
  </xdr:twoCellAnchor>
  <xdr:twoCellAnchor>
    <xdr:from>
      <xdr:col>1</xdr:col>
      <xdr:colOff>922338</xdr:colOff>
      <xdr:row>35</xdr:row>
      <xdr:rowOff>8995</xdr:rowOff>
    </xdr:from>
    <xdr:to>
      <xdr:col>1</xdr:col>
      <xdr:colOff>1277938</xdr:colOff>
      <xdr:row>46</xdr:row>
      <xdr:rowOff>50270</xdr:rowOff>
    </xdr:to>
    <xdr:sp macro="" textlink="">
      <xdr:nvSpPr>
        <xdr:cNvPr id="14" name="TextBox 13">
          <a:extLst>
            <a:ext uri="{FF2B5EF4-FFF2-40B4-BE49-F238E27FC236}">
              <a16:creationId xmlns:a16="http://schemas.microsoft.com/office/drawing/2014/main" id="{CA3F2BD1-A6BE-4CB1-A5F7-85B9C3CD8D84}"/>
            </a:ext>
          </a:extLst>
        </xdr:cNvPr>
        <xdr:cNvSpPr txBox="1"/>
      </xdr:nvSpPr>
      <xdr:spPr>
        <a:xfrm rot="16200000">
          <a:off x="1111250" y="7641166"/>
          <a:ext cx="2136775" cy="355600"/>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baseline="0"/>
            <a:t>Customers By Name </a:t>
          </a:r>
          <a:endParaRPr lang="en-IN" sz="1200" b="1"/>
        </a:p>
      </xdr:txBody>
    </xdr:sp>
    <xdr:clientData/>
  </xdr:twoCellAnchor>
  <xdr:twoCellAnchor>
    <xdr:from>
      <xdr:col>4</xdr:col>
      <xdr:colOff>1105371</xdr:colOff>
      <xdr:row>36</xdr:row>
      <xdr:rowOff>96424</xdr:rowOff>
    </xdr:from>
    <xdr:to>
      <xdr:col>7</xdr:col>
      <xdr:colOff>129469</xdr:colOff>
      <xdr:row>38</xdr:row>
      <xdr:rowOff>96425</xdr:rowOff>
    </xdr:to>
    <xdr:sp macro="" textlink="">
      <xdr:nvSpPr>
        <xdr:cNvPr id="15" name="TextBox 14">
          <a:extLst>
            <a:ext uri="{FF2B5EF4-FFF2-40B4-BE49-F238E27FC236}">
              <a16:creationId xmlns:a16="http://schemas.microsoft.com/office/drawing/2014/main" id="{1625AEE0-5D00-4515-8FC5-79FC4BF57779}"/>
            </a:ext>
          </a:extLst>
        </xdr:cNvPr>
        <xdr:cNvSpPr txBox="1"/>
      </xdr:nvSpPr>
      <xdr:spPr>
        <a:xfrm>
          <a:off x="5856112" y="6952072"/>
          <a:ext cx="2892894" cy="376297"/>
        </a:xfrm>
        <a:prstGeom prst="rect">
          <a:avLst/>
        </a:prstGeom>
        <a:solidFill>
          <a:srgbClr val="0070C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baseline="0"/>
            <a:t>Customers By Segment Analysis</a:t>
          </a:r>
          <a:endParaRPr lang="en-IN" sz="1200" b="1"/>
        </a:p>
      </xdr:txBody>
    </xdr:sp>
    <xdr:clientData/>
  </xdr:twoCellAnchor>
  <xdr:twoCellAnchor editAs="oneCell">
    <xdr:from>
      <xdr:col>10</xdr:col>
      <xdr:colOff>136524</xdr:colOff>
      <xdr:row>58</xdr:row>
      <xdr:rowOff>8467</xdr:rowOff>
    </xdr:from>
    <xdr:to>
      <xdr:col>11</xdr:col>
      <xdr:colOff>433916</xdr:colOff>
      <xdr:row>65</xdr:row>
      <xdr:rowOff>46567</xdr:rowOff>
    </xdr:to>
    <mc:AlternateContent xmlns:mc="http://schemas.openxmlformats.org/markup-compatibility/2006">
      <mc:Choice xmlns:tsle="http://schemas.microsoft.com/office/drawing/2012/timeslicer" Requires="tsle">
        <xdr:graphicFrame macro="">
          <xdr:nvGraphicFramePr>
            <xdr:cNvPr id="17" name="Order Date">
              <a:extLst>
                <a:ext uri="{FF2B5EF4-FFF2-40B4-BE49-F238E27FC236}">
                  <a16:creationId xmlns:a16="http://schemas.microsoft.com/office/drawing/2014/main" id="{CFBF2770-CBDA-C3F1-79E8-2AA3FC412FD6}"/>
                </a:ext>
              </a:extLst>
            </xdr:cNvPr>
            <xdr:cNvGraphicFramePr/>
          </xdr:nvGraphicFramePr>
          <xdr:xfrm>
            <a:off x="0" y="0"/>
            <a:ext cx="0" cy="0"/>
          </xdr:xfrm>
          <a:graphic>
            <a:graphicData uri="http://schemas.microsoft.com/office/drawing/2012/timeslicer">
              <tsle:timeslicer xmlns:tsle="http://schemas.microsoft.com/office/drawing/2012/timeslicer" name="Order Date"/>
            </a:graphicData>
          </a:graphic>
        </xdr:graphicFrame>
      </mc:Choice>
      <mc:Fallback>
        <xdr:sp macro="" textlink="">
          <xdr:nvSpPr>
            <xdr:cNvPr id="0" name=""/>
            <xdr:cNvSpPr>
              <a:spLocks noTextEdit="1"/>
            </xdr:cNvSpPr>
          </xdr:nvSpPr>
          <xdr:spPr>
            <a:xfrm>
              <a:off x="12436709" y="11026893"/>
              <a:ext cx="1379244" cy="1355137"/>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10</xdr:col>
      <xdr:colOff>148166</xdr:colOff>
      <xdr:row>66</xdr:row>
      <xdr:rowOff>21167</xdr:rowOff>
    </xdr:from>
    <xdr:to>
      <xdr:col>11</xdr:col>
      <xdr:colOff>897466</xdr:colOff>
      <xdr:row>76</xdr:row>
      <xdr:rowOff>126999</xdr:rowOff>
    </xdr:to>
    <mc:AlternateContent xmlns:mc="http://schemas.openxmlformats.org/markup-compatibility/2006">
      <mc:Choice xmlns:a14="http://schemas.microsoft.com/office/drawing/2010/main" Requires="a14">
        <xdr:graphicFrame macro="">
          <xdr:nvGraphicFramePr>
            <xdr:cNvPr id="19" name="Service Category 2">
              <a:extLst>
                <a:ext uri="{FF2B5EF4-FFF2-40B4-BE49-F238E27FC236}">
                  <a16:creationId xmlns:a16="http://schemas.microsoft.com/office/drawing/2014/main" id="{1CA5168B-0DB2-16B6-56E7-9E0C50ACC194}"/>
                </a:ext>
              </a:extLst>
            </xdr:cNvPr>
            <xdr:cNvGraphicFramePr/>
          </xdr:nvGraphicFramePr>
          <xdr:xfrm>
            <a:off x="0" y="0"/>
            <a:ext cx="0" cy="0"/>
          </xdr:xfrm>
          <a:graphic>
            <a:graphicData uri="http://schemas.microsoft.com/office/drawing/2010/slicer">
              <sle:slicer xmlns:sle="http://schemas.microsoft.com/office/drawing/2010/slicer" name="Service Category 2"/>
            </a:graphicData>
          </a:graphic>
        </xdr:graphicFrame>
      </mc:Choice>
      <mc:Fallback>
        <xdr:sp macro="" textlink="">
          <xdr:nvSpPr>
            <xdr:cNvPr id="0" name=""/>
            <xdr:cNvSpPr>
              <a:spLocks noTextEdit="1"/>
            </xdr:cNvSpPr>
          </xdr:nvSpPr>
          <xdr:spPr>
            <a:xfrm>
              <a:off x="12448351" y="12544778"/>
              <a:ext cx="1831152" cy="19873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823148</xdr:colOff>
      <xdr:row>41</xdr:row>
      <xdr:rowOff>176389</xdr:rowOff>
    </xdr:from>
    <xdr:to>
      <xdr:col>10</xdr:col>
      <xdr:colOff>670278</xdr:colOff>
      <xdr:row>53</xdr:row>
      <xdr:rowOff>152870</xdr:rowOff>
    </xdr:to>
    <xdr:sp macro="" textlink="">
      <xdr:nvSpPr>
        <xdr:cNvPr id="20" name="TextBox 19">
          <a:extLst>
            <a:ext uri="{FF2B5EF4-FFF2-40B4-BE49-F238E27FC236}">
              <a16:creationId xmlns:a16="http://schemas.microsoft.com/office/drawing/2014/main" id="{F78FDFD2-E000-1B1D-CBDF-F7DEEAB87C30}"/>
            </a:ext>
          </a:extLst>
        </xdr:cNvPr>
        <xdr:cNvSpPr txBox="1"/>
      </xdr:nvSpPr>
      <xdr:spPr>
        <a:xfrm>
          <a:off x="5573889" y="7972778"/>
          <a:ext cx="7396574" cy="2234259"/>
        </a:xfrm>
        <a:prstGeom prst="rect">
          <a:avLst/>
        </a:prstGeom>
        <a:solidFill>
          <a:srgbClr val="A50021">
            <a:alpha val="65098"/>
          </a:srgb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rgbClr val="00B050"/>
              </a:solidFill>
            </a:rPr>
            <a:t>1. NSW is our Strongest Revenue Driver</a:t>
          </a:r>
        </a:p>
        <a:p>
          <a:r>
            <a:rPr lang="en-IN"/>
            <a:t>NSW leads both in </a:t>
          </a:r>
          <a:r>
            <a:rPr lang="en-IN" b="1"/>
            <a:t>customer count (136)</a:t>
          </a:r>
          <a:r>
            <a:rPr lang="en-IN"/>
            <a:t> and </a:t>
          </a:r>
          <a:r>
            <a:rPr lang="en-IN" b="1"/>
            <a:t>total sales ($171,650)</a:t>
          </a:r>
          <a:r>
            <a:rPr lang="en-IN"/>
            <a:t>, making it the most valuable market.</a:t>
          </a:r>
        </a:p>
        <a:p>
          <a:r>
            <a:rPr lang="en-IN"/>
            <a:t>Our business growth is heavily supported by NSW. Any small improvement here will create a big impact on total revenue.</a:t>
          </a:r>
        </a:p>
        <a:p>
          <a:endParaRPr lang="en-IN" sz="1100"/>
        </a:p>
        <a:p>
          <a:r>
            <a:rPr lang="en-IN" sz="1200" b="1">
              <a:solidFill>
                <a:srgbClr val="7030A0"/>
              </a:solidFill>
            </a:rPr>
            <a:t>2. Opportunity in NT</a:t>
          </a:r>
        </a:p>
        <a:p>
          <a:r>
            <a:rPr lang="en-IN"/>
            <a:t>NT has </a:t>
          </a:r>
          <a:r>
            <a:rPr lang="en-IN" b="1"/>
            <a:t>higher sales ($187,050)</a:t>
          </a:r>
          <a:r>
            <a:rPr lang="en-IN"/>
            <a:t> despite fewer customers (133) compared to NSW and VIC.</a:t>
          </a:r>
        </a:p>
        <a:p>
          <a:r>
            <a:rPr lang="en-IN"/>
            <a:t>This means </a:t>
          </a:r>
          <a:r>
            <a:rPr lang="en-IN" b="1"/>
            <a:t>NT customers spend more per person</a:t>
          </a:r>
          <a:r>
            <a:rPr lang="en-IN"/>
            <a:t>.</a:t>
          </a:r>
        </a:p>
        <a:p>
          <a:endParaRPr lang="en-IN" sz="1100"/>
        </a:p>
        <a:p>
          <a:r>
            <a:rPr lang="en-IN" sz="1200">
              <a:solidFill>
                <a:srgbClr val="FFC000"/>
              </a:solidFill>
            </a:rPr>
            <a:t>3.</a:t>
          </a:r>
          <a:r>
            <a:rPr lang="en-IN" sz="1200" baseline="0">
              <a:solidFill>
                <a:srgbClr val="FFC000"/>
              </a:solidFill>
            </a:rPr>
            <a:t> </a:t>
          </a:r>
          <a:r>
            <a:rPr lang="en-IN" sz="1200" b="1">
              <a:solidFill>
                <a:srgbClr val="FFC000"/>
              </a:solidFill>
            </a:rPr>
            <a:t>Gold customers are the core revenue group</a:t>
          </a:r>
        </a:p>
        <a:p>
          <a:r>
            <a:rPr lang="en-IN"/>
            <a:t>Gold customers form </a:t>
          </a:r>
          <a:r>
            <a:rPr lang="en-IN" b="1"/>
            <a:t>354 out of 1000 customers</a:t>
          </a:r>
          <a:r>
            <a:rPr lang="en-IN"/>
            <a:t>, meaning over </a:t>
          </a:r>
          <a:r>
            <a:rPr lang="en-IN" b="1"/>
            <a:t>35%</a:t>
          </a:r>
          <a:r>
            <a:rPr lang="en-IN"/>
            <a:t> of our customer base.</a:t>
          </a:r>
        </a:p>
        <a:p>
          <a:endParaRPr lang="en-IN"/>
        </a:p>
        <a:p>
          <a:r>
            <a:rPr lang="en-IN" sz="1200">
              <a:solidFill>
                <a:schemeClr val="accent1">
                  <a:lumMod val="75000"/>
                </a:schemeClr>
              </a:solidFill>
            </a:rPr>
            <a:t>4.</a:t>
          </a:r>
          <a:r>
            <a:rPr lang="en-IN" sz="1200" baseline="0">
              <a:solidFill>
                <a:schemeClr val="accent1">
                  <a:lumMod val="75000"/>
                </a:schemeClr>
              </a:solidFill>
            </a:rPr>
            <a:t> </a:t>
          </a:r>
          <a:r>
            <a:rPr lang="en-IN" sz="1200" b="1">
              <a:solidFill>
                <a:schemeClr val="accent1">
                  <a:lumMod val="75000"/>
                </a:schemeClr>
              </a:solidFill>
            </a:rPr>
            <a:t>Bronze segment is a growth opportunity</a:t>
          </a:r>
          <a:r>
            <a:rPr lang="en-IN" sz="1200" b="1" baseline="0">
              <a:solidFill>
                <a:schemeClr val="accent1">
                  <a:lumMod val="75000"/>
                </a:schemeClr>
              </a:solidFill>
            </a:rPr>
            <a:t> </a:t>
          </a:r>
          <a:r>
            <a:rPr lang="en-IN" b="1" baseline="0">
              <a:solidFill>
                <a:schemeClr val="accent1">
                  <a:lumMod val="75000"/>
                </a:schemeClr>
              </a:solidFill>
            </a:rPr>
            <a:t>- </a:t>
          </a:r>
          <a:r>
            <a:rPr lang="en-IN"/>
            <a:t>Bronze customers make up </a:t>
          </a:r>
          <a:r>
            <a:rPr lang="en-IN" b="1"/>
            <a:t>291 customers</a:t>
          </a:r>
          <a:r>
            <a:rPr lang="en-IN"/>
            <a:t> – a large entry-level segment.</a:t>
          </a:r>
        </a:p>
        <a:p>
          <a:endParaRPr lang="en-IN"/>
        </a:p>
        <a:p>
          <a:endParaRPr lang="en-IN" sz="1100"/>
        </a:p>
      </xdr:txBody>
    </xdr:sp>
    <xdr:clientData/>
  </xdr:twoCellAnchor>
  <xdr:twoCellAnchor>
    <xdr:from>
      <xdr:col>5</xdr:col>
      <xdr:colOff>905463</xdr:colOff>
      <xdr:row>77</xdr:row>
      <xdr:rowOff>1</xdr:rowOff>
    </xdr:from>
    <xdr:to>
      <xdr:col>11</xdr:col>
      <xdr:colOff>952500</xdr:colOff>
      <xdr:row>92</xdr:row>
      <xdr:rowOff>82315</xdr:rowOff>
    </xdr:to>
    <xdr:sp macro="" textlink="">
      <xdr:nvSpPr>
        <xdr:cNvPr id="21" name="TextBox 20">
          <a:extLst>
            <a:ext uri="{FF2B5EF4-FFF2-40B4-BE49-F238E27FC236}">
              <a16:creationId xmlns:a16="http://schemas.microsoft.com/office/drawing/2014/main" id="{9817DDAB-39EF-A292-A876-71F0F27F4FFD}"/>
            </a:ext>
          </a:extLst>
        </xdr:cNvPr>
        <xdr:cNvSpPr txBox="1"/>
      </xdr:nvSpPr>
      <xdr:spPr>
        <a:xfrm>
          <a:off x="6890926" y="14593242"/>
          <a:ext cx="7443611" cy="2904536"/>
        </a:xfrm>
        <a:prstGeom prst="rect">
          <a:avLst/>
        </a:prstGeom>
        <a:solidFill>
          <a:srgbClr val="00FFFF"/>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b="1"/>
            <a:t>1</a:t>
          </a:r>
          <a:r>
            <a:rPr lang="en-IN" sz="1400" b="1">
              <a:solidFill>
                <a:srgbClr val="3131BF"/>
              </a:solidFill>
            </a:rPr>
            <a:t>: Mentoring program is our top service</a:t>
          </a:r>
        </a:p>
        <a:p>
          <a:r>
            <a:rPr lang="en-IN"/>
            <a:t>Mentoring program has the </a:t>
          </a:r>
          <a:r>
            <a:rPr lang="en-IN" b="1"/>
            <a:t>highest total orders (543)</a:t>
          </a:r>
          <a:r>
            <a:rPr lang="en-IN"/>
            <a:t> across the year.</a:t>
          </a:r>
        </a:p>
        <a:p>
          <a:endParaRPr lang="en-IN" sz="1100"/>
        </a:p>
        <a:p>
          <a:r>
            <a:rPr lang="en-IN"/>
            <a:t>Invest more marketing and content around the Mentoring program since it is the highest demand driver.</a:t>
          </a:r>
        </a:p>
        <a:p>
          <a:endParaRPr lang="en-IN" sz="1100"/>
        </a:p>
        <a:p>
          <a:r>
            <a:rPr lang="en-IN" b="1"/>
            <a:t>2</a:t>
          </a:r>
          <a:r>
            <a:rPr lang="en-IN" sz="1400" b="1">
              <a:solidFill>
                <a:srgbClr val="56CF39"/>
              </a:solidFill>
            </a:rPr>
            <a:t>: Seasonal demand spikes</a:t>
          </a:r>
        </a:p>
        <a:p>
          <a:r>
            <a:rPr lang="en-IN"/>
            <a:t>March, June, August, November, and December show </a:t>
          </a:r>
          <a:r>
            <a:rPr lang="en-IN" b="1"/>
            <a:t>higher total orders</a:t>
          </a:r>
          <a:r>
            <a:rPr lang="en-IN"/>
            <a:t> (200+ in some months).</a:t>
          </a:r>
        </a:p>
        <a:p>
          <a:endParaRPr lang="en-IN"/>
        </a:p>
        <a:p>
          <a:r>
            <a:rPr lang="en-IN"/>
            <a:t>Increase staff availability and service capacity during these months.</a:t>
          </a:r>
        </a:p>
        <a:p>
          <a:r>
            <a:rPr lang="en-IN"/>
            <a:t>Offer packages or promotions during slow months (April, May).</a:t>
          </a:r>
        </a:p>
        <a:p>
          <a:endParaRPr lang="en-IN"/>
        </a:p>
        <a:p>
          <a:r>
            <a:rPr lang="en-IN" b="1"/>
            <a:t>3</a:t>
          </a:r>
          <a:r>
            <a:rPr lang="en-IN" sz="1400" b="1">
              <a:solidFill>
                <a:srgbClr val="FF0000"/>
              </a:solidFill>
            </a:rPr>
            <a:t>: Interview Prep + LinkedIn Profile have growth potential</a:t>
          </a:r>
        </a:p>
        <a:p>
          <a:r>
            <a:rPr lang="en-IN"/>
            <a:t>These services show moderate volume but </a:t>
          </a:r>
          <a:r>
            <a:rPr lang="en-IN" b="1"/>
            <a:t>consistent</a:t>
          </a:r>
          <a:r>
            <a:rPr lang="en-IN"/>
            <a:t> monthly demand.</a:t>
          </a:r>
        </a:p>
        <a:p>
          <a:br>
            <a:rPr lang="en-IN"/>
          </a:br>
          <a:r>
            <a:rPr lang="en-IN"/>
            <a:t>Bundle them with high-performing services like Mentoring programs to increase cross-selling and average order value.</a:t>
          </a:r>
        </a:p>
        <a:p>
          <a:endParaRPr lang="en-IN"/>
        </a:p>
        <a:p>
          <a:endParaRPr lang="en-IN" sz="1100"/>
        </a:p>
      </xdr:txBody>
    </xdr:sp>
    <xdr:clientData/>
  </xdr:twoCellAnchor>
  <xdr:twoCellAnchor>
    <xdr:from>
      <xdr:col>4</xdr:col>
      <xdr:colOff>1011296</xdr:colOff>
      <xdr:row>55</xdr:row>
      <xdr:rowOff>94075</xdr:rowOff>
    </xdr:from>
    <xdr:to>
      <xdr:col>7</xdr:col>
      <xdr:colOff>787869</xdr:colOff>
      <xdr:row>57</xdr:row>
      <xdr:rowOff>94075</xdr:rowOff>
    </xdr:to>
    <xdr:sp macro="" textlink="">
      <xdr:nvSpPr>
        <xdr:cNvPr id="22" name="TextBox 21">
          <a:extLst>
            <a:ext uri="{FF2B5EF4-FFF2-40B4-BE49-F238E27FC236}">
              <a16:creationId xmlns:a16="http://schemas.microsoft.com/office/drawing/2014/main" id="{DE886ABD-0CD0-42AC-80C4-AE9234B6AF7D}"/>
            </a:ext>
          </a:extLst>
        </xdr:cNvPr>
        <xdr:cNvSpPr txBox="1"/>
      </xdr:nvSpPr>
      <xdr:spPr>
        <a:xfrm>
          <a:off x="5762037" y="10548056"/>
          <a:ext cx="3645369" cy="376297"/>
        </a:xfrm>
        <a:prstGeom prst="rect">
          <a:avLst/>
        </a:prstGeom>
        <a:solidFill>
          <a:srgbClr val="3131BF"/>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baseline="0"/>
            <a:t>Quantity Ordered  By month and  Service  Category</a:t>
          </a:r>
          <a:endParaRPr lang="en-IN" sz="1200" b="1"/>
        </a:p>
      </xdr:txBody>
    </xdr:sp>
    <xdr:clientData/>
  </xdr:twoCellAnchor>
  <xdr:oneCellAnchor>
    <xdr:from>
      <xdr:col>4</xdr:col>
      <xdr:colOff>823148</xdr:colOff>
      <xdr:row>73</xdr:row>
      <xdr:rowOff>148547</xdr:rowOff>
    </xdr:from>
    <xdr:ext cx="4276816" cy="655885"/>
    <xdr:sp macro="" textlink="">
      <xdr:nvSpPr>
        <xdr:cNvPr id="23" name="Rectangle 22">
          <a:extLst>
            <a:ext uri="{FF2B5EF4-FFF2-40B4-BE49-F238E27FC236}">
              <a16:creationId xmlns:a16="http://schemas.microsoft.com/office/drawing/2014/main" id="{BDBB774F-5075-1F7A-8FAD-C4966A4786B5}"/>
            </a:ext>
          </a:extLst>
        </xdr:cNvPr>
        <xdr:cNvSpPr/>
      </xdr:nvSpPr>
      <xdr:spPr>
        <a:xfrm>
          <a:off x="5573889" y="13989195"/>
          <a:ext cx="4276816" cy="655885"/>
        </a:xfrm>
        <a:prstGeom prst="rect">
          <a:avLst/>
        </a:prstGeom>
        <a:noFill/>
      </xdr:spPr>
      <xdr:txBody>
        <a:bodyPr wrap="square" lIns="91440" tIns="45720" rIns="91440" bIns="45720">
          <a:spAutoFit/>
        </a:bodyPr>
        <a:lstStyle/>
        <a:p>
          <a:pPr algn="ctr"/>
          <a:r>
            <a:rPr lang="en-US" sz="3600" b="1" cap="none" spc="0">
              <a:ln w="12700">
                <a:solidFill>
                  <a:schemeClr val="tx2">
                    <a:lumMod val="75000"/>
                  </a:schemeClr>
                </a:solidFill>
                <a:prstDash val="solid"/>
              </a:ln>
              <a:solidFill>
                <a:srgbClr val="FF0000"/>
              </a:solidFill>
              <a:effectLst>
                <a:outerShdw dist="38100" dir="2640000" algn="bl" rotWithShape="0">
                  <a:schemeClr val="tx2">
                    <a:lumMod val="75000"/>
                  </a:schemeClr>
                </a:outerShdw>
              </a:effectLst>
            </a:rPr>
            <a:t>Insights</a:t>
          </a:r>
        </a:p>
      </xdr:txBody>
    </xdr:sp>
    <xdr:clientData/>
  </xdr:oneCellAnchor>
  <xdr:oneCellAnchor>
    <xdr:from>
      <xdr:col>3</xdr:col>
      <xdr:colOff>987777</xdr:colOff>
      <xdr:row>38</xdr:row>
      <xdr:rowOff>70555</xdr:rowOff>
    </xdr:from>
    <xdr:ext cx="3147927" cy="655885"/>
    <xdr:sp macro="" textlink="">
      <xdr:nvSpPr>
        <xdr:cNvPr id="24" name="Rectangle 23">
          <a:extLst>
            <a:ext uri="{FF2B5EF4-FFF2-40B4-BE49-F238E27FC236}">
              <a16:creationId xmlns:a16="http://schemas.microsoft.com/office/drawing/2014/main" id="{5886338A-88E9-4779-8233-D5D9CF151BE3}"/>
            </a:ext>
          </a:extLst>
        </xdr:cNvPr>
        <xdr:cNvSpPr/>
      </xdr:nvSpPr>
      <xdr:spPr>
        <a:xfrm>
          <a:off x="4727221" y="7302499"/>
          <a:ext cx="3147927" cy="655885"/>
        </a:xfrm>
        <a:prstGeom prst="rect">
          <a:avLst/>
        </a:prstGeom>
        <a:noFill/>
      </xdr:spPr>
      <xdr:txBody>
        <a:bodyPr wrap="square" lIns="91440" tIns="45720" rIns="91440" bIns="45720">
          <a:spAutoFit/>
        </a:bodyPr>
        <a:lstStyle/>
        <a:p>
          <a:pPr algn="ctr"/>
          <a:r>
            <a:rPr lang="en-US" sz="3600" b="1" cap="none" spc="0">
              <a:ln w="12700">
                <a:solidFill>
                  <a:schemeClr val="tx2">
                    <a:lumMod val="75000"/>
                  </a:schemeClr>
                </a:solidFill>
                <a:prstDash val="solid"/>
              </a:ln>
              <a:solidFill>
                <a:srgbClr val="FF0000"/>
              </a:solidFill>
              <a:effectLst>
                <a:outerShdw dist="38100" dir="2640000" algn="bl" rotWithShape="0">
                  <a:schemeClr val="tx2">
                    <a:lumMod val="75000"/>
                  </a:schemeClr>
                </a:outerShdw>
              </a:effectLst>
            </a:rPr>
            <a:t>Insights</a:t>
          </a:r>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3</xdr:col>
      <xdr:colOff>3175</xdr:colOff>
      <xdr:row>4</xdr:row>
      <xdr:rowOff>174625</xdr:rowOff>
    </xdr:from>
    <xdr:ext cx="2724150" cy="374141"/>
    <xdr:sp macro="" textlink="">
      <xdr:nvSpPr>
        <xdr:cNvPr id="3" name="TextBox 2">
          <a:extLst>
            <a:ext uri="{FF2B5EF4-FFF2-40B4-BE49-F238E27FC236}">
              <a16:creationId xmlns:a16="http://schemas.microsoft.com/office/drawing/2014/main" id="{0552FF8C-0828-4248-8561-E4CC5AC2EF4A}"/>
            </a:ext>
          </a:extLst>
        </xdr:cNvPr>
        <xdr:cNvSpPr txBox="1"/>
      </xdr:nvSpPr>
      <xdr:spPr>
        <a:xfrm>
          <a:off x="955675" y="949325"/>
          <a:ext cx="2724150" cy="374141"/>
        </a:xfrm>
        <a:prstGeom prst="rect">
          <a:avLst/>
        </a:prstGeom>
        <a:solidFill>
          <a:schemeClr val="accent1">
            <a:lumMod val="60000"/>
            <a:lumOff val="4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IN" sz="1800" b="1" i="1"/>
            <a:t>Summary</a:t>
          </a:r>
          <a:r>
            <a:rPr lang="en-IN" sz="1800" b="1" i="1" baseline="0"/>
            <a:t> </a:t>
          </a:r>
          <a:endParaRPr lang="en-IN" sz="1800" b="1" i="1"/>
        </a:p>
      </xdr:txBody>
    </xdr:sp>
    <xdr:clientData/>
  </xdr:oneCellAnchor>
  <xdr:twoCellAnchor>
    <xdr:from>
      <xdr:col>7</xdr:col>
      <xdr:colOff>520700</xdr:colOff>
      <xdr:row>26</xdr:row>
      <xdr:rowOff>12700</xdr:rowOff>
    </xdr:from>
    <xdr:to>
      <xdr:col>12</xdr:col>
      <xdr:colOff>279400</xdr:colOff>
      <xdr:row>43</xdr:row>
      <xdr:rowOff>128548</xdr:rowOff>
    </xdr:to>
    <xdr:graphicFrame macro="">
      <xdr:nvGraphicFramePr>
        <xdr:cNvPr id="5" name="Chart 4">
          <a:extLst>
            <a:ext uri="{FF2B5EF4-FFF2-40B4-BE49-F238E27FC236}">
              <a16:creationId xmlns:a16="http://schemas.microsoft.com/office/drawing/2014/main" id="{D7C663E1-AA08-4D66-9E3D-1B5FD90EBA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536575</xdr:colOff>
      <xdr:row>50</xdr:row>
      <xdr:rowOff>152400</xdr:rowOff>
    </xdr:from>
    <xdr:to>
      <xdr:col>10</xdr:col>
      <xdr:colOff>97089</xdr:colOff>
      <xdr:row>65</xdr:row>
      <xdr:rowOff>88900</xdr:rowOff>
    </xdr:to>
    <xdr:graphicFrame macro="">
      <xdr:nvGraphicFramePr>
        <xdr:cNvPr id="6" name="Chart 5">
          <a:extLst>
            <a:ext uri="{FF2B5EF4-FFF2-40B4-BE49-F238E27FC236}">
              <a16:creationId xmlns:a16="http://schemas.microsoft.com/office/drawing/2014/main" id="{98D6D7B3-463B-4173-AF43-18DA7AF95A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10</xdr:col>
      <xdr:colOff>377825</xdr:colOff>
      <xdr:row>50</xdr:row>
      <xdr:rowOff>155575</xdr:rowOff>
    </xdr:from>
    <xdr:to>
      <xdr:col>11</xdr:col>
      <xdr:colOff>1076325</xdr:colOff>
      <xdr:row>58</xdr:row>
      <xdr:rowOff>76200</xdr:rowOff>
    </xdr:to>
    <mc:AlternateContent xmlns:mc="http://schemas.openxmlformats.org/markup-compatibility/2006" xmlns:a14="http://schemas.microsoft.com/office/drawing/2010/main">
      <mc:Choice Requires="a14">
        <xdr:graphicFrame macro="">
          <xdr:nvGraphicFramePr>
            <xdr:cNvPr id="20" name="Month">
              <a:extLst>
                <a:ext uri="{FF2B5EF4-FFF2-40B4-BE49-F238E27FC236}">
                  <a16:creationId xmlns:a16="http://schemas.microsoft.com/office/drawing/2014/main" id="{2E9116B7-6BEA-5B92-56F0-F6CDA0FA6B2E}"/>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11884025" y="9794875"/>
              <a:ext cx="1828800" cy="14700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368300</xdr:colOff>
      <xdr:row>59</xdr:row>
      <xdr:rowOff>82551</xdr:rowOff>
    </xdr:from>
    <xdr:to>
      <xdr:col>11</xdr:col>
      <xdr:colOff>1066800</xdr:colOff>
      <xdr:row>65</xdr:row>
      <xdr:rowOff>76201</xdr:rowOff>
    </xdr:to>
    <mc:AlternateContent xmlns:mc="http://schemas.openxmlformats.org/markup-compatibility/2006" xmlns:a14="http://schemas.microsoft.com/office/drawing/2010/main">
      <mc:Choice Requires="a14">
        <xdr:graphicFrame macro="">
          <xdr:nvGraphicFramePr>
            <xdr:cNvPr id="24" name="State">
              <a:extLst>
                <a:ext uri="{FF2B5EF4-FFF2-40B4-BE49-F238E27FC236}">
                  <a16:creationId xmlns:a16="http://schemas.microsoft.com/office/drawing/2014/main" id="{5FF76A33-8B2B-A059-9EA2-A476CA570110}"/>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11874500" y="11436351"/>
              <a:ext cx="1828800" cy="11493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104774</xdr:colOff>
      <xdr:row>38</xdr:row>
      <xdr:rowOff>98425</xdr:rowOff>
    </xdr:from>
    <xdr:to>
      <xdr:col>7</xdr:col>
      <xdr:colOff>228599</xdr:colOff>
      <xdr:row>44</xdr:row>
      <xdr:rowOff>25400</xdr:rowOff>
    </xdr:to>
    <mc:AlternateContent xmlns:mc="http://schemas.openxmlformats.org/markup-compatibility/2006" xmlns:a14="http://schemas.microsoft.com/office/drawing/2010/main">
      <mc:Choice Requires="a14">
        <xdr:graphicFrame macro="">
          <xdr:nvGraphicFramePr>
            <xdr:cNvPr id="25" name="Service Category">
              <a:extLst>
                <a:ext uri="{FF2B5EF4-FFF2-40B4-BE49-F238E27FC236}">
                  <a16:creationId xmlns:a16="http://schemas.microsoft.com/office/drawing/2014/main" id="{0ACBECD2-A46F-B558-2337-23791035C81F}"/>
                </a:ext>
              </a:extLst>
            </xdr:cNvPr>
            <xdr:cNvGraphicFramePr/>
          </xdr:nvGraphicFramePr>
          <xdr:xfrm>
            <a:off x="0" y="0"/>
            <a:ext cx="0" cy="0"/>
          </xdr:xfrm>
          <a:graphic>
            <a:graphicData uri="http://schemas.microsoft.com/office/drawing/2010/slicer">
              <sle:slicer xmlns:sle="http://schemas.microsoft.com/office/drawing/2010/slicer" name="Service Category"/>
            </a:graphicData>
          </a:graphic>
        </xdr:graphicFrame>
      </mc:Choice>
      <mc:Fallback xmlns="">
        <xdr:sp macro="" textlink="">
          <xdr:nvSpPr>
            <xdr:cNvPr id="0" name=""/>
            <xdr:cNvSpPr>
              <a:spLocks noTextEdit="1"/>
            </xdr:cNvSpPr>
          </xdr:nvSpPr>
          <xdr:spPr>
            <a:xfrm>
              <a:off x="1831974" y="7426325"/>
              <a:ext cx="4594225" cy="1069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114300</xdr:colOff>
      <xdr:row>34</xdr:row>
      <xdr:rowOff>117475</xdr:rowOff>
    </xdr:from>
    <xdr:to>
      <xdr:col>6</xdr:col>
      <xdr:colOff>885825</xdr:colOff>
      <xdr:row>38</xdr:row>
      <xdr:rowOff>12700</xdr:rowOff>
    </xdr:to>
    <mc:AlternateContent xmlns:mc="http://schemas.openxmlformats.org/markup-compatibility/2006" xmlns:a14="http://schemas.microsoft.com/office/drawing/2010/main">
      <mc:Choice Requires="a14">
        <xdr:graphicFrame macro="">
          <xdr:nvGraphicFramePr>
            <xdr:cNvPr id="26" name="Sales Agent">
              <a:extLst>
                <a:ext uri="{FF2B5EF4-FFF2-40B4-BE49-F238E27FC236}">
                  <a16:creationId xmlns:a16="http://schemas.microsoft.com/office/drawing/2014/main" id="{534FF2B2-7B6C-1524-380B-A7B5F53DE4BF}"/>
                </a:ext>
              </a:extLst>
            </xdr:cNvPr>
            <xdr:cNvGraphicFramePr/>
          </xdr:nvGraphicFramePr>
          <xdr:xfrm>
            <a:off x="0" y="0"/>
            <a:ext cx="0" cy="0"/>
          </xdr:xfrm>
          <a:graphic>
            <a:graphicData uri="http://schemas.microsoft.com/office/drawing/2010/slicer">
              <sle:slicer xmlns:sle="http://schemas.microsoft.com/office/drawing/2010/slicer" name="Sales Agent"/>
            </a:graphicData>
          </a:graphic>
        </xdr:graphicFrame>
      </mc:Choice>
      <mc:Fallback xmlns="">
        <xdr:sp macro="" textlink="">
          <xdr:nvSpPr>
            <xdr:cNvPr id="0" name=""/>
            <xdr:cNvSpPr>
              <a:spLocks noTextEdit="1"/>
            </xdr:cNvSpPr>
          </xdr:nvSpPr>
          <xdr:spPr>
            <a:xfrm>
              <a:off x="1841500" y="6683375"/>
              <a:ext cx="4124325" cy="6572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422274</xdr:colOff>
      <xdr:row>7</xdr:row>
      <xdr:rowOff>9525</xdr:rowOff>
    </xdr:from>
    <xdr:to>
      <xdr:col>12</xdr:col>
      <xdr:colOff>1206499</xdr:colOff>
      <xdr:row>16</xdr:row>
      <xdr:rowOff>177800</xdr:rowOff>
    </xdr:to>
    <mc:AlternateContent xmlns:mc="http://schemas.openxmlformats.org/markup-compatibility/2006" xmlns:a14="http://schemas.microsoft.com/office/drawing/2010/main">
      <mc:Choice Requires="a14">
        <xdr:graphicFrame macro="">
          <xdr:nvGraphicFramePr>
            <xdr:cNvPr id="27" name="Service Category 1">
              <a:extLst>
                <a:ext uri="{FF2B5EF4-FFF2-40B4-BE49-F238E27FC236}">
                  <a16:creationId xmlns:a16="http://schemas.microsoft.com/office/drawing/2014/main" id="{F8FF6214-2BA3-7C7F-4445-C72B111FACB8}"/>
                </a:ext>
              </a:extLst>
            </xdr:cNvPr>
            <xdr:cNvGraphicFramePr/>
          </xdr:nvGraphicFramePr>
          <xdr:xfrm>
            <a:off x="0" y="0"/>
            <a:ext cx="0" cy="0"/>
          </xdr:xfrm>
          <a:graphic>
            <a:graphicData uri="http://schemas.microsoft.com/office/drawing/2010/slicer">
              <sle:slicer xmlns:sle="http://schemas.microsoft.com/office/drawing/2010/slicer" name="Service Category 1"/>
            </a:graphicData>
          </a:graphic>
        </xdr:graphicFrame>
      </mc:Choice>
      <mc:Fallback xmlns="">
        <xdr:sp macro="" textlink="">
          <xdr:nvSpPr>
            <xdr:cNvPr id="0" name=""/>
            <xdr:cNvSpPr>
              <a:spLocks noTextEdit="1"/>
            </xdr:cNvSpPr>
          </xdr:nvSpPr>
          <xdr:spPr>
            <a:xfrm>
              <a:off x="13211174" y="1355725"/>
              <a:ext cx="2066925" cy="19208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774699</xdr:colOff>
      <xdr:row>17</xdr:row>
      <xdr:rowOff>117475</xdr:rowOff>
    </xdr:from>
    <xdr:to>
      <xdr:col>10</xdr:col>
      <xdr:colOff>1120775</xdr:colOff>
      <xdr:row>22</xdr:row>
      <xdr:rowOff>101600</xdr:rowOff>
    </xdr:to>
    <mc:AlternateContent xmlns:mc="http://schemas.openxmlformats.org/markup-compatibility/2006">
      <mc:Choice xmlns:a14="http://schemas.microsoft.com/office/drawing/2010/main" Requires="a14">
        <xdr:graphicFrame macro="">
          <xdr:nvGraphicFramePr>
            <xdr:cNvPr id="28" name="State 1">
              <a:extLst>
                <a:ext uri="{FF2B5EF4-FFF2-40B4-BE49-F238E27FC236}">
                  <a16:creationId xmlns:a16="http://schemas.microsoft.com/office/drawing/2014/main" id="{FFD8D825-C12C-4DF4-2FAA-FF77E977787C}"/>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dr:sp macro="" textlink="">
          <xdr:nvSpPr>
            <xdr:cNvPr id="0" name=""/>
            <xdr:cNvSpPr>
              <a:spLocks noTextEdit="1"/>
            </xdr:cNvSpPr>
          </xdr:nvSpPr>
          <xdr:spPr>
            <a:xfrm>
              <a:off x="6972299" y="3419475"/>
              <a:ext cx="3546476" cy="9366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177800</xdr:colOff>
      <xdr:row>0</xdr:row>
      <xdr:rowOff>127000</xdr:rowOff>
    </xdr:from>
    <xdr:to>
      <xdr:col>9</xdr:col>
      <xdr:colOff>1054100</xdr:colOff>
      <xdr:row>3</xdr:row>
      <xdr:rowOff>0</xdr:rowOff>
    </xdr:to>
    <xdr:sp macro="" textlink="">
      <xdr:nvSpPr>
        <xdr:cNvPr id="29" name="TextBox 28">
          <a:extLst>
            <a:ext uri="{FF2B5EF4-FFF2-40B4-BE49-F238E27FC236}">
              <a16:creationId xmlns:a16="http://schemas.microsoft.com/office/drawing/2014/main" id="{FB4D1365-C94E-52AD-80F9-F01CE3EF6CFB}"/>
            </a:ext>
          </a:extLst>
        </xdr:cNvPr>
        <xdr:cNvSpPr txBox="1"/>
      </xdr:nvSpPr>
      <xdr:spPr>
        <a:xfrm>
          <a:off x="5118100" y="127000"/>
          <a:ext cx="6159500" cy="444500"/>
        </a:xfrm>
        <a:prstGeom prst="rect">
          <a:avLst/>
        </a:prstGeom>
        <a:solidFill>
          <a:schemeClr val="accen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b="1"/>
            <a:t>SALES ANALYSIS</a:t>
          </a:r>
        </a:p>
      </xdr:txBody>
    </xdr:sp>
    <xdr:clientData/>
  </xdr:twoCellAnchor>
  <xdr:twoCellAnchor>
    <xdr:from>
      <xdr:col>8</xdr:col>
      <xdr:colOff>749300</xdr:colOff>
      <xdr:row>5</xdr:row>
      <xdr:rowOff>38100</xdr:rowOff>
    </xdr:from>
    <xdr:to>
      <xdr:col>10</xdr:col>
      <xdr:colOff>304800</xdr:colOff>
      <xdr:row>7</xdr:row>
      <xdr:rowOff>12700</xdr:rowOff>
    </xdr:to>
    <xdr:sp macro="" textlink="">
      <xdr:nvSpPr>
        <xdr:cNvPr id="30" name="TextBox 29">
          <a:extLst>
            <a:ext uri="{FF2B5EF4-FFF2-40B4-BE49-F238E27FC236}">
              <a16:creationId xmlns:a16="http://schemas.microsoft.com/office/drawing/2014/main" id="{2F5E9796-FAF5-87AC-D7E1-925DFCB2AF17}"/>
            </a:ext>
          </a:extLst>
        </xdr:cNvPr>
        <xdr:cNvSpPr txBox="1"/>
      </xdr:nvSpPr>
      <xdr:spPr>
        <a:xfrm>
          <a:off x="6400800" y="1003300"/>
          <a:ext cx="1981200" cy="355600"/>
        </a:xfrm>
        <a:prstGeom prst="rect">
          <a:avLst/>
        </a:prstGeom>
        <a:solidFill>
          <a:srgbClr val="56CF39"/>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t>Sales</a:t>
          </a:r>
          <a:r>
            <a:rPr lang="en-IN" sz="1200" b="1" baseline="0"/>
            <a:t> By Service Analysis</a:t>
          </a:r>
          <a:endParaRPr lang="en-IN" sz="1200" b="1"/>
        </a:p>
      </xdr:txBody>
    </xdr:sp>
    <xdr:clientData/>
  </xdr:twoCellAnchor>
  <xdr:twoCellAnchor>
    <xdr:from>
      <xdr:col>3</xdr:col>
      <xdr:colOff>355600</xdr:colOff>
      <xdr:row>24</xdr:row>
      <xdr:rowOff>114300</xdr:rowOff>
    </xdr:from>
    <xdr:to>
      <xdr:col>5</xdr:col>
      <xdr:colOff>787400</xdr:colOff>
      <xdr:row>26</xdr:row>
      <xdr:rowOff>12700</xdr:rowOff>
    </xdr:to>
    <xdr:sp macro="" textlink="">
      <xdr:nvSpPr>
        <xdr:cNvPr id="31" name="TextBox 30">
          <a:extLst>
            <a:ext uri="{FF2B5EF4-FFF2-40B4-BE49-F238E27FC236}">
              <a16:creationId xmlns:a16="http://schemas.microsoft.com/office/drawing/2014/main" id="{61F782E6-08D3-469E-BD0A-6A40E1167237}"/>
            </a:ext>
          </a:extLst>
        </xdr:cNvPr>
        <xdr:cNvSpPr txBox="1"/>
      </xdr:nvSpPr>
      <xdr:spPr>
        <a:xfrm>
          <a:off x="3314700" y="4724400"/>
          <a:ext cx="2413000" cy="279400"/>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t>Sales</a:t>
          </a:r>
          <a:r>
            <a:rPr lang="en-IN" sz="1200" b="1" baseline="0"/>
            <a:t> By Agent Analysis</a:t>
          </a:r>
          <a:endParaRPr lang="en-IN" sz="1200" b="1"/>
        </a:p>
      </xdr:txBody>
    </xdr:sp>
    <xdr:clientData/>
  </xdr:twoCellAnchor>
  <xdr:twoCellAnchor>
    <xdr:from>
      <xdr:col>6</xdr:col>
      <xdr:colOff>25400</xdr:colOff>
      <xdr:row>48</xdr:row>
      <xdr:rowOff>114300</xdr:rowOff>
    </xdr:from>
    <xdr:to>
      <xdr:col>7</xdr:col>
      <xdr:colOff>1155700</xdr:colOff>
      <xdr:row>50</xdr:row>
      <xdr:rowOff>12700</xdr:rowOff>
    </xdr:to>
    <xdr:sp macro="" textlink="">
      <xdr:nvSpPr>
        <xdr:cNvPr id="32" name="TextBox 31">
          <a:extLst>
            <a:ext uri="{FF2B5EF4-FFF2-40B4-BE49-F238E27FC236}">
              <a16:creationId xmlns:a16="http://schemas.microsoft.com/office/drawing/2014/main" id="{BF410538-348C-4829-829A-4C8BC0FD4FAA}"/>
            </a:ext>
          </a:extLst>
        </xdr:cNvPr>
        <xdr:cNvSpPr txBox="1"/>
      </xdr:nvSpPr>
      <xdr:spPr>
        <a:xfrm>
          <a:off x="4965700" y="9372600"/>
          <a:ext cx="2413000" cy="279400"/>
        </a:xfrm>
        <a:prstGeom prst="rect">
          <a:avLst/>
        </a:prstGeom>
        <a:solidFill>
          <a:srgbClr val="C000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t>Sales</a:t>
          </a:r>
          <a:r>
            <a:rPr lang="en-IN" sz="1200" b="1" baseline="0"/>
            <a:t> By Month Analysis</a:t>
          </a:r>
          <a:endParaRPr lang="en-IN" sz="1200" b="1"/>
        </a:p>
      </xdr:txBody>
    </xdr:sp>
    <xdr:clientData/>
  </xdr:twoCellAnchor>
  <xdr:twoCellAnchor>
    <xdr:from>
      <xdr:col>3</xdr:col>
      <xdr:colOff>342900</xdr:colOff>
      <xdr:row>74</xdr:row>
      <xdr:rowOff>25400</xdr:rowOff>
    </xdr:from>
    <xdr:to>
      <xdr:col>11</xdr:col>
      <xdr:colOff>266700</xdr:colOff>
      <xdr:row>83</xdr:row>
      <xdr:rowOff>165100</xdr:rowOff>
    </xdr:to>
    <xdr:sp macro="" textlink="">
      <xdr:nvSpPr>
        <xdr:cNvPr id="33" name="TextBox 32">
          <a:extLst>
            <a:ext uri="{FF2B5EF4-FFF2-40B4-BE49-F238E27FC236}">
              <a16:creationId xmlns:a16="http://schemas.microsoft.com/office/drawing/2014/main" id="{52EF2EF7-263B-8E75-F004-190A0227F0B1}"/>
            </a:ext>
          </a:extLst>
        </xdr:cNvPr>
        <xdr:cNvSpPr txBox="1"/>
      </xdr:nvSpPr>
      <xdr:spPr>
        <a:xfrm>
          <a:off x="3302000" y="14249400"/>
          <a:ext cx="9753600" cy="1854200"/>
        </a:xfrm>
        <a:prstGeom prst="rect">
          <a:avLst/>
        </a:prstGeom>
        <a:solidFill>
          <a:srgbClr val="92D05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600" b="1"/>
            <a:t>1.</a:t>
          </a:r>
          <a:r>
            <a:rPr lang="en-IN" sz="1600" b="1" baseline="0"/>
            <a:t>  </a:t>
          </a:r>
          <a:r>
            <a:rPr lang="en-IN" sz="1600" b="1"/>
            <a:t>Profitability &amp; Cost Efficiency</a:t>
          </a:r>
        </a:p>
        <a:p>
          <a:pPr algn="l"/>
          <a:endParaRPr lang="en-IN" sz="1100" b="1"/>
        </a:p>
        <a:p>
          <a:pPr algn="l"/>
          <a:r>
            <a:rPr lang="en-IN" sz="1400"/>
            <a:t>The business generated </a:t>
          </a:r>
          <a:r>
            <a:rPr lang="en-IN" sz="1400" b="1"/>
            <a:t>$890,427 in total sales</a:t>
          </a:r>
          <a:r>
            <a:rPr lang="en-IN" sz="1400"/>
            <a:t> and </a:t>
          </a:r>
          <a:r>
            <a:rPr lang="en-IN" sz="1400" b="1"/>
            <a:t>$683,960 in total profit</a:t>
          </a:r>
          <a:r>
            <a:rPr lang="en-IN" sz="1400"/>
            <a:t>, achieving a strong </a:t>
          </a:r>
          <a:r>
            <a:rPr lang="en-IN" sz="1400" b="1"/>
            <a:t>overall profit margin of 76.78%</a:t>
          </a:r>
          <a:r>
            <a:rPr lang="en-IN" sz="1400"/>
            <a:t>.</a:t>
          </a:r>
          <a:br>
            <a:rPr lang="en-IN" sz="1400"/>
          </a:br>
          <a:r>
            <a:rPr lang="en-IN" sz="1400"/>
            <a:t>However, </a:t>
          </a:r>
          <a:r>
            <a:rPr lang="en-IN" sz="1400" b="1"/>
            <a:t>Service Provider Expenses totalled $206,466</a:t>
          </a:r>
          <a:r>
            <a:rPr lang="en-IN" sz="1400"/>
            <a:t>, accounting for </a:t>
          </a:r>
          <a:r>
            <a:rPr lang="en-IN" sz="1400" b="1"/>
            <a:t>23.2% of total sales</a:t>
          </a:r>
          <a:r>
            <a:rPr lang="en-IN" sz="1400"/>
            <a:t>.</a:t>
          </a:r>
        </a:p>
        <a:p>
          <a:pPr algn="l"/>
          <a:endParaRPr lang="en-IN" sz="1400"/>
        </a:p>
        <a:p>
          <a:pPr algn="l"/>
          <a:r>
            <a:rPr lang="en-IN" sz="1400"/>
            <a:t>A </a:t>
          </a:r>
          <a:r>
            <a:rPr lang="en-IN" sz="1400" b="1"/>
            <a:t>5% reduction in service provider costs</a:t>
          </a:r>
          <a:r>
            <a:rPr lang="en-IN" sz="1400"/>
            <a:t> could generate an additional </a:t>
          </a:r>
          <a:r>
            <a:rPr lang="en-IN" sz="1400" b="1"/>
            <a:t>$10,323 in profit</a:t>
          </a:r>
          <a:r>
            <a:rPr lang="en-IN" sz="1400"/>
            <a:t> without increasing sales volume.</a:t>
          </a:r>
        </a:p>
        <a:p>
          <a:pPr algn="l"/>
          <a:r>
            <a:rPr lang="en-IN" sz="1400"/>
            <a:t>This can be achieved through vendor negotiations, bulk service agreements, or optimizing provider allocation.</a:t>
          </a:r>
        </a:p>
        <a:p>
          <a:endParaRPr lang="en-IN" sz="1400"/>
        </a:p>
        <a:p>
          <a:endParaRPr lang="en-IN" sz="1400"/>
        </a:p>
        <a:p>
          <a:endParaRPr lang="en-IN" sz="1400"/>
        </a:p>
        <a:p>
          <a:endParaRPr lang="en-IN" sz="1400" b="0"/>
        </a:p>
        <a:p>
          <a:endParaRPr lang="en-IN" sz="1400"/>
        </a:p>
        <a:p>
          <a:endParaRPr lang="en-IN" sz="1400"/>
        </a:p>
        <a:p>
          <a:endParaRPr lang="en-IN" sz="1100"/>
        </a:p>
      </xdr:txBody>
    </xdr:sp>
    <xdr:clientData/>
  </xdr:twoCellAnchor>
  <xdr:oneCellAnchor>
    <xdr:from>
      <xdr:col>5</xdr:col>
      <xdr:colOff>493160</xdr:colOff>
      <xdr:row>69</xdr:row>
      <xdr:rowOff>39185</xdr:rowOff>
    </xdr:from>
    <xdr:ext cx="5655780" cy="937629"/>
    <xdr:sp macro="" textlink="">
      <xdr:nvSpPr>
        <xdr:cNvPr id="34" name="Rectangle 33">
          <a:extLst>
            <a:ext uri="{FF2B5EF4-FFF2-40B4-BE49-F238E27FC236}">
              <a16:creationId xmlns:a16="http://schemas.microsoft.com/office/drawing/2014/main" id="{CA632AC9-F183-AE0F-318B-063A966B7E49}"/>
            </a:ext>
          </a:extLst>
        </xdr:cNvPr>
        <xdr:cNvSpPr/>
      </xdr:nvSpPr>
      <xdr:spPr>
        <a:xfrm>
          <a:off x="5433460" y="13310685"/>
          <a:ext cx="5655780" cy="937629"/>
        </a:xfrm>
        <a:prstGeom prst="rect">
          <a:avLst/>
        </a:prstGeom>
        <a:noFill/>
      </xdr:spPr>
      <xdr:txBody>
        <a:bodyPr wrap="none" lIns="91440" tIns="45720" rIns="91440" bIns="45720">
          <a:spAutoFit/>
        </a:bodyPr>
        <a:lstStyle/>
        <a:p>
          <a:pPr algn="ctr"/>
          <a:r>
            <a:rPr lang="en-IN" sz="5400" b="1" cap="none" spc="0">
              <a:ln w="12700">
                <a:solidFill>
                  <a:schemeClr val="accent1"/>
                </a:solidFill>
                <a:prstDash val="solid"/>
              </a:ln>
              <a:solidFill>
                <a:srgbClr val="FF0000"/>
              </a:solidFill>
              <a:effectLst>
                <a:outerShdw dist="38100" dir="2640000" algn="bl" rotWithShape="0">
                  <a:schemeClr val="accent1"/>
                </a:outerShdw>
              </a:effectLst>
            </a:rPr>
            <a:t>Actionable Insights</a:t>
          </a:r>
        </a:p>
      </xdr:txBody>
    </xdr:sp>
    <xdr:clientData/>
  </xdr:oneCellAnchor>
  <xdr:twoCellAnchor>
    <xdr:from>
      <xdr:col>3</xdr:col>
      <xdr:colOff>355600</xdr:colOff>
      <xdr:row>84</xdr:row>
      <xdr:rowOff>12700</xdr:rowOff>
    </xdr:from>
    <xdr:to>
      <xdr:col>11</xdr:col>
      <xdr:colOff>266700</xdr:colOff>
      <xdr:row>91</xdr:row>
      <xdr:rowOff>50800</xdr:rowOff>
    </xdr:to>
    <xdr:sp macro="" textlink="">
      <xdr:nvSpPr>
        <xdr:cNvPr id="36" name="TextBox 35">
          <a:extLst>
            <a:ext uri="{FF2B5EF4-FFF2-40B4-BE49-F238E27FC236}">
              <a16:creationId xmlns:a16="http://schemas.microsoft.com/office/drawing/2014/main" id="{E277FD75-EF76-E497-13BF-25B4B0963664}"/>
            </a:ext>
          </a:extLst>
        </xdr:cNvPr>
        <xdr:cNvSpPr txBox="1"/>
      </xdr:nvSpPr>
      <xdr:spPr>
        <a:xfrm>
          <a:off x="3048000" y="16243300"/>
          <a:ext cx="7747000" cy="1371600"/>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chemeClr val="dk1"/>
              </a:solidFill>
              <a:effectLst/>
              <a:latin typeface="+mn-lt"/>
              <a:ea typeface="+mn-ea"/>
              <a:cs typeface="+mn-cs"/>
            </a:rPr>
            <a:t>2. Top Performing Services</a:t>
          </a:r>
          <a:endParaRPr lang="en-IN" sz="1600">
            <a:effectLst/>
          </a:endParaRPr>
        </a:p>
        <a:p>
          <a:r>
            <a:rPr lang="en-IN" sz="1400">
              <a:solidFill>
                <a:schemeClr val="dk1"/>
              </a:solidFill>
              <a:effectLst/>
              <a:latin typeface="+mn-lt"/>
              <a:ea typeface="+mn-ea"/>
              <a:cs typeface="+mn-cs"/>
            </a:rPr>
            <a:t>Mentoring Program , Interview</a:t>
          </a:r>
          <a:r>
            <a:rPr lang="en-IN" sz="1400" baseline="0">
              <a:solidFill>
                <a:schemeClr val="dk1"/>
              </a:solidFill>
              <a:effectLst/>
              <a:latin typeface="+mn-lt"/>
              <a:ea typeface="+mn-ea"/>
              <a:cs typeface="+mn-cs"/>
            </a:rPr>
            <a:t> Preparation and Networking Service contribute nearly </a:t>
          </a:r>
          <a:r>
            <a:rPr lang="en-IN" sz="1400" b="1" baseline="0">
              <a:solidFill>
                <a:schemeClr val="dk1"/>
              </a:solidFill>
              <a:effectLst/>
              <a:latin typeface="+mn-lt"/>
              <a:ea typeface="+mn-ea"/>
              <a:cs typeface="+mn-cs"/>
            </a:rPr>
            <a:t>60 % of total profit</a:t>
          </a:r>
          <a:r>
            <a:rPr lang="en-IN" sz="1400" baseline="0">
              <a:solidFill>
                <a:schemeClr val="dk1"/>
              </a:solidFill>
              <a:effectLst/>
              <a:latin typeface="+mn-lt"/>
              <a:ea typeface="+mn-ea"/>
              <a:cs typeface="+mn-cs"/>
            </a:rPr>
            <a:t>. </a:t>
          </a:r>
          <a:endParaRPr lang="en-IN" sz="1400">
            <a:effectLst/>
          </a:endParaRPr>
        </a:p>
        <a:p>
          <a:r>
            <a:rPr lang="en-IN" sz="1400">
              <a:solidFill>
                <a:schemeClr val="dk1"/>
              </a:solidFill>
              <a:effectLst/>
              <a:latin typeface="+mn-lt"/>
              <a:ea typeface="+mn-ea"/>
              <a:cs typeface="+mn-cs"/>
            </a:rPr>
            <a:t>Increasing sales of the </a:t>
          </a:r>
          <a:r>
            <a:rPr lang="en-IN" sz="1400" b="1">
              <a:solidFill>
                <a:schemeClr val="dk1"/>
              </a:solidFill>
              <a:effectLst/>
              <a:latin typeface="+mn-lt"/>
              <a:ea typeface="+mn-ea"/>
              <a:cs typeface="+mn-cs"/>
            </a:rPr>
            <a:t>Mentoring Program by just 10%</a:t>
          </a:r>
          <a:r>
            <a:rPr lang="en-IN" sz="1400">
              <a:solidFill>
                <a:schemeClr val="dk1"/>
              </a:solidFill>
              <a:effectLst/>
              <a:latin typeface="+mn-lt"/>
              <a:ea typeface="+mn-ea"/>
              <a:cs typeface="+mn-cs"/>
            </a:rPr>
            <a:t> could result in approximately </a:t>
          </a:r>
          <a:r>
            <a:rPr lang="en-IN" sz="1400" b="1">
              <a:solidFill>
                <a:schemeClr val="dk1"/>
              </a:solidFill>
              <a:effectLst/>
              <a:latin typeface="+mn-lt"/>
              <a:ea typeface="+mn-ea"/>
              <a:cs typeface="+mn-cs"/>
            </a:rPr>
            <a:t>$16,800 additional profit</a:t>
          </a:r>
          <a:r>
            <a:rPr lang="en-IN" sz="1400">
              <a:solidFill>
                <a:schemeClr val="dk1"/>
              </a:solidFill>
              <a:effectLst/>
              <a:latin typeface="+mn-lt"/>
              <a:ea typeface="+mn-ea"/>
              <a:cs typeface="+mn-cs"/>
            </a:rPr>
            <a:t>.</a:t>
          </a:r>
          <a:endParaRPr lang="en-IN" sz="1400">
            <a:effectLst/>
          </a:endParaRPr>
        </a:p>
        <a:p>
          <a:r>
            <a:rPr lang="en-IN" sz="1400">
              <a:solidFill>
                <a:schemeClr val="dk1"/>
              </a:solidFill>
              <a:effectLst/>
              <a:latin typeface="+mn-lt"/>
              <a:ea typeface="+mn-ea"/>
              <a:cs typeface="+mn-cs"/>
            </a:rPr>
            <a:t>Strategic focus can be placed on these top services through marketing promotions, bundling, and premium service packaging.</a:t>
          </a:r>
          <a:endParaRPr lang="en-IN" sz="1400">
            <a:effectLst/>
          </a:endParaRPr>
        </a:p>
        <a:p>
          <a:endParaRPr lang="en-IN" sz="1100"/>
        </a:p>
      </xdr:txBody>
    </xdr:sp>
    <xdr:clientData/>
  </xdr:twoCellAnchor>
  <xdr:twoCellAnchor>
    <xdr:from>
      <xdr:col>3</xdr:col>
      <xdr:colOff>342900</xdr:colOff>
      <xdr:row>91</xdr:row>
      <xdr:rowOff>88900</xdr:rowOff>
    </xdr:from>
    <xdr:to>
      <xdr:col>11</xdr:col>
      <xdr:colOff>254000</xdr:colOff>
      <xdr:row>97</xdr:row>
      <xdr:rowOff>25400</xdr:rowOff>
    </xdr:to>
    <xdr:sp macro="" textlink="">
      <xdr:nvSpPr>
        <xdr:cNvPr id="37" name="TextBox 36">
          <a:extLst>
            <a:ext uri="{FF2B5EF4-FFF2-40B4-BE49-F238E27FC236}">
              <a16:creationId xmlns:a16="http://schemas.microsoft.com/office/drawing/2014/main" id="{A73BC6D0-87D0-4BFE-9A0E-48C26ACECA3B}"/>
            </a:ext>
          </a:extLst>
        </xdr:cNvPr>
        <xdr:cNvSpPr txBox="1"/>
      </xdr:nvSpPr>
      <xdr:spPr>
        <a:xfrm>
          <a:off x="3035300" y="17653000"/>
          <a:ext cx="7747000" cy="1079500"/>
        </a:xfrm>
        <a:prstGeom prst="rect">
          <a:avLst/>
        </a:prstGeom>
        <a:solidFill>
          <a:schemeClr val="accent1">
            <a:lumMod val="60000"/>
            <a:lumOff val="40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chemeClr val="dk1"/>
              </a:solidFill>
              <a:effectLst/>
              <a:latin typeface="+mn-lt"/>
              <a:ea typeface="+mn-ea"/>
              <a:cs typeface="+mn-cs"/>
            </a:rPr>
            <a:t>3. Monthly Profit Trend &amp; Seasonality</a:t>
          </a:r>
          <a:endParaRPr lang="en-IN" sz="1600">
            <a:effectLst/>
          </a:endParaRPr>
        </a:p>
        <a:p>
          <a:r>
            <a:rPr lang="en-IN" sz="1400">
              <a:solidFill>
                <a:schemeClr val="dk1"/>
              </a:solidFill>
              <a:effectLst/>
              <a:latin typeface="+mn-lt"/>
              <a:ea typeface="+mn-ea"/>
              <a:cs typeface="+mn-cs"/>
            </a:rPr>
            <a:t>Difference</a:t>
          </a:r>
          <a:r>
            <a:rPr lang="en-IN" sz="1400" baseline="0">
              <a:solidFill>
                <a:schemeClr val="dk1"/>
              </a:solidFill>
              <a:effectLst/>
              <a:latin typeface="+mn-lt"/>
              <a:ea typeface="+mn-ea"/>
              <a:cs typeface="+mn-cs"/>
            </a:rPr>
            <a:t> between higest profit month (March)  and lowest profit month ( April) is </a:t>
          </a:r>
          <a:r>
            <a:rPr lang="en-IN" sz="1400" b="1" baseline="0">
              <a:solidFill>
                <a:schemeClr val="dk1"/>
              </a:solidFill>
              <a:effectLst/>
              <a:latin typeface="+mn-lt"/>
              <a:ea typeface="+mn-ea"/>
              <a:cs typeface="+mn-cs"/>
            </a:rPr>
            <a:t>$22,922.65.</a:t>
          </a:r>
          <a:endParaRPr lang="en-IN" sz="1400">
            <a:effectLst/>
          </a:endParaRPr>
        </a:p>
        <a:p>
          <a:r>
            <a:rPr lang="en-IN" sz="1400">
              <a:solidFill>
                <a:schemeClr val="dk1"/>
              </a:solidFill>
              <a:effectLst/>
              <a:latin typeface="+mn-lt"/>
              <a:ea typeface="+mn-ea"/>
              <a:cs typeface="+mn-cs"/>
            </a:rPr>
            <a:t>Even a </a:t>
          </a:r>
          <a:r>
            <a:rPr lang="en-IN" sz="1400" b="1">
              <a:solidFill>
                <a:schemeClr val="dk1"/>
              </a:solidFill>
              <a:effectLst/>
              <a:latin typeface="+mn-lt"/>
              <a:ea typeface="+mn-ea"/>
              <a:cs typeface="+mn-cs"/>
            </a:rPr>
            <a:t>10% increase in April sales</a:t>
          </a:r>
          <a:r>
            <a:rPr lang="en-IN" sz="1400">
              <a:solidFill>
                <a:schemeClr val="dk1"/>
              </a:solidFill>
              <a:effectLst/>
              <a:latin typeface="+mn-lt"/>
              <a:ea typeface="+mn-ea"/>
              <a:cs typeface="+mn-cs"/>
            </a:rPr>
            <a:t> could generate an additional</a:t>
          </a:r>
          <a:r>
            <a:rPr lang="en-IN" sz="1400" baseline="0">
              <a:solidFill>
                <a:schemeClr val="dk1"/>
              </a:solidFill>
              <a:effectLst/>
              <a:latin typeface="+mn-lt"/>
              <a:ea typeface="+mn-ea"/>
              <a:cs typeface="+mn-cs"/>
            </a:rPr>
            <a:t> </a:t>
          </a:r>
          <a:r>
            <a:rPr lang="en-IN" sz="1400">
              <a:solidFill>
                <a:schemeClr val="dk1"/>
              </a:solidFill>
              <a:effectLst/>
              <a:latin typeface="+mn-lt"/>
              <a:ea typeface="+mn-ea"/>
              <a:cs typeface="+mn-cs"/>
            </a:rPr>
            <a:t> </a:t>
          </a:r>
          <a:r>
            <a:rPr lang="en-IN" sz="1400" b="1">
              <a:solidFill>
                <a:schemeClr val="dk1"/>
              </a:solidFill>
              <a:effectLst/>
              <a:latin typeface="+mn-lt"/>
              <a:ea typeface="+mn-ea"/>
              <a:cs typeface="+mn-cs"/>
            </a:rPr>
            <a:t>$4,500 monthly profit</a:t>
          </a:r>
          <a:r>
            <a:rPr lang="en-IN" sz="1400">
              <a:solidFill>
                <a:schemeClr val="dk1"/>
              </a:solidFill>
              <a:effectLst/>
              <a:latin typeface="+mn-lt"/>
              <a:ea typeface="+mn-ea"/>
              <a:cs typeface="+mn-cs"/>
            </a:rPr>
            <a:t>.</a:t>
          </a:r>
          <a:endParaRPr lang="en-IN" sz="1400">
            <a:effectLst/>
          </a:endParaRPr>
        </a:p>
        <a:p>
          <a:r>
            <a:rPr lang="en-IN" sz="1400" b="0">
              <a:solidFill>
                <a:schemeClr val="dk1"/>
              </a:solidFill>
              <a:effectLst/>
              <a:latin typeface="+mn-lt"/>
              <a:ea typeface="+mn-ea"/>
              <a:cs typeface="+mn-cs"/>
            </a:rPr>
            <a:t>We</a:t>
          </a:r>
          <a:r>
            <a:rPr lang="en-IN" sz="1400" b="0" baseline="0">
              <a:solidFill>
                <a:schemeClr val="dk1"/>
              </a:solidFill>
              <a:effectLst/>
              <a:latin typeface="+mn-lt"/>
              <a:ea typeface="+mn-ea"/>
              <a:cs typeface="+mn-cs"/>
            </a:rPr>
            <a:t> may i</a:t>
          </a:r>
          <a:r>
            <a:rPr lang="en-IN" sz="1400" b="0">
              <a:solidFill>
                <a:schemeClr val="dk1"/>
              </a:solidFill>
              <a:effectLst/>
              <a:latin typeface="+mn-lt"/>
              <a:ea typeface="+mn-ea"/>
              <a:cs typeface="+mn-cs"/>
            </a:rPr>
            <a:t>ntroduce targeted promotions or service bundles during low-performing months (April–May).</a:t>
          </a:r>
          <a:endParaRPr lang="en-IN" sz="1400">
            <a:effectLst/>
          </a:endParaRPr>
        </a:p>
        <a:p>
          <a:endParaRPr lang="en-IN"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_rels/pivotCacheDefinition6.xml.rels><?xml version="1.0" encoding="UTF-8" standalone="yes"?>
<Relationships xmlns="http://schemas.openxmlformats.org/package/2006/relationships"><Relationship Id="rId1" Type="http://schemas.openxmlformats.org/officeDocument/2006/relationships/pivotCacheRecords" Target="pivotCacheRecords6.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nayak" refreshedDate="45972.933537962963" createdVersion="8" refreshedVersion="8" minRefreshableVersion="3" recordCount="1001" xr:uid="{C9C69DAB-00F1-40F5-9675-4B6A456D42D4}">
  <cacheSource type="worksheet">
    <worksheetSource ref="I1:I1048576" sheet="Cleaned Customers "/>
  </cacheSource>
  <cacheFields count="1">
    <cacheField name="Customer Segment" numFmtId="0">
      <sharedItems containsBlank="1" count="4">
        <s v="Gold"/>
        <s v="Silver"/>
        <s v="Bronze"/>
        <m/>
      </sharedItems>
    </cacheField>
  </cacheFields>
  <extLst>
    <ext xmlns:x14="http://schemas.microsoft.com/office/spreadsheetml/2009/9/main" uri="{725AE2AE-9491-48be-B2B4-4EB974FC3084}">
      <x14:pivotCacheDefinition pivotCacheId="172263559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nayak" refreshedDate="45974.506860416666" createdVersion="8" refreshedVersion="8" minRefreshableVersion="3" recordCount="1001" xr:uid="{345ED578-0748-4E0B-8AEB-9C13CE7B92A2}">
  <cacheSource type="worksheet">
    <worksheetSource ref="E1:H1048576" sheet="Cleaned Customers "/>
  </cacheSource>
  <cacheFields count="5">
    <cacheField name="Service Category" numFmtId="0">
      <sharedItems containsBlank="1" count="7">
        <s v="Mentoring program"/>
        <s v="Interview Prep"/>
        <s v="Resume + LinkedIn Profile"/>
        <s v="Resume (service fee)"/>
        <s v="LinkedIn profile"/>
        <s v="Networking Strategy"/>
        <m/>
      </sharedItems>
    </cacheField>
    <cacheField name="Order Date" numFmtId="0">
      <sharedItems containsNonDate="0" containsDate="1" containsString="0" containsBlank="1" minDate="2024-01-01T00:00:00" maxDate="2025-01-01T00:00:00" count="345">
        <d v="2024-01-01T00:00:00"/>
        <d v="2024-01-02T00:00:00"/>
        <d v="2024-01-03T00:00:00"/>
        <d v="2024-01-04T00:00:00"/>
        <d v="2024-01-05T00:00:00"/>
        <d v="2024-01-06T00:00:00"/>
        <d v="2024-01-07T00:00:00"/>
        <d v="2024-01-08T00:00:00"/>
        <d v="2024-01-09T00:00:00"/>
        <d v="2024-01-10T00:00:00"/>
        <d v="2024-01-12T00:00:00"/>
        <d v="2024-01-14T00:00:00"/>
        <d v="2024-01-15T00:00:00"/>
        <d v="2024-01-16T00:00:00"/>
        <d v="2024-01-17T00:00:00"/>
        <d v="2024-01-18T00:00:00"/>
        <d v="2024-01-19T00:00:00"/>
        <d v="2024-01-20T00:00:00"/>
        <d v="2024-01-21T00:00:00"/>
        <d v="2024-01-22T00:00:00"/>
        <d v="2024-01-23T00:00:00"/>
        <d v="2024-01-24T00:00:00"/>
        <d v="2024-01-25T00:00:00"/>
        <d v="2024-01-26T00:00:00"/>
        <d v="2024-01-28T00:00:00"/>
        <d v="2024-01-30T00:00:00"/>
        <d v="2024-01-31T00:00:00"/>
        <d v="2024-02-01T00:00:00"/>
        <d v="2024-02-02T00:00:00"/>
        <d v="2024-02-03T00:00:00"/>
        <d v="2024-02-04T00:00:00"/>
        <d v="2024-02-05T00:00:00"/>
        <d v="2024-02-06T00:00:00"/>
        <d v="2024-02-08T00:00:00"/>
        <d v="2024-02-09T00:00:00"/>
        <d v="2024-02-10T00:00:00"/>
        <d v="2024-02-11T00:00:00"/>
        <d v="2024-02-12T00:00:00"/>
        <d v="2024-02-13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7T00:00:00"/>
        <d v="2024-03-18T00:00:00"/>
        <d v="2024-03-19T00:00:00"/>
        <d v="2024-03-20T00:00:00"/>
        <d v="2024-03-21T00:00:00"/>
        <d v="2024-03-22T00:00:00"/>
        <d v="2024-03-23T00:00:00"/>
        <d v="2024-03-24T00:00:00"/>
        <d v="2024-03-25T00:00:00"/>
        <d v="2024-03-26T00:00:00"/>
        <d v="2024-03-27T00:00:00"/>
        <d v="2024-03-28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6T00:00:00"/>
        <d v="2024-04-17T00:00:00"/>
        <d v="2024-04-18T00:00:00"/>
        <d v="2024-04-19T00:00:00"/>
        <d v="2024-04-20T00:00:00"/>
        <d v="2024-04-21T00:00:00"/>
        <d v="2024-04-22T00:00:00"/>
        <d v="2024-04-23T00:00:00"/>
        <d v="2024-04-24T00:00:00"/>
        <d v="2024-04-25T00:00:00"/>
        <d v="2024-04-27T00:00:00"/>
        <d v="2024-04-28T00:00:00"/>
        <d v="2024-04-29T00:00:00"/>
        <d v="2024-04-30T00:00:00"/>
        <d v="2024-05-01T00:00:00"/>
        <d v="2024-05-02T00:00:00"/>
        <d v="2024-05-03T00:00:00"/>
        <d v="2024-05-04T00:00:00"/>
        <d v="2024-05-05T00:00:00"/>
        <d v="2024-05-06T00:00:00"/>
        <d v="2024-05-07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4T00:00:00"/>
        <d v="2024-05-25T00:00:00"/>
        <d v="2024-05-26T00:00:00"/>
        <d v="2024-05-27T00:00:00"/>
        <d v="2024-05-28T00:00:00"/>
        <d v="2024-05-29T00:00:00"/>
        <d v="2024-05-30T00:00:00"/>
        <d v="2024-05-31T00:00:00"/>
        <d v="2024-06-01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10T00:00:00"/>
        <d v="2024-07-11T00:00:00"/>
        <d v="2024-07-12T00:00:00"/>
        <d v="2024-07-13T00:00:00"/>
        <d v="2024-07-14T00:00:00"/>
        <d v="2024-07-15T00:00:00"/>
        <d v="2024-07-16T00:00:00"/>
        <d v="2024-07-17T00:00:00"/>
        <d v="2024-07-18T00:00:00"/>
        <d v="2024-07-19T00:00:00"/>
        <d v="2024-07-20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5T00:00:00"/>
        <d v="2024-09-26T00:00:00"/>
        <d v="2024-09-27T00:00:00"/>
        <d v="2024-09-28T00:00:00"/>
        <d v="2024-09-29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m/>
      </sharedItems>
    </cacheField>
    <cacheField name="Month " numFmtId="0">
      <sharedItems containsBlank="1" count="13">
        <s v="Jan"/>
        <s v="Feb"/>
        <s v="Mar"/>
        <s v="Apr"/>
        <s v="May"/>
        <s v="Jun"/>
        <s v="Jul"/>
        <s v="Aug"/>
        <s v="Sep"/>
        <s v="Oct"/>
        <s v="Nov"/>
        <s v="Dec"/>
        <m/>
      </sharedItems>
    </cacheField>
    <cacheField name="Month Sort" numFmtId="0">
      <sharedItems containsString="0" containsBlank="1" containsNumber="1" containsInteger="1" minValue="1" maxValue="12" count="13">
        <n v="1"/>
        <n v="2"/>
        <n v="3"/>
        <n v="4"/>
        <n v="5"/>
        <n v="6"/>
        <n v="7"/>
        <n v="8"/>
        <n v="9"/>
        <n v="10"/>
        <n v="11"/>
        <n v="12"/>
        <m/>
      </sharedItems>
    </cacheField>
    <cacheField name="Quantity Ordered" numFmtId="0">
      <sharedItems containsString="0" containsBlank="1" containsNumber="1" containsInteger="1" minValue="1" maxValue="3"/>
    </cacheField>
  </cacheFields>
  <extLst>
    <ext xmlns:x14="http://schemas.microsoft.com/office/spreadsheetml/2009/9/main" uri="{725AE2AE-9491-48be-B2B4-4EB974FC3084}">
      <x14:pivotCacheDefinition pivotCacheId="456827406"/>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nayak" refreshedDate="45974.558819791666" createdVersion="8" refreshedVersion="8" minRefreshableVersion="3" recordCount="1001" xr:uid="{63992D3F-C364-4F13-AC2A-D81102D7D3DB}">
  <cacheSource type="worksheet">
    <worksheetSource ref="D1:Q1048576" sheet="Cleaned Customers "/>
  </cacheSource>
  <cacheFields count="14">
    <cacheField name="Customer Full Name " numFmtId="0">
      <sharedItems containsBlank="1"/>
    </cacheField>
    <cacheField name="Service Category" numFmtId="0">
      <sharedItems containsBlank="1"/>
    </cacheField>
    <cacheField name="Order Date" numFmtId="0">
      <sharedItems containsNonDate="0" containsDate="1" containsString="0" containsBlank="1" minDate="2024-01-01T00:00:00" maxDate="2025-01-01T00:00:00"/>
    </cacheField>
    <cacheField name="Month " numFmtId="0">
      <sharedItems containsBlank="1" count="13">
        <s v="Jan"/>
        <s v="Feb"/>
        <s v="Mar"/>
        <s v="Apr"/>
        <s v="May"/>
        <s v="Jun"/>
        <s v="Jul"/>
        <s v="Aug"/>
        <s v="Sep"/>
        <s v="Oct"/>
        <s v="Nov"/>
        <s v="Dec"/>
        <m/>
      </sharedItems>
    </cacheField>
    <cacheField name="Quantity Ordered" numFmtId="0">
      <sharedItems containsString="0" containsBlank="1" containsNumber="1" containsInteger="1" minValue="1" maxValue="3"/>
    </cacheField>
    <cacheField name="Customer Segment" numFmtId="0">
      <sharedItems containsBlank="1"/>
    </cacheField>
    <cacheField name="Order Status" numFmtId="0">
      <sharedItems containsBlank="1"/>
    </cacheField>
    <cacheField name="Street Number" numFmtId="0">
      <sharedItems containsString="0" containsBlank="1" containsNumber="1" containsInteger="1" minValue="61" maxValue="99945"/>
    </cacheField>
    <cacheField name="State" numFmtId="0">
      <sharedItems containsBlank="1" count="9">
        <s v="SA"/>
        <s v="NSW"/>
        <s v="QLD"/>
        <s v="WA"/>
        <s v="ACT"/>
        <s v="VIC"/>
        <s v="TAS"/>
        <s v="NT"/>
        <m/>
      </sharedItems>
    </cacheField>
    <cacheField name="Street Name" numFmtId="0">
      <sharedItems containsBlank="1"/>
    </cacheField>
    <cacheField name="City" numFmtId="0">
      <sharedItems containsBlank="1"/>
    </cacheField>
    <cacheField name="Postal Code" numFmtId="0">
      <sharedItems containsString="0" containsBlank="1" containsNumber="1" containsInteger="1" minValue="800" maxValue="7310"/>
    </cacheField>
    <cacheField name="Sales Price (Per unit)" numFmtId="0">
      <sharedItems containsString="0" containsBlank="1" containsNumber="1" containsInteger="1" minValue="250" maxValue="1200"/>
    </cacheField>
    <cacheField name="Sale Price " numFmtId="0">
      <sharedItems containsString="0" containsBlank="1" containsNumber="1" containsInteger="1" minValue="250" maxValue="3600"/>
    </cacheField>
  </cacheFields>
  <extLst>
    <ext xmlns:x14="http://schemas.microsoft.com/office/spreadsheetml/2009/9/main" uri="{725AE2AE-9491-48be-B2B4-4EB974FC3084}">
      <x14:pivotCacheDefinition pivotCacheId="1955480015"/>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nayak" refreshedDate="45975.510966087961" createdVersion="8" refreshedVersion="8" minRefreshableVersion="3" recordCount="1001" xr:uid="{492165EF-C267-4E9E-85B7-56A3D809377F}">
  <cacheSource type="worksheet">
    <worksheetSource ref="E1:N1048576" sheet="Cleaned Sales"/>
  </cacheSource>
  <cacheFields count="9">
    <cacheField name="Service Category" numFmtId="0">
      <sharedItems containsBlank="1" count="7">
        <s v="Mentoring program"/>
        <s v="Interview Prep"/>
        <s v="Resume + LinkedIn Profile"/>
        <s v="Resume (service fee)"/>
        <s v="LinkedIn profile"/>
        <s v="Networking Strategy"/>
        <m/>
      </sharedItems>
    </cacheField>
    <cacheField name="Order Date" numFmtId="0">
      <sharedItems containsNonDate="0" containsDate="1" containsString="0" containsBlank="1" minDate="2024-01-01T00:00:00" maxDate="2025-01-01T00:00:00"/>
    </cacheField>
    <cacheField name="Quantity Ordered" numFmtId="0">
      <sharedItems containsString="0" containsBlank="1" containsNumber="1" containsInteger="1" minValue="1" maxValue="3"/>
    </cacheField>
    <cacheField name="Order Status" numFmtId="0">
      <sharedItems containsBlank="1"/>
    </cacheField>
    <cacheField name="State" numFmtId="0">
      <sharedItems containsBlank="1" count="9">
        <s v="SA"/>
        <s v="NSW"/>
        <s v="QLD"/>
        <s v="WA"/>
        <s v="ACT"/>
        <s v="VIC"/>
        <s v="TAS"/>
        <s v="NT"/>
        <m/>
      </sharedItems>
    </cacheField>
    <cacheField name="Margins" numFmtId="0">
      <sharedItems containsString="0" containsBlank="1" containsNumber="1" minValue="0.1" maxValue="0.3"/>
    </cacheField>
    <cacheField name="Service Provider Expense" numFmtId="0">
      <sharedItems containsString="0" containsBlank="1" containsNumber="1" minValue="1.1000000000000001" maxValue="571.20000000000005"/>
    </cacheField>
    <cacheField name="Sale Price " numFmtId="0">
      <sharedItems containsString="0" containsBlank="1" containsNumber="1" containsInteger="1" minValue="11" maxValue="1904"/>
    </cacheField>
    <cacheField name="Total Profit (GMROI)" numFmtId="0">
      <sharedItems containsString="0" containsBlank="1" containsNumber="1" minValue="7.7" maxValue="1660.5"/>
    </cacheField>
  </cacheFields>
  <extLst>
    <ext xmlns:x14="http://schemas.microsoft.com/office/spreadsheetml/2009/9/main" uri="{725AE2AE-9491-48be-B2B4-4EB974FC3084}">
      <x14:pivotCacheDefinition pivotCacheId="2140671458"/>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nayak" refreshedDate="45986.53768321759" createdVersion="8" refreshedVersion="8" minRefreshableVersion="3" recordCount="1001" xr:uid="{A18E7884-CDEB-48A4-B21C-912C29D7C1EC}">
  <cacheSource type="worksheet">
    <worksheetSource ref="G1:N1048576" sheet="Cleaned Sales"/>
  </cacheSource>
  <cacheFields count="8">
    <cacheField name="Month" numFmtId="0">
      <sharedItems containsBlank="1" count="13">
        <s v="Jan"/>
        <s v="Feb"/>
        <s v="Mar"/>
        <s v="Apr"/>
        <s v="May"/>
        <s v="Jun"/>
        <s v="Jul"/>
        <s v="Aug"/>
        <s v="Sep"/>
        <s v="Oct"/>
        <s v="Nov"/>
        <s v="Dec"/>
        <m/>
      </sharedItems>
    </cacheField>
    <cacheField name="Quantity Ordered" numFmtId="0">
      <sharedItems containsString="0" containsBlank="1" containsNumber="1" containsInteger="1" minValue="1" maxValue="3" count="4">
        <n v="2"/>
        <n v="3"/>
        <n v="1"/>
        <m/>
      </sharedItems>
    </cacheField>
    <cacheField name="Order Status" numFmtId="0">
      <sharedItems containsBlank="1"/>
    </cacheField>
    <cacheField name="State" numFmtId="0">
      <sharedItems containsBlank="1" count="9">
        <s v="SA"/>
        <s v="NSW"/>
        <s v="QLD"/>
        <s v="WA"/>
        <s v="ACT"/>
        <s v="VIC"/>
        <s v="TAS"/>
        <s v="NT"/>
        <m/>
      </sharedItems>
    </cacheField>
    <cacheField name="Margins" numFmtId="0">
      <sharedItems containsString="0" containsBlank="1" containsNumber="1" minValue="0.1" maxValue="0.3" count="5">
        <n v="0.25"/>
        <n v="0.1"/>
        <n v="0.3"/>
        <n v="0.2"/>
        <m/>
      </sharedItems>
    </cacheField>
    <cacheField name="Service Provider Expense" numFmtId="0">
      <sharedItems containsString="0" containsBlank="1" containsNumber="1" minValue="1.1000000000000001" maxValue="571.20000000000005"/>
    </cacheField>
    <cacheField name="Sale Price " numFmtId="0">
      <sharedItems containsString="0" containsBlank="1" containsNumber="1" containsInteger="1" minValue="11" maxValue="1904"/>
    </cacheField>
    <cacheField name="Total Profit (GMROI)" numFmtId="0">
      <sharedItems containsString="0" containsBlank="1" containsNumber="1" minValue="7.7" maxValue="1660.5"/>
    </cacheField>
  </cacheFields>
  <extLst>
    <ext xmlns:x14="http://schemas.microsoft.com/office/spreadsheetml/2009/9/main" uri="{725AE2AE-9491-48be-B2B4-4EB974FC3084}">
      <x14:pivotCacheDefinition pivotCacheId="1438108839"/>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nayak" refreshedDate="45986.543450925928" createdVersion="8" refreshedVersion="8" minRefreshableVersion="3" recordCount="1000" xr:uid="{7061BF69-B1B1-4010-AE2E-9F2330738821}">
  <cacheSource type="worksheet">
    <worksheetSource name="Sales_1"/>
  </cacheSource>
  <cacheFields count="16">
    <cacheField name="Customer ID" numFmtId="0">
      <sharedItems containsSemiMixedTypes="0" containsString="0" containsNumber="1" containsInteger="1" minValue="1234" maxValue="2231" count="998">
        <n v="1364"/>
        <n v="1475"/>
        <n v="1778"/>
        <n v="1850"/>
        <n v="2084"/>
        <n v="2009"/>
        <n v="2100"/>
        <n v="1766"/>
        <n v="1945"/>
        <n v="2131"/>
        <n v="1762"/>
        <n v="2045"/>
        <n v="2202"/>
        <n v="1671"/>
        <n v="1270"/>
        <n v="1535"/>
        <n v="1761"/>
        <n v="1771"/>
        <n v="2163"/>
        <n v="1400"/>
        <n v="1460"/>
        <n v="1699"/>
        <n v="1876"/>
        <n v="1897"/>
        <n v="2059"/>
        <n v="1704"/>
        <n v="1731"/>
        <n v="2041"/>
        <n v="2231"/>
        <n v="1260"/>
        <n v="1554"/>
        <n v="1972"/>
        <n v="1348"/>
        <n v="2209"/>
        <n v="1493"/>
        <n v="1557"/>
        <n v="1862"/>
        <n v="1509"/>
        <n v="1887"/>
        <n v="2213"/>
        <n v="1253"/>
        <n v="2080"/>
        <n v="1380"/>
        <n v="1365"/>
        <n v="1389"/>
        <n v="1524"/>
        <n v="1743"/>
        <n v="1896"/>
        <n v="2092"/>
        <n v="1298"/>
        <n v="1307"/>
        <n v="1985"/>
        <n v="2050"/>
        <n v="2119"/>
        <n v="1320"/>
        <n v="1441"/>
        <n v="1792"/>
        <n v="1934"/>
        <n v="1245"/>
        <n v="1696"/>
        <n v="1247"/>
        <n v="1588"/>
        <n v="1257"/>
        <n v="2226"/>
        <n v="1285"/>
        <n v="1424"/>
        <n v="1641"/>
        <n v="1853"/>
        <n v="1684"/>
        <n v="1940"/>
        <n v="1954"/>
        <n v="2132"/>
        <n v="2204"/>
        <n v="1708"/>
        <n v="1787"/>
        <n v="1799"/>
        <n v="1882"/>
        <n v="2010"/>
        <n v="2126"/>
        <n v="1284"/>
        <n v="1409"/>
        <n v="1539"/>
        <n v="1552"/>
        <n v="1767"/>
        <n v="2091"/>
        <n v="1516"/>
        <n v="1773"/>
        <n v="1289"/>
        <n v="1527"/>
        <n v="1725"/>
        <n v="1856"/>
        <n v="1924"/>
        <n v="2005"/>
        <n v="1646"/>
        <n v="1768"/>
        <n v="1894"/>
        <n v="1242"/>
        <n v="1462"/>
        <n v="1680"/>
        <n v="1279"/>
        <n v="1556"/>
        <n v="1358"/>
        <n v="1456"/>
        <n v="2014"/>
        <n v="1514"/>
        <n v="1683"/>
        <n v="1857"/>
        <n v="2121"/>
        <n v="1657"/>
        <n v="1789"/>
        <n v="2085"/>
        <n v="1418"/>
        <n v="1602"/>
        <n v="1639"/>
        <n v="1397"/>
        <n v="1467"/>
        <n v="1923"/>
        <n v="1638"/>
        <n v="1645"/>
        <n v="1282"/>
        <n v="1427"/>
        <n v="1490"/>
        <n v="1780"/>
        <n v="1796"/>
        <n v="1839"/>
        <n v="1867"/>
        <n v="2185"/>
        <n v="1629"/>
        <n v="1869"/>
        <n v="1851"/>
        <n v="1909"/>
        <n v="1343"/>
        <n v="2067"/>
        <n v="2156"/>
        <n v="2172"/>
        <n v="1373"/>
        <n v="1437"/>
        <n v="1697"/>
        <n v="1379"/>
        <n v="1576"/>
        <n v="1813"/>
        <n v="1261"/>
        <n v="1597"/>
        <n v="1600"/>
        <n v="1484"/>
        <n v="1497"/>
        <n v="1859"/>
        <n v="2072"/>
        <n v="2160"/>
        <n v="1665"/>
        <n v="2215"/>
        <n v="1632"/>
        <n v="1782"/>
        <n v="2189"/>
        <n v="1605"/>
        <n v="1691"/>
        <n v="1827"/>
        <n v="2061"/>
        <n v="2170"/>
        <n v="2214"/>
        <n v="1301"/>
        <n v="1363"/>
        <n v="1374"/>
        <n v="1477"/>
        <n v="1781"/>
        <n v="1414"/>
        <n v="1492"/>
        <n v="1964"/>
        <n v="1998"/>
        <n v="1443"/>
        <n v="1990"/>
        <n v="1442"/>
        <n v="1935"/>
        <n v="2064"/>
        <n v="1774"/>
        <n v="1836"/>
        <n v="1860"/>
        <n v="1971"/>
        <n v="2161"/>
        <n v="2171"/>
        <n v="1325"/>
        <n v="1579"/>
        <n v="1967"/>
        <n v="1983"/>
        <n v="1263"/>
        <n v="1502"/>
        <n v="1705"/>
        <n v="2040"/>
        <n v="1310"/>
        <n v="2007"/>
        <n v="1521"/>
        <n v="1663"/>
        <n v="1417"/>
        <n v="1435"/>
        <n v="1866"/>
        <n v="1950"/>
        <n v="1976"/>
        <n v="1446"/>
        <n v="1911"/>
        <n v="1997"/>
        <n v="1349"/>
        <n v="1769"/>
        <n v="1957"/>
        <n v="2166"/>
        <n v="1283"/>
        <n v="1733"/>
        <n v="1240"/>
        <n v="1423"/>
        <n v="1698"/>
        <n v="2001"/>
        <n v="1606"/>
        <n v="1694"/>
        <n v="2028"/>
        <n v="2057"/>
        <n v="2110"/>
        <n v="1290"/>
        <n v="1351"/>
        <n v="1494"/>
        <n v="1405"/>
        <n v="1522"/>
        <n v="1561"/>
        <n v="1550"/>
        <n v="1803"/>
        <n v="1938"/>
        <n v="1426"/>
        <n v="1969"/>
        <n v="1631"/>
        <n v="1685"/>
        <n v="1715"/>
        <n v="1912"/>
        <n v="1974"/>
        <n v="2047"/>
        <n v="2184"/>
        <n v="1608"/>
        <n v="1326"/>
        <n v="1615"/>
        <n v="1706"/>
        <n v="1899"/>
        <n v="2105"/>
        <n v="2109"/>
        <n v="1580"/>
        <n v="1656"/>
        <n v="1669"/>
        <n v="1745"/>
        <n v="1297"/>
        <n v="1748"/>
        <n v="1917"/>
        <n v="1920"/>
        <n v="1805"/>
        <n v="1843"/>
        <n v="1404"/>
        <n v="1573"/>
        <n v="1764"/>
        <n v="1410"/>
        <n v="1558"/>
        <n v="2228"/>
        <n v="1512"/>
        <n v="2102"/>
        <n v="2188"/>
        <n v="1360"/>
        <n v="1826"/>
        <n v="1395"/>
        <n v="1918"/>
        <n v="2032"/>
        <n v="1385"/>
        <n v="2198"/>
        <n v="1415"/>
        <n v="1461"/>
        <n v="1568"/>
        <n v="1666"/>
        <n v="2210"/>
        <n v="2042"/>
        <n v="1785"/>
        <n v="1498"/>
        <n v="1962"/>
        <n v="2175"/>
        <n v="2225"/>
        <n v="1308"/>
        <n v="1329"/>
        <n v="1587"/>
        <n v="2191"/>
        <n v="1321"/>
        <n v="1861"/>
        <n v="1895"/>
        <n v="1937"/>
        <n v="2118"/>
        <n v="1356"/>
        <n v="1256"/>
        <n v="1340"/>
        <n v="1425"/>
        <n v="1537"/>
        <n v="1545"/>
        <n v="1794"/>
        <n v="1816"/>
        <n v="2048"/>
        <n v="1695"/>
        <n v="1877"/>
        <n v="1396"/>
        <n v="1852"/>
        <n v="1293"/>
        <n v="1930"/>
        <n v="2037"/>
        <n v="2222"/>
        <n v="1538"/>
        <n v="1328"/>
        <n v="1334"/>
        <n v="1485"/>
        <n v="1500"/>
        <n v="1730"/>
        <n v="1453"/>
        <n v="1319"/>
        <n v="1572"/>
        <n v="1585"/>
        <n v="1864"/>
        <n v="1936"/>
        <n v="2056"/>
        <n v="1342"/>
        <n v="1515"/>
        <n v="2086"/>
        <n v="1244"/>
        <n v="1459"/>
        <n v="1642"/>
        <n v="1953"/>
        <n v="1618"/>
        <n v="1520"/>
        <n v="1471"/>
        <n v="1821"/>
        <n v="1955"/>
        <n v="1234"/>
        <n v="1885"/>
        <n v="1634"/>
        <n v="1991"/>
        <n v="2068"/>
        <n v="2101"/>
        <n v="1548"/>
        <n v="2089"/>
        <n v="1654"/>
        <n v="1919"/>
        <n v="1547"/>
        <n v="1854"/>
        <n v="1898"/>
        <n v="1927"/>
        <n v="2104"/>
        <n v="2230"/>
        <n v="1687"/>
        <n v="1710"/>
        <n v="1948"/>
        <n v="1434"/>
        <n v="1518"/>
        <n v="1700"/>
        <n v="2016"/>
        <n v="1428"/>
        <n v="1951"/>
        <n v="2196"/>
        <n v="1474"/>
        <n v="1543"/>
        <n v="1555"/>
        <n v="1790"/>
        <n v="1812"/>
        <n v="1371"/>
        <n v="1330"/>
        <n v="1273"/>
        <n v="1335"/>
        <n v="1810"/>
        <n v="1834"/>
        <n v="1848"/>
        <n v="2078"/>
        <n v="2205"/>
        <n v="1795"/>
        <n v="1472"/>
        <n v="1752"/>
        <n v="2139"/>
        <n v="1280"/>
        <n v="1483"/>
        <n v="2049"/>
        <n v="1871"/>
        <n v="2224"/>
        <n v="1332"/>
        <n v="1511"/>
        <n v="1756"/>
        <n v="1616"/>
        <n v="1889"/>
        <n v="1914"/>
        <n v="2154"/>
        <n v="1300"/>
        <n v="1833"/>
        <n v="1595"/>
        <n v="1662"/>
        <n v="2203"/>
        <n v="1560"/>
        <n v="1844"/>
        <n v="2114"/>
        <n v="1625"/>
        <n v="2087"/>
        <n v="2063"/>
        <n v="2111"/>
        <n v="2194"/>
        <n v="2208"/>
        <n v="1592"/>
        <n v="1292"/>
        <n v="1648"/>
        <n v="2177"/>
        <n v="1353"/>
        <n v="2127"/>
        <n v="2148"/>
        <n v="1239"/>
        <n v="1863"/>
        <n v="1271"/>
        <n v="2012"/>
        <n v="1903"/>
        <n v="1744"/>
        <n v="1901"/>
        <n v="1995"/>
        <n v="2055"/>
        <n v="1338"/>
        <n v="1823"/>
        <n v="1837"/>
        <n v="1818"/>
        <n v="1819"/>
        <n v="1963"/>
        <n v="1252"/>
        <n v="1736"/>
        <n v="1980"/>
        <n v="2095"/>
        <n v="1559"/>
        <n v="1651"/>
        <n v="2015"/>
        <n v="2145"/>
        <n v="1480"/>
        <n v="1659"/>
        <n v="1255"/>
        <n v="1682"/>
        <n v="1738"/>
        <n v="2058"/>
        <n v="1532"/>
        <n v="1915"/>
        <n v="1578"/>
        <n v="1586"/>
        <n v="2134"/>
        <n v="2181"/>
        <n v="1388"/>
        <n v="1399"/>
        <n v="1430"/>
        <n v="1432"/>
        <n v="1688"/>
        <n v="2079"/>
        <n v="1777"/>
        <n v="1933"/>
        <n v="2167"/>
        <n v="1504"/>
        <n v="1575"/>
        <n v="1596"/>
        <n v="2130"/>
        <n v="2182"/>
        <n v="1372"/>
        <n v="1942"/>
        <n v="1495"/>
        <n v="2229"/>
        <n v="1468"/>
        <n v="1674"/>
        <n v="1681"/>
        <n v="1841"/>
        <n v="1237"/>
        <n v="1359"/>
        <n v="1457"/>
        <n v="1676"/>
        <n v="1772"/>
        <n v="1884"/>
        <n v="2018"/>
        <n v="2069"/>
        <n v="1394"/>
        <n v="1613"/>
        <n v="1814"/>
        <n v="1904"/>
        <n v="2143"/>
        <n v="1248"/>
        <n v="1322"/>
        <n v="1878"/>
        <n v="2165"/>
        <n v="1302"/>
        <n v="1800"/>
        <n v="2024"/>
        <n v="1416"/>
        <n v="1458"/>
        <n v="1741"/>
        <n v="1959"/>
        <n v="2190"/>
        <n v="2219"/>
        <n v="1941"/>
        <n v="1793"/>
        <n v="2026"/>
        <n v="2036"/>
        <n v="1345"/>
        <n v="1916"/>
        <n v="2065"/>
        <n v="1347"/>
        <n v="1463"/>
        <n v="1589"/>
        <n v="1880"/>
        <n v="1947"/>
        <n v="1970"/>
        <n v="1551"/>
        <n v="1692"/>
        <n v="2212"/>
        <n v="1305"/>
        <n v="1368"/>
        <n v="2062"/>
        <n v="2112"/>
        <n v="1246"/>
        <n v="1874"/>
        <n v="2206"/>
        <n v="1236"/>
        <n v="1779"/>
        <n v="1318"/>
        <n v="1677"/>
        <n v="2157"/>
        <n v="1344"/>
        <n v="2082"/>
        <n v="1339"/>
        <n v="1784"/>
        <n v="1817"/>
        <n v="1235"/>
        <n v="1406"/>
        <n v="1620"/>
        <n v="1749"/>
        <n v="1865"/>
        <n v="2153"/>
        <n v="2031"/>
        <n v="2207"/>
        <n v="1337"/>
        <n v="1783"/>
        <n v="1376"/>
        <n v="1523"/>
        <n v="1707"/>
        <n v="1815"/>
        <n v="1928"/>
        <n v="1690"/>
        <n v="1775"/>
        <n v="1831"/>
        <n v="1422"/>
        <n v="1517"/>
        <n v="1868"/>
        <n v="1913"/>
        <n v="1721"/>
        <n v="1723"/>
        <n v="2220"/>
        <n v="1375"/>
        <n v="1419"/>
        <n v="1714"/>
        <n v="2054"/>
        <n v="1607"/>
        <n v="1614"/>
        <n v="2077"/>
        <n v="1891"/>
        <n v="2150"/>
        <n v="1636"/>
        <n v="1847"/>
        <n v="1886"/>
        <n v="1906"/>
        <n v="2183"/>
        <n v="1513"/>
        <n v="1562"/>
        <n v="1701"/>
        <n v="1281"/>
        <n v="1354"/>
        <n v="1529"/>
        <n v="1540"/>
        <n v="1739"/>
        <n v="1966"/>
        <n v="2187"/>
        <n v="1593"/>
        <n v="1960"/>
        <n v="2122"/>
        <n v="1590"/>
        <n v="1712"/>
        <n v="1907"/>
        <n v="2108"/>
        <n v="1448"/>
        <n v="1503"/>
        <n v="1986"/>
        <n v="1643"/>
        <n v="1999"/>
        <n v="2020"/>
        <n v="2038"/>
        <n v="2099"/>
        <n v="2046"/>
        <n v="1943"/>
        <n v="1314"/>
        <n v="1623"/>
        <n v="1965"/>
        <n v="1611"/>
        <n v="1702"/>
        <n v="1939"/>
        <n v="1259"/>
        <n v="1822"/>
        <n v="1932"/>
        <n v="1249"/>
        <n v="1624"/>
        <n v="2146"/>
        <n v="1315"/>
        <n v="1355"/>
        <n v="1439"/>
        <n v="1647"/>
        <n v="2088"/>
        <n v="2223"/>
        <n v="1327"/>
        <n v="1473"/>
        <n v="1530"/>
        <n v="2098"/>
        <n v="1384"/>
        <n v="1447"/>
        <n v="1491"/>
        <n v="1830"/>
        <n v="1367"/>
        <n v="1649"/>
        <n v="1952"/>
        <n v="1910"/>
        <n v="1993"/>
        <n v="2136"/>
        <n v="1251"/>
        <n v="1455"/>
        <n v="1908"/>
        <n v="1546"/>
        <n v="1673"/>
        <n v="1758"/>
        <n v="1829"/>
        <n v="1992"/>
        <n v="1609"/>
        <n v="1313"/>
        <n v="1652"/>
        <n v="1765"/>
        <n v="1875"/>
        <n v="1881"/>
        <n v="2023"/>
        <n v="2180"/>
        <n v="1262"/>
        <n v="1571"/>
        <n v="1635"/>
        <n v="1809"/>
        <n v="1979"/>
        <n v="2071"/>
        <n v="2159"/>
        <n v="1267"/>
        <n v="1679"/>
        <n v="1929"/>
        <n v="2039"/>
        <n v="2116"/>
        <n v="1287"/>
        <n v="1469"/>
        <n v="1759"/>
        <n v="2107"/>
        <n v="2142"/>
        <n v="1357"/>
        <n v="1309"/>
        <n v="2124"/>
        <n v="1892"/>
        <n v="1440"/>
        <n v="1542"/>
        <n v="1577"/>
        <n v="2066"/>
        <n v="1268"/>
        <n v="1622"/>
        <n v="1487"/>
        <n v="1977"/>
        <n v="1630"/>
        <n v="1508"/>
        <n v="1893"/>
        <n v="2029"/>
        <n v="1295"/>
        <n v="1296"/>
        <n v="1381"/>
        <n v="1445"/>
        <n v="1465"/>
        <n v="1644"/>
        <n v="1849"/>
        <n v="2201"/>
        <n v="1306"/>
        <n v="1383"/>
        <n v="1905"/>
        <n v="2043"/>
        <n v="2076"/>
        <n v="2075"/>
        <n v="1429"/>
        <n v="1811"/>
        <n v="1931"/>
        <n v="1369"/>
        <n v="1802"/>
        <n v="2030"/>
        <n v="2070"/>
        <n v="1961"/>
        <n v="1735"/>
        <n v="2019"/>
        <n v="1722"/>
        <n v="1798"/>
        <n v="1275"/>
        <n v="1478"/>
        <n v="1507"/>
        <n v="1658"/>
        <n v="1668"/>
        <n v="1740"/>
        <n v="1846"/>
        <n v="1872"/>
        <n v="2162"/>
        <n v="2218"/>
        <n v="1398"/>
        <n v="1801"/>
        <n v="2002"/>
        <n v="1444"/>
        <n v="1451"/>
        <n v="1464"/>
        <n v="1488"/>
        <n v="1786"/>
        <n v="1272"/>
        <n v="1294"/>
        <n v="1526"/>
        <n v="1824"/>
        <n v="1870"/>
        <n v="1873"/>
        <n v="2022"/>
        <n v="1726"/>
        <n v="2011"/>
        <n v="1258"/>
        <n v="1678"/>
        <n v="2155"/>
        <n v="1323"/>
        <n v="1449"/>
        <n v="1541"/>
        <n v="1729"/>
        <n v="1311"/>
        <n v="1672"/>
        <n v="1711"/>
        <n v="1750"/>
        <n v="2211"/>
        <n v="1544"/>
        <n v="1751"/>
        <n v="1278"/>
        <n v="1534"/>
        <n v="1599"/>
        <n v="2133"/>
        <n v="1582"/>
        <n v="1754"/>
        <n v="1838"/>
        <n v="1610"/>
        <n v="1724"/>
        <n v="2083"/>
        <n v="1370"/>
        <n v="1567"/>
        <n v="1720"/>
        <n v="1804"/>
        <n v="1392"/>
        <n v="1612"/>
        <n v="1401"/>
        <n v="1689"/>
        <n v="1820"/>
        <n v="1944"/>
        <n v="1274"/>
        <n v="1361"/>
        <n v="1519"/>
        <n v="2176"/>
        <n v="1619"/>
        <n v="1433"/>
        <n v="1753"/>
        <n v="1973"/>
        <n v="1978"/>
        <n v="1438"/>
        <n v="1470"/>
        <n v="1946"/>
        <n v="1528"/>
        <n v="1594"/>
        <n v="1603"/>
        <n v="1732"/>
        <n v="1747"/>
        <n v="1390"/>
        <n v="1403"/>
        <n v="1921"/>
        <n v="2137"/>
        <n v="1716"/>
        <n v="1845"/>
        <n v="1341"/>
        <n v="1667"/>
        <n v="2195"/>
        <n v="1598"/>
        <n v="1832"/>
        <n v="2179"/>
        <n v="1890"/>
        <n v="1510"/>
        <n v="1728"/>
        <n v="1987"/>
        <n v="2013"/>
        <n v="1746"/>
        <n v="2097"/>
        <n v="1265"/>
        <n v="1584"/>
        <n v="2144"/>
        <n v="1288"/>
        <n v="1431"/>
        <n v="1776"/>
        <n v="2120"/>
        <n v="2221"/>
        <n v="1583"/>
        <n v="2106"/>
        <n v="1241"/>
        <n v="1628"/>
        <n v="1653"/>
        <n v="1686"/>
        <n v="1949"/>
        <n v="1996"/>
        <n v="2006"/>
        <n v="2152"/>
        <n v="2199"/>
        <n v="1760"/>
        <n v="1807"/>
        <n v="2140"/>
        <n v="2168"/>
        <n v="1719"/>
        <n v="1303"/>
        <n v="1531"/>
        <n v="2021"/>
        <n v="1825"/>
        <n v="1436"/>
        <n v="1499"/>
        <n v="2192"/>
        <n v="1286"/>
        <n v="1640"/>
        <n v="2044"/>
        <n v="1408"/>
        <n v="1413"/>
        <n v="1454"/>
        <n v="1466"/>
        <n v="1984"/>
        <n v="2113"/>
        <n v="1958"/>
        <n v="1828"/>
        <n v="1627"/>
        <n v="1481"/>
        <n v="1581"/>
        <n v="1703"/>
        <n v="1855"/>
        <n v="1276"/>
        <n v="1617"/>
        <n v="2149"/>
        <n v="2186"/>
        <n v="2193"/>
        <n v="1506"/>
        <n v="1797"/>
        <n v="2093"/>
        <n v="1407"/>
        <n v="1412"/>
        <n v="1633"/>
        <n v="1693"/>
        <n v="1922"/>
        <n v="1621"/>
        <n v="1324"/>
        <n v="1505"/>
        <n v="1655"/>
        <n v="1888"/>
        <n v="2128"/>
        <n v="1450"/>
        <n v="1566"/>
        <n v="1626"/>
        <n v="1675"/>
        <n v="1757"/>
        <n v="1900"/>
        <n v="1291"/>
        <n v="1366"/>
        <n v="1486"/>
        <n v="1718"/>
        <n v="1727"/>
        <n v="2025"/>
        <n v="2141"/>
        <n v="1525"/>
        <n v="1569"/>
        <n v="2138"/>
        <n v="1382"/>
        <n v="1501"/>
        <n v="1549"/>
        <n v="1902"/>
        <n v="2035"/>
        <n v="2115"/>
        <n v="1254"/>
        <n v="1489"/>
        <n v="1806"/>
        <n v="1956"/>
        <n v="1982"/>
        <n v="2052"/>
        <n v="1333"/>
        <n v="2151"/>
        <n v="1717"/>
        <n v="1770"/>
        <n v="1879"/>
        <n v="2008"/>
        <n v="1591"/>
        <n v="1926"/>
        <n v="2033"/>
        <n v="1331"/>
        <n v="1482"/>
        <n v="2073"/>
        <n v="2125"/>
        <n v="1393"/>
        <n v="1883"/>
        <n v="2096"/>
        <n v="2158"/>
        <n v="1352"/>
        <n v="1386"/>
        <n v="1479"/>
        <n v="1925"/>
        <n v="2004"/>
        <n v="2034"/>
        <n v="2197"/>
        <n v="2027"/>
        <n v="1238"/>
        <n v="1840"/>
        <n v="1968"/>
        <n v="2164"/>
        <n v="1316"/>
        <n v="1664"/>
        <n v="1660"/>
        <n v="1564"/>
        <n v="1604"/>
        <n v="1387"/>
        <n v="1317"/>
        <n v="1835"/>
        <n v="1452"/>
        <n v="1601"/>
        <n v="1788"/>
        <n v="2060"/>
        <n v="1496"/>
        <n v="1269"/>
        <n v="1734"/>
        <n v="1981"/>
        <n v="2051"/>
        <n v="1391"/>
        <n v="1243"/>
        <n v="1299"/>
        <n v="1670"/>
        <n v="1709"/>
        <n v="1378"/>
        <n v="1411"/>
        <n v="1763"/>
        <n v="2081"/>
        <n v="1362"/>
        <n v="1402"/>
        <n v="1420"/>
        <n v="2123"/>
        <n v="1266"/>
        <n v="1713"/>
        <n v="1975"/>
        <n v="2117"/>
        <n v="2200"/>
        <n v="2227"/>
        <n v="1994"/>
        <n v="1312"/>
        <n v="1565"/>
        <n v="1742"/>
        <n v="1858"/>
        <n v="2017"/>
        <n v="2053"/>
        <n v="2135"/>
        <n v="2169"/>
        <n v="2174"/>
        <n v="1421"/>
        <n v="2129"/>
        <n v="1250"/>
        <n v="1350"/>
        <n v="2216"/>
        <n v="1264"/>
        <n v="2094"/>
        <n v="2103"/>
        <n v="2217"/>
        <n v="1842"/>
        <n v="1989"/>
        <n v="2147"/>
        <n v="1277"/>
        <n v="1476"/>
        <n v="1553"/>
        <n v="1563"/>
        <n v="2074"/>
        <n v="1570"/>
        <n v="1377"/>
        <n v="1755"/>
        <n v="1336"/>
        <n v="1536"/>
        <n v="1791"/>
        <n v="2003"/>
        <n v="2178"/>
        <n v="1346"/>
        <n v="1808"/>
        <n v="2000"/>
        <n v="1737"/>
        <n v="1988"/>
        <n v="1533"/>
        <n v="1574"/>
        <n v="1637"/>
        <n v="1304"/>
        <n v="1650"/>
        <n v="1661"/>
        <n v="2090"/>
        <n v="2173"/>
      </sharedItems>
    </cacheField>
    <cacheField name="Order ID" numFmtId="0">
      <sharedItems containsSemiMixedTypes="0" containsString="0" containsNumber="1" containsInteger="1" minValue="3001" maxValue="4000" count="1000">
        <n v="3131"/>
        <n v="3242"/>
        <n v="3546"/>
        <n v="3618"/>
        <n v="3852"/>
        <n v="3777"/>
        <n v="3869"/>
        <n v="3534"/>
        <n v="3713"/>
        <n v="3900"/>
        <n v="3530"/>
        <n v="3813"/>
        <n v="3971"/>
        <n v="3439"/>
        <n v="3037"/>
        <n v="3302"/>
        <n v="3529"/>
        <n v="3539"/>
        <n v="3932"/>
        <n v="3167"/>
        <n v="3227"/>
        <n v="3467"/>
        <n v="3644"/>
        <n v="3665"/>
        <n v="3827"/>
        <n v="3472"/>
        <n v="3499"/>
        <n v="3809"/>
        <n v="4000"/>
        <n v="3027"/>
        <n v="3321"/>
        <n v="3740"/>
        <n v="3115"/>
        <n v="3978"/>
        <n v="3260"/>
        <n v="3324"/>
        <n v="3630"/>
        <n v="3276"/>
        <n v="3655"/>
        <n v="3982"/>
        <n v="3020"/>
        <n v="3848"/>
        <n v="3147"/>
        <n v="3132"/>
        <n v="3156"/>
        <n v="3291"/>
        <n v="3511"/>
        <n v="3664"/>
        <n v="3861"/>
        <n v="3065"/>
        <n v="3074"/>
        <n v="3753"/>
        <n v="3818"/>
        <n v="3888"/>
        <n v="3087"/>
        <n v="3208"/>
        <n v="3560"/>
        <n v="3702"/>
        <n v="3012"/>
        <n v="3464"/>
        <n v="3014"/>
        <n v="3859"/>
        <n v="3024"/>
        <n v="3995"/>
        <n v="3052"/>
        <n v="3191"/>
        <n v="3409"/>
        <n v="3621"/>
        <n v="3452"/>
        <n v="3708"/>
        <n v="3722"/>
        <n v="3901"/>
        <n v="3973"/>
        <n v="3476"/>
        <n v="3555"/>
        <n v="3567"/>
        <n v="3650"/>
        <n v="3778"/>
        <n v="3895"/>
        <n v="3051"/>
        <n v="3176"/>
        <n v="3306"/>
        <n v="3319"/>
        <n v="3535"/>
        <n v="3860"/>
        <n v="3283"/>
        <n v="3541"/>
        <n v="3056"/>
        <n v="3294"/>
        <n v="3493"/>
        <n v="3624"/>
        <n v="3692"/>
        <n v="3773"/>
        <n v="3414"/>
        <n v="3536"/>
        <n v="3662"/>
        <n v="3009"/>
        <n v="3229"/>
        <n v="3448"/>
        <n v="3046"/>
        <n v="3323"/>
        <n v="3125"/>
        <n v="3223"/>
        <n v="3782"/>
        <n v="3281"/>
        <n v="3451"/>
        <n v="3625"/>
        <n v="3890"/>
        <n v="3425"/>
        <n v="3557"/>
        <n v="3853"/>
        <n v="3185"/>
        <n v="3369"/>
        <n v="3407"/>
        <n v="3164"/>
        <n v="3234"/>
        <n v="3691"/>
        <n v="3406"/>
        <n v="3413"/>
        <n v="3049"/>
        <n v="3194"/>
        <n v="3257"/>
        <n v="3548"/>
        <n v="3564"/>
        <n v="3607"/>
        <n v="3635"/>
        <n v="3954"/>
        <n v="3397"/>
        <n v="3637"/>
        <n v="3619"/>
        <n v="3677"/>
        <n v="3110"/>
        <n v="3835"/>
        <n v="3925"/>
        <n v="3941"/>
        <n v="3140"/>
        <n v="3204"/>
        <n v="3465"/>
        <n v="3146"/>
        <n v="3343"/>
        <n v="3581"/>
        <n v="3028"/>
        <n v="3364"/>
        <n v="3367"/>
        <n v="3251"/>
        <n v="3264"/>
        <n v="3627"/>
        <n v="3840"/>
        <n v="3929"/>
        <n v="3433"/>
        <n v="3984"/>
        <n v="3400"/>
        <n v="3550"/>
        <n v="3958"/>
        <n v="3372"/>
        <n v="3459"/>
        <n v="3595"/>
        <n v="3829"/>
        <n v="3939"/>
        <n v="3983"/>
        <n v="3068"/>
        <n v="3130"/>
        <n v="3141"/>
        <n v="3244"/>
        <n v="3549"/>
        <n v="3181"/>
        <n v="3259"/>
        <n v="3732"/>
        <n v="3766"/>
        <n v="3210"/>
        <n v="3758"/>
        <n v="3209"/>
        <n v="3703"/>
        <n v="3832"/>
        <n v="3542"/>
        <n v="3604"/>
        <n v="3628"/>
        <n v="3739"/>
        <n v="3930"/>
        <n v="3940"/>
        <n v="3092"/>
        <n v="3346"/>
        <n v="3735"/>
        <n v="3751"/>
        <n v="3030"/>
        <n v="3269"/>
        <n v="3473"/>
        <n v="3808"/>
        <n v="3077"/>
        <n v="3775"/>
        <n v="3288"/>
        <n v="3431"/>
        <n v="3184"/>
        <n v="3202"/>
        <n v="3634"/>
        <n v="3718"/>
        <n v="3744"/>
        <n v="3213"/>
        <n v="3679"/>
        <n v="3765"/>
        <n v="3116"/>
        <n v="3537"/>
        <n v="3725"/>
        <n v="3935"/>
        <n v="3050"/>
        <n v="3501"/>
        <n v="3007"/>
        <n v="3190"/>
        <n v="3466"/>
        <n v="3769"/>
        <n v="3373"/>
        <n v="3462"/>
        <n v="3796"/>
        <n v="3825"/>
        <n v="3879"/>
        <n v="3057"/>
        <n v="3118"/>
        <n v="3261"/>
        <n v="3172"/>
        <n v="3289"/>
        <n v="3328"/>
        <n v="3317"/>
        <n v="3571"/>
        <n v="3706"/>
        <n v="3193"/>
        <n v="3737"/>
        <n v="3399"/>
        <n v="3453"/>
        <n v="3483"/>
        <n v="3680"/>
        <n v="3742"/>
        <n v="3815"/>
        <n v="3953"/>
        <n v="3375"/>
        <n v="3093"/>
        <n v="3383"/>
        <n v="3474"/>
        <n v="3667"/>
        <n v="3874"/>
        <n v="3878"/>
        <n v="3347"/>
        <n v="3424"/>
        <n v="3437"/>
        <n v="3513"/>
        <n v="3064"/>
        <n v="3516"/>
        <n v="3685"/>
        <n v="3688"/>
        <n v="3573"/>
        <n v="3611"/>
        <n v="3171"/>
        <n v="3340"/>
        <n v="3532"/>
        <n v="3177"/>
        <n v="3325"/>
        <n v="3997"/>
        <n v="3279"/>
        <n v="3871"/>
        <n v="3957"/>
        <n v="3127"/>
        <n v="3594"/>
        <n v="3162"/>
        <n v="3686"/>
        <n v="3800"/>
        <n v="3152"/>
        <n v="3967"/>
        <n v="3182"/>
        <n v="3228"/>
        <n v="3335"/>
        <n v="3434"/>
        <n v="3979"/>
        <n v="3810"/>
        <n v="3553"/>
        <n v="3265"/>
        <n v="3730"/>
        <n v="3944"/>
        <n v="3994"/>
        <n v="3075"/>
        <n v="3096"/>
        <n v="3354"/>
        <n v="3960"/>
        <n v="3088"/>
        <n v="3629"/>
        <n v="3663"/>
        <n v="3705"/>
        <n v="3887"/>
        <n v="3123"/>
        <n v="3023"/>
        <n v="3107"/>
        <n v="3192"/>
        <n v="3304"/>
        <n v="3312"/>
        <n v="3562"/>
        <n v="3584"/>
        <n v="3816"/>
        <n v="3463"/>
        <n v="3645"/>
        <n v="3163"/>
        <n v="3620"/>
        <n v="3060"/>
        <n v="3698"/>
        <n v="3805"/>
        <n v="3991"/>
        <n v="3305"/>
        <n v="3382"/>
        <n v="3095"/>
        <n v="3101"/>
        <n v="3252"/>
        <n v="3267"/>
        <n v="3498"/>
        <n v="3220"/>
        <n v="3086"/>
        <n v="3339"/>
        <n v="3352"/>
        <n v="3632"/>
        <n v="3704"/>
        <n v="3824"/>
        <n v="3109"/>
        <n v="3282"/>
        <n v="3854"/>
        <n v="3011"/>
        <n v="3226"/>
        <n v="3410"/>
        <n v="3721"/>
        <n v="3386"/>
        <n v="3287"/>
        <n v="3238"/>
        <n v="3589"/>
        <n v="3723"/>
        <n v="3001"/>
        <n v="3653"/>
        <n v="3402"/>
        <n v="3759"/>
        <n v="3836"/>
        <n v="3870"/>
        <n v="3315"/>
        <n v="3857"/>
        <n v="3422"/>
        <n v="3687"/>
        <n v="3314"/>
        <n v="3622"/>
        <n v="3666"/>
        <n v="3695"/>
        <n v="3873"/>
        <n v="3999"/>
        <n v="3455"/>
        <n v="3478"/>
        <n v="3716"/>
        <n v="3201"/>
        <n v="3285"/>
        <n v="3468"/>
        <n v="3784"/>
        <n v="3195"/>
        <n v="3719"/>
        <n v="3965"/>
        <n v="3241"/>
        <n v="3310"/>
        <n v="3322"/>
        <n v="3558"/>
        <n v="3580"/>
        <n v="3138"/>
        <n v="3097"/>
        <n v="3040"/>
        <n v="3102"/>
        <n v="3578"/>
        <n v="3602"/>
        <n v="3616"/>
        <n v="3846"/>
        <n v="3974"/>
        <n v="3563"/>
        <n v="3239"/>
        <n v="3520"/>
        <n v="3908"/>
        <n v="3047"/>
        <n v="3250"/>
        <n v="3817"/>
        <n v="3639"/>
        <n v="3993"/>
        <n v="3099"/>
        <n v="3278"/>
        <n v="3524"/>
        <n v="3384"/>
        <n v="3657"/>
        <n v="3682"/>
        <n v="3923"/>
        <n v="3067"/>
        <n v="3601"/>
        <n v="3362"/>
        <n v="3430"/>
        <n v="3972"/>
        <n v="3327"/>
        <n v="3612"/>
        <n v="3883"/>
        <n v="3393"/>
        <n v="3855"/>
        <n v="3831"/>
        <n v="3880"/>
        <n v="3963"/>
        <n v="3977"/>
        <n v="3359"/>
        <n v="3059"/>
        <n v="3416"/>
        <n v="3946"/>
        <n v="3120"/>
        <n v="3896"/>
        <n v="3917"/>
        <n v="3006"/>
        <n v="3631"/>
        <n v="3038"/>
        <n v="3780"/>
        <n v="3671"/>
        <n v="3512"/>
        <n v="3669"/>
        <n v="3763"/>
        <n v="3823"/>
        <n v="3105"/>
        <n v="3591"/>
        <n v="3605"/>
        <n v="3586"/>
        <n v="3587"/>
        <n v="3731"/>
        <n v="3019"/>
        <n v="3504"/>
        <n v="3748"/>
        <n v="3864"/>
        <n v="3326"/>
        <n v="3419"/>
        <n v="3783"/>
        <n v="3914"/>
        <n v="3247"/>
        <n v="3427"/>
        <n v="3022"/>
        <n v="3450"/>
        <n v="3506"/>
        <n v="3826"/>
        <n v="3299"/>
        <n v="3683"/>
        <n v="3345"/>
        <n v="3353"/>
        <n v="3903"/>
        <n v="3950"/>
        <n v="3155"/>
        <n v="3166"/>
        <n v="3197"/>
        <n v="3199"/>
        <n v="3456"/>
        <n v="3847"/>
        <n v="3545"/>
        <n v="3701"/>
        <n v="3936"/>
        <n v="3271"/>
        <n v="3342"/>
        <n v="3363"/>
        <n v="3899"/>
        <n v="3951"/>
        <n v="3139"/>
        <n v="3710"/>
        <n v="3262"/>
        <n v="3998"/>
        <n v="3235"/>
        <n v="3442"/>
        <n v="3449"/>
        <n v="3609"/>
        <n v="3004"/>
        <n v="3126"/>
        <n v="3224"/>
        <n v="3444"/>
        <n v="3540"/>
        <n v="3652"/>
        <n v="3786"/>
        <n v="3837"/>
        <n v="3161"/>
        <n v="3380"/>
        <n v="3582"/>
        <n v="3672"/>
        <n v="3912"/>
        <n v="3015"/>
        <n v="3089"/>
        <n v="3646"/>
        <n v="3934"/>
        <n v="3069"/>
        <n v="3568"/>
        <n v="3792"/>
        <n v="3183"/>
        <n v="3225"/>
        <n v="3509"/>
        <n v="3727"/>
        <n v="3959"/>
        <n v="3988"/>
        <n v="3709"/>
        <n v="3561"/>
        <n v="3794"/>
        <n v="3804"/>
        <n v="3112"/>
        <n v="3684"/>
        <n v="3833"/>
        <n v="3114"/>
        <n v="3230"/>
        <n v="3356"/>
        <n v="3648"/>
        <n v="3715"/>
        <n v="3738"/>
        <n v="3318"/>
        <n v="3460"/>
        <n v="3981"/>
        <n v="3072"/>
        <n v="3135"/>
        <n v="3830"/>
        <n v="3881"/>
        <n v="3013"/>
        <n v="3642"/>
        <n v="3975"/>
        <n v="3003"/>
        <n v="3547"/>
        <n v="3085"/>
        <n v="3445"/>
        <n v="3926"/>
        <n v="3111"/>
        <n v="3850"/>
        <n v="3106"/>
        <n v="3552"/>
        <n v="3585"/>
        <n v="3002"/>
        <n v="3173"/>
        <n v="3388"/>
        <n v="3517"/>
        <n v="3633"/>
        <n v="3922"/>
        <n v="3799"/>
        <n v="3976"/>
        <n v="3104"/>
        <n v="3551"/>
        <n v="3143"/>
        <n v="3290"/>
        <n v="3475"/>
        <n v="3583"/>
        <n v="3696"/>
        <n v="3458"/>
        <n v="3543"/>
        <n v="3599"/>
        <n v="3189"/>
        <n v="3284"/>
        <n v="3636"/>
        <n v="3681"/>
        <n v="3489"/>
        <n v="3491"/>
        <n v="3989"/>
        <n v="3142"/>
        <n v="3186"/>
        <n v="3482"/>
        <n v="3822"/>
        <n v="3374"/>
        <n v="3381"/>
        <n v="3845"/>
        <n v="3659"/>
        <n v="3919"/>
        <n v="3404"/>
        <n v="3615"/>
        <n v="3654"/>
        <n v="3674"/>
        <n v="3952"/>
        <n v="3280"/>
        <n v="3329"/>
        <n v="3469"/>
        <n v="3048"/>
        <n v="3121"/>
        <n v="3296"/>
        <n v="3307"/>
        <n v="3507"/>
        <n v="3734"/>
        <n v="3956"/>
        <n v="3360"/>
        <n v="3728"/>
        <n v="3891"/>
        <n v="3357"/>
        <n v="3480"/>
        <n v="3675"/>
        <n v="3877"/>
        <n v="3215"/>
        <n v="3270"/>
        <n v="3754"/>
        <n v="3411"/>
        <n v="3767"/>
        <n v="3788"/>
        <n v="3806"/>
        <n v="3868"/>
        <n v="3814"/>
        <n v="3711"/>
        <n v="3081"/>
        <n v="3391"/>
        <n v="3733"/>
        <n v="3378"/>
        <n v="3470"/>
        <n v="3707"/>
        <n v="3026"/>
        <n v="3590"/>
        <n v="3700"/>
        <n v="3016"/>
        <n v="3392"/>
        <n v="3915"/>
        <n v="3082"/>
        <n v="3122"/>
        <n v="3206"/>
        <n v="3415"/>
        <n v="3856"/>
        <n v="3992"/>
        <n v="3094"/>
        <n v="3240"/>
        <n v="3297"/>
        <n v="3867"/>
        <n v="3151"/>
        <n v="3214"/>
        <n v="3258"/>
        <n v="3598"/>
        <n v="3134"/>
        <n v="3417"/>
        <n v="3720"/>
        <n v="3678"/>
        <n v="3761"/>
        <n v="3905"/>
        <n v="3018"/>
        <n v="3222"/>
        <n v="3676"/>
        <n v="3313"/>
        <n v="3441"/>
        <n v="3526"/>
        <n v="3597"/>
        <n v="3760"/>
        <n v="3376"/>
        <n v="3080"/>
        <n v="3420"/>
        <n v="3533"/>
        <n v="3643"/>
        <n v="3649"/>
        <n v="3791"/>
        <n v="3949"/>
        <n v="3029"/>
        <n v="3338"/>
        <n v="3403"/>
        <n v="3577"/>
        <n v="3747"/>
        <n v="3839"/>
        <n v="3928"/>
        <n v="3034"/>
        <n v="3447"/>
        <n v="3697"/>
        <n v="3807"/>
        <n v="3885"/>
        <n v="3054"/>
        <n v="3236"/>
        <n v="3527"/>
        <n v="3876"/>
        <n v="3911"/>
        <n v="3124"/>
        <n v="3076"/>
        <n v="3893"/>
        <n v="3660"/>
        <n v="3207"/>
        <n v="3309"/>
        <n v="3344"/>
        <n v="3834"/>
        <n v="3035"/>
        <n v="3390"/>
        <n v="3254"/>
        <n v="3745"/>
        <n v="3398"/>
        <n v="3275"/>
        <n v="3661"/>
        <n v="3797"/>
        <n v="3062"/>
        <n v="3063"/>
        <n v="3148"/>
        <n v="3212"/>
        <n v="3232"/>
        <n v="3412"/>
        <n v="3617"/>
        <n v="3970"/>
        <n v="3073"/>
        <n v="3150"/>
        <n v="3673"/>
        <n v="3811"/>
        <n v="3844"/>
        <n v="3843"/>
        <n v="3196"/>
        <n v="3579"/>
        <n v="3699"/>
        <n v="3136"/>
        <n v="3570"/>
        <n v="3798"/>
        <n v="3838"/>
        <n v="3729"/>
        <n v="3503"/>
        <n v="3787"/>
        <n v="3490"/>
        <n v="3566"/>
        <n v="3042"/>
        <n v="3245"/>
        <n v="3274"/>
        <n v="3426"/>
        <n v="3436"/>
        <n v="3508"/>
        <n v="3614"/>
        <n v="3640"/>
        <n v="3931"/>
        <n v="3987"/>
        <n v="3165"/>
        <n v="3355"/>
        <n v="3569"/>
        <n v="3770"/>
        <n v="3211"/>
        <n v="3218"/>
        <n v="3231"/>
        <n v="3255"/>
        <n v="3554"/>
        <n v="3039"/>
        <n v="3061"/>
        <n v="3293"/>
        <n v="3592"/>
        <n v="3638"/>
        <n v="3641"/>
        <n v="3790"/>
        <n v="3494"/>
        <n v="3779"/>
        <n v="3025"/>
        <n v="3446"/>
        <n v="3924"/>
        <n v="3090"/>
        <n v="3216"/>
        <n v="3308"/>
        <n v="3497"/>
        <n v="3078"/>
        <n v="3440"/>
        <n v="3479"/>
        <n v="3518"/>
        <n v="3980"/>
        <n v="3311"/>
        <n v="3519"/>
        <n v="3045"/>
        <n v="3301"/>
        <n v="3366"/>
        <n v="3902"/>
        <n v="3349"/>
        <n v="3522"/>
        <n v="3606"/>
        <n v="3377"/>
        <n v="3492"/>
        <n v="3851"/>
        <n v="3137"/>
        <n v="3334"/>
        <n v="3488"/>
        <n v="3572"/>
        <n v="3159"/>
        <n v="3379"/>
        <n v="3168"/>
        <n v="3457"/>
        <n v="3588"/>
        <n v="3712"/>
        <n v="3041"/>
        <n v="3128"/>
        <n v="3286"/>
        <n v="3945"/>
        <n v="3387"/>
        <n v="3200"/>
        <n v="3521"/>
        <n v="3741"/>
        <n v="3746"/>
        <n v="3205"/>
        <n v="3237"/>
        <n v="3714"/>
        <n v="3295"/>
        <n v="3361"/>
        <n v="3370"/>
        <n v="3500"/>
        <n v="3515"/>
        <n v="3157"/>
        <n v="3170"/>
        <n v="3689"/>
        <n v="3906"/>
        <n v="3484"/>
        <n v="3613"/>
        <n v="3108"/>
        <n v="3435"/>
        <n v="3964"/>
        <n v="3365"/>
        <n v="3600"/>
        <n v="3948"/>
        <n v="3658"/>
        <n v="3277"/>
        <n v="3496"/>
        <n v="3755"/>
        <n v="3781"/>
        <n v="3514"/>
        <n v="3866"/>
        <n v="3032"/>
        <n v="3351"/>
        <n v="3913"/>
        <n v="3055"/>
        <n v="3198"/>
        <n v="3544"/>
        <n v="3889"/>
        <n v="3990"/>
        <n v="3350"/>
        <n v="3875"/>
        <n v="3008"/>
        <n v="3396"/>
        <n v="3421"/>
        <n v="3454"/>
        <n v="3717"/>
        <n v="3764"/>
        <n v="3774"/>
        <n v="3921"/>
        <n v="3968"/>
        <n v="3528"/>
        <n v="3575"/>
        <n v="3909"/>
        <n v="3937"/>
        <n v="3487"/>
        <n v="3070"/>
        <n v="3298"/>
        <n v="3789"/>
        <n v="3593"/>
        <n v="3203"/>
        <n v="3266"/>
        <n v="3961"/>
        <n v="3053"/>
        <n v="3408"/>
        <n v="3812"/>
        <n v="3175"/>
        <n v="3180"/>
        <n v="3221"/>
        <n v="3233"/>
        <n v="3752"/>
        <n v="3882"/>
        <n v="3726"/>
        <n v="3596"/>
        <n v="3395"/>
        <n v="3248"/>
        <n v="3348"/>
        <n v="3471"/>
        <n v="3623"/>
        <n v="3043"/>
        <n v="3385"/>
        <n v="3918"/>
        <n v="3955"/>
        <n v="3962"/>
        <n v="3273"/>
        <n v="3565"/>
        <n v="3862"/>
        <n v="3174"/>
        <n v="3179"/>
        <n v="3401"/>
        <n v="3461"/>
        <n v="3690"/>
        <n v="3389"/>
        <n v="3091"/>
        <n v="3272"/>
        <n v="3423"/>
        <n v="3656"/>
        <n v="3897"/>
        <n v="3217"/>
        <n v="3333"/>
        <n v="3394"/>
        <n v="3443"/>
        <n v="3525"/>
        <n v="3668"/>
        <n v="3058"/>
        <n v="3133"/>
        <n v="3253"/>
        <n v="3486"/>
        <n v="3495"/>
        <n v="3793"/>
        <n v="3910"/>
        <n v="3292"/>
        <n v="3336"/>
        <n v="3907"/>
        <n v="3149"/>
        <n v="3268"/>
        <n v="3316"/>
        <n v="3670"/>
        <n v="3803"/>
        <n v="3884"/>
        <n v="3021"/>
        <n v="3256"/>
        <n v="3574"/>
        <n v="3724"/>
        <n v="3750"/>
        <n v="3820"/>
        <n v="3100"/>
        <n v="3920"/>
        <n v="3485"/>
        <n v="3538"/>
        <n v="3647"/>
        <n v="3776"/>
        <n v="3358"/>
        <n v="3694"/>
        <n v="3801"/>
        <n v="3098"/>
        <n v="3249"/>
        <n v="3841"/>
        <n v="3894"/>
        <n v="3160"/>
        <n v="3651"/>
        <n v="3865"/>
        <n v="3927"/>
        <n v="3119"/>
        <n v="3153"/>
        <n v="3246"/>
        <n v="3693"/>
        <n v="3772"/>
        <n v="3802"/>
        <n v="3966"/>
        <n v="3795"/>
        <n v="3005"/>
        <n v="3608"/>
        <n v="3736"/>
        <n v="3933"/>
        <n v="3083"/>
        <n v="3432"/>
        <n v="3428"/>
        <n v="3331"/>
        <n v="3371"/>
        <n v="3154"/>
        <n v="3084"/>
        <n v="3603"/>
        <n v="3219"/>
        <n v="3368"/>
        <n v="3556"/>
        <n v="3828"/>
        <n v="3263"/>
        <n v="3036"/>
        <n v="3502"/>
        <n v="3749"/>
        <n v="3819"/>
        <n v="3158"/>
        <n v="3010"/>
        <n v="3066"/>
        <n v="3438"/>
        <n v="3477"/>
        <n v="3145"/>
        <n v="3178"/>
        <n v="3531"/>
        <n v="3849"/>
        <n v="3129"/>
        <n v="3169"/>
        <n v="3187"/>
        <n v="3892"/>
        <n v="3033"/>
        <n v="3481"/>
        <n v="3743"/>
        <n v="3886"/>
        <n v="3969"/>
        <n v="3996"/>
        <n v="3762"/>
        <n v="3079"/>
        <n v="3332"/>
        <n v="3510"/>
        <n v="3626"/>
        <n v="3785"/>
        <n v="3821"/>
        <n v="3904"/>
        <n v="3938"/>
        <n v="3943"/>
        <n v="3188"/>
        <n v="3898"/>
        <n v="3017"/>
        <n v="3117"/>
        <n v="3985"/>
        <n v="3031"/>
        <n v="3863"/>
        <n v="3872"/>
        <n v="3986"/>
        <n v="3610"/>
        <n v="3757"/>
        <n v="3916"/>
        <n v="3044"/>
        <n v="3243"/>
        <n v="3320"/>
        <n v="3330"/>
        <n v="3842"/>
        <n v="3337"/>
        <n v="3144"/>
        <n v="3523"/>
        <n v="3103"/>
        <n v="3303"/>
        <n v="3559"/>
        <n v="3771"/>
        <n v="3947"/>
        <n v="3113"/>
        <n v="3576"/>
        <n v="3768"/>
        <n v="3505"/>
        <n v="3756"/>
        <n v="3300"/>
        <n v="3341"/>
        <n v="3405"/>
        <n v="3071"/>
        <n v="3418"/>
        <n v="3429"/>
        <n v="3858"/>
        <n v="3942"/>
      </sharedItems>
    </cacheField>
    <cacheField name="Customer Last Name" numFmtId="0">
      <sharedItems count="629">
        <s v="Holloway"/>
        <s v="Sexton"/>
        <s v="Delacruz"/>
        <s v="Ellison"/>
        <s v="Savage"/>
        <s v="Lewis"/>
        <s v="Serrano"/>
        <s v="Jimenez"/>
        <s v="Daugherty"/>
        <s v="Chung"/>
        <s v="Russell"/>
        <s v="O’Brien"/>
        <s v="Palacios"/>
        <s v="Harrison"/>
        <s v="Avery"/>
        <s v="Nash"/>
        <s v="Velazquez"/>
        <s v="Crosby"/>
        <s v="Greer"/>
        <s v="Carpenter"/>
        <s v="Sanders"/>
        <s v="Strickland"/>
        <s v="Tucker"/>
        <s v="Carson"/>
        <s v="Kerr"/>
        <s v="Brewer"/>
        <s v="Burgess"/>
        <s v="Dominguez"/>
        <s v="Compton"/>
        <s v="Thompson"/>
        <s v="Singh"/>
        <s v="Frederick"/>
        <s v="Gallagher"/>
        <s v="Dorsey"/>
        <s v="Mathews"/>
        <s v="Adkins"/>
        <s v="Harding"/>
        <s v="Matthews"/>
        <s v="Armstrong"/>
        <s v="Landry"/>
        <s v="Walter"/>
        <s v="Kirby"/>
        <s v="Espinosa"/>
        <s v="Black"/>
        <s v="Wong"/>
        <s v="Barnes"/>
        <s v="Mayo"/>
        <s v="Fleming"/>
        <s v="Fox"/>
        <s v="Kennedy"/>
        <s v="Harmon"/>
        <s v="Combs"/>
        <s v="Saunders"/>
        <s v="Benson"/>
        <s v="Sims"/>
        <s v="Glass"/>
        <s v="Malone"/>
        <s v="Barker"/>
        <s v="Briggs"/>
        <s v="Vega"/>
        <s v="Herrera"/>
        <s v="Green"/>
        <s v="Harvey"/>
        <s v="Burke"/>
        <s v="Rodriguez"/>
        <s v="Duncan"/>
        <s v="Perez"/>
        <s v="Odom"/>
        <s v="Cardenas"/>
        <s v="Nixon"/>
        <s v="Suarez"/>
        <s v="Livingston"/>
        <s v="Frazier"/>
        <s v="Carroll"/>
        <s v="Novak"/>
        <s v="Doyle"/>
        <s v="Leblanc"/>
        <s v="Collier"/>
        <s v="Rivers"/>
        <s v="Peña"/>
        <s v="Torres"/>
        <s v="Moran"/>
        <s v="Chandler"/>
        <s v="Orozco"/>
        <s v="Atkins"/>
        <s v="Stanton"/>
        <s v="Montgomery"/>
        <s v="Middleton"/>
        <s v="Holt"/>
        <s v="Stokes"/>
        <s v="Berry"/>
        <s v="Mora"/>
        <s v="Valencia"/>
        <s v="Nuñez"/>
        <s v="Guerra"/>
        <s v="Rollins"/>
        <s v="Russo"/>
        <s v="Berger"/>
        <s v="Miles"/>
        <s v="Stephenson"/>
        <s v="Estes"/>
        <s v="Small"/>
        <s v="Hubbard"/>
        <s v="Klein"/>
        <s v="Leal"/>
        <s v="Wheeler"/>
        <s v="Rogers"/>
        <s v="Alvarado"/>
        <s v="Coleman"/>
        <s v="Hahn"/>
        <s v="Aguilar"/>
        <s v="Bean"/>
        <s v="Cantrell"/>
        <s v="Zimmerman"/>
        <s v="Rocha"/>
        <s v="Parsons"/>
        <s v="Williams"/>
        <s v="Gross"/>
        <s v="Flowers"/>
        <s v="Stevenson"/>
        <s v="Clayton"/>
        <s v="Bentley"/>
        <s v="Tanner"/>
        <s v="Henderson"/>
        <s v="Fields"/>
        <s v="Mcconnell"/>
        <s v="Duffy"/>
        <s v="Shepherd"/>
        <s v="Hail"/>
        <s v="Porter"/>
        <s v="Schmidt"/>
        <s v="Ramirez"/>
        <s v="Mathis"/>
        <s v="Kane"/>
        <s v="English"/>
        <s v="James"/>
        <s v="Acevedo"/>
        <s v="Jacobs"/>
        <s v="Montes"/>
        <s v="Mcbride"/>
        <s v="Drake"/>
        <s v="Lee"/>
        <s v="Rhodes"/>
        <s v="Pearson"/>
        <s v="Kirk"/>
        <s v="Bernal"/>
        <s v="Pruitt"/>
        <s v="Mckenzie"/>
        <s v="Frost"/>
        <s v="Schmitt"/>
        <s v="Meyer"/>
        <s v="Gonzales"/>
        <s v="Pitts"/>
        <s v="Boone"/>
        <s v="Bowen"/>
        <s v="Aguirre"/>
        <s v="Cunningham"/>
        <s v="Blankenship"/>
        <s v="Thomas"/>
        <s v="Lucas"/>
        <s v="Curry"/>
        <s v="Gomez"/>
        <s v="Crawford"/>
        <s v="Muñoz"/>
        <s v="Rosales"/>
        <s v="Sanchez"/>
        <s v="Barrera"/>
        <s v="Kelly"/>
        <s v="Vincent"/>
        <s v="Kramer"/>
        <s v="Guevara"/>
        <s v="Jensen"/>
        <s v="Maynard"/>
        <s v="Everett"/>
        <s v="Norris"/>
        <s v="Huff"/>
        <s v="George"/>
        <s v="Swanson"/>
        <s v="Rich"/>
        <s v="Arias"/>
        <s v="Bennett"/>
        <s v="Flynn"/>
        <s v="Valentine"/>
        <s v="Colón"/>
        <s v="Brown"/>
        <s v="Flores"/>
        <s v="Yu"/>
        <s v="Knox"/>
        <s v="Contreras"/>
        <s v="Winters"/>
        <s v="Walsh"/>
        <s v="Sandoval"/>
        <s v="Brennan"/>
        <s v="Maldonado"/>
        <s v="Townsend"/>
        <s v="Hartman"/>
        <s v="Mccall"/>
        <s v="Macdonald"/>
        <s v="Case"/>
        <s v="White"/>
        <s v="Lu"/>
        <s v="Foster"/>
        <s v="Morrison"/>
        <s v="Elliott"/>
        <s v="Greene"/>
        <s v="Ramsey"/>
        <s v="Raymond"/>
        <s v="Hutchinson"/>
        <s v="Luna"/>
        <s v="Peterson"/>
        <s v="Mercado"/>
        <s v="Sutton"/>
        <s v="Parra"/>
        <s v="Martinez"/>
        <s v="Santiago"/>
        <s v="Walton"/>
        <s v="Zuniga"/>
        <s v="Harrington"/>
        <s v="Donovan"/>
        <s v="Huffman"/>
        <s v="Christian"/>
        <s v="Pham"/>
        <s v="Hoffman"/>
        <s v="Tapia"/>
        <s v="Salinas"/>
        <s v="Byrd"/>
        <s v="Burns"/>
        <s v="Castaneda"/>
        <s v="Conrad"/>
        <s v="Rubio"/>
        <s v="Velez"/>
        <s v="Rowland"/>
        <s v="Roy"/>
        <s v="Miranda"/>
        <s v="Mcpherson"/>
        <s v="Pollard"/>
        <s v="Hughes"/>
        <s v="Shields"/>
        <s v="Austin"/>
        <s v="Ellis"/>
        <s v="Rojas"/>
        <s v="Ballard"/>
        <s v="Rowe"/>
        <s v="Hanson"/>
        <s v="Petersen"/>
        <s v="Ventura"/>
        <s v="Johnston"/>
        <s v="Benjamin"/>
        <s v="Owens"/>
        <s v="Mahoney"/>
        <s v="Hall"/>
        <s v="Hanna"/>
        <s v="Rice"/>
        <s v="Kaur"/>
        <s v="Mullins"/>
        <s v="Galindo"/>
        <s v="Lane"/>
        <s v="Baldwin"/>
        <s v="Becker"/>
        <s v="Lang"/>
        <s v="Gonzalez"/>
        <s v="Tate"/>
        <s v="Lozano"/>
        <s v="Weiss"/>
        <s v="Sierra"/>
        <s v="Truong"/>
        <s v="Hammond"/>
        <s v="Norman"/>
        <s v="Page"/>
        <s v="Quinn"/>
        <s v="Jarvis"/>
        <s v="Dodson"/>
        <s v="Huerta"/>
        <s v="Olson"/>
        <s v="Baker"/>
        <s v="Wilkinson"/>
        <s v="Duran"/>
        <s v="Gibbs"/>
        <s v="Buck"/>
        <s v="Vaughan"/>
        <s v="Powell"/>
        <s v="Haley"/>
        <s v="Webster"/>
        <s v="Thornton"/>
        <s v="Schultz"/>
        <s v="Wagner"/>
        <s v="Cherry"/>
        <s v="Larson"/>
        <s v="Ward"/>
        <s v="Willis"/>
        <s v="Nguyen"/>
        <s v="Ingram"/>
        <s v="Terrell"/>
        <s v="Logan"/>
        <s v="Hopkins"/>
        <s v="Reyna"/>
        <s v="Dunn"/>
        <s v="Robbins"/>
        <s v="Erickson"/>
        <s v="Kline"/>
        <s v="Richmond"/>
        <s v="Rush"/>
        <s v="Schneider"/>
        <s v="Quintana"/>
        <s v="Merritt"/>
        <s v="Barron"/>
        <s v="Garza"/>
        <s v="Villarreal"/>
        <s v="Cruz"/>
        <s v="Huang"/>
        <s v="Oliver"/>
        <s v="Rosario"/>
        <s v="Richardson"/>
        <s v="Nicholson"/>
        <s v="Roth"/>
        <s v="Piñeda"/>
        <s v="Weber"/>
        <s v="Melton"/>
        <s v="Patrick"/>
        <s v="Barajas"/>
        <s v="Dean"/>
        <s v="Hill"/>
        <s v="Ferguson"/>
        <s v="Knapp"/>
        <s v="Wallace"/>
        <s v="Clark"/>
        <s v="Cole"/>
        <s v="Fitzgerald"/>
        <s v="Adams"/>
        <s v="Anderson"/>
        <s v="Zamora"/>
        <s v="Hurst"/>
        <s v="Frye"/>
        <s v="Arellano"/>
        <s v="Stanley"/>
        <s v="Dawson"/>
        <s v="Bravo"/>
        <s v="Roberson"/>
        <s v="Hodges"/>
        <s v="Bowers"/>
        <s v="Robertson"/>
        <s v="Solomon"/>
        <s v="Collins"/>
        <s v="Lin"/>
        <s v="Ruiz"/>
        <s v="Prince"/>
        <s v="Hudson"/>
        <s v="Escobar"/>
        <s v="Calhoun"/>
        <s v="Boyd"/>
        <s v="Cohen"/>
        <s v="Reed"/>
        <s v="Alfaro"/>
        <s v="Price"/>
        <s v="Mack"/>
        <s v="Vasquez"/>
        <s v="Potts"/>
        <s v="Bond"/>
        <s v="Blevins"/>
        <s v="Fischer"/>
        <s v="Juarez"/>
        <s v="Hogan"/>
        <s v="Booth"/>
        <s v="Singleton"/>
        <s v="Solis"/>
        <s v="Mckay"/>
        <s v="Reeves"/>
        <s v="Preston"/>
        <s v="Griffin"/>
        <s v="Woodard"/>
        <s v="Fernandez"/>
        <s v="Correa"/>
        <s v="Schroeder"/>
        <s v="Mccarthy"/>
        <s v="Jordan"/>
        <s v="Fletcher"/>
        <s v="Floyd"/>
        <s v="Clements"/>
        <s v="Randall"/>
        <s v="Cooper"/>
        <s v="Garrett"/>
        <s v="Bartlett"/>
        <s v="Dixon"/>
        <s v="Mcgee"/>
        <s v="Castillo"/>
        <s v="Best"/>
        <s v="Johnson"/>
        <s v="Gordon"/>
        <s v="Hodge"/>
        <s v="Beck"/>
        <s v="Alvarez"/>
        <s v="Clay"/>
        <s v="Castro"/>
        <s v="Davila"/>
        <s v="Keller"/>
        <s v="Bates"/>
        <s v="Xiong"/>
        <s v="Little"/>
        <s v="Henson"/>
        <s v="Manning"/>
        <s v="Quintero"/>
        <s v="Simmons"/>
        <s v="Gibson"/>
        <s v="Horn"/>
        <s v="Payne"/>
        <s v="Cordova"/>
        <s v="Gould"/>
        <s v="Ryan"/>
        <s v="Butler"/>
        <s v="Lynch"/>
        <s v="Ayers"/>
        <s v="Farrell"/>
        <s v="Portillo"/>
        <s v="Ávila"/>
        <s v="Sanford"/>
        <s v="Steele"/>
        <s v="West"/>
        <s v="Pierce"/>
        <s v="Enriquez"/>
        <s v="Moses"/>
        <s v="Peters"/>
        <s v="Hester"/>
        <s v="Brandt"/>
        <s v="Randolph"/>
        <s v="Nolan"/>
        <s v="Daniels"/>
        <s v="Beard"/>
        <s v="Jacobson"/>
        <s v="House"/>
        <s v="Costa"/>
        <s v="Walker"/>
        <s v="Eaton"/>
        <s v="Avalos"/>
        <s v="Cisneros"/>
        <s v="Medina"/>
        <s v="Herman"/>
        <s v="Mason"/>
        <s v="Blackwell"/>
        <s v="Durham"/>
        <s v="Brooks"/>
        <s v="Cook"/>
        <s v="Fuentes"/>
        <s v="Jefferson"/>
        <s v="Mcintosh"/>
        <s v="Peck"/>
        <s v="Holmes"/>
        <s v="Jaramillo"/>
        <s v="Newman"/>
        <s v="Strong"/>
        <s v="Monroe"/>
        <s v="Scott"/>
        <s v="Salazar"/>
        <s v="Newton"/>
        <s v="Phillips"/>
        <s v="French"/>
        <s v="Cabrera"/>
        <s v="Mata"/>
        <s v="Hunter"/>
        <s v="Martin"/>
        <s v="Rose"/>
        <s v="Moore"/>
        <s v="Watts"/>
        <s v="Soto"/>
        <s v="Noble"/>
        <s v="Ho"/>
        <s v="Barrett"/>
        <s v="Kim"/>
        <s v="Ortiz"/>
        <s v="Atkinson"/>
        <s v="Morris"/>
        <s v="Carter"/>
        <s v="Whitaker"/>
        <s v="Kemp"/>
        <s v="Patton"/>
        <s v="Allen"/>
        <s v="Gates"/>
        <s v="Leon"/>
        <s v="Giles"/>
        <s v="Stuart"/>
        <s v="Craig"/>
        <s v="Sharp"/>
        <s v="Osborne"/>
        <s v="Chavez"/>
        <s v="Stewart"/>
        <s v="Archer"/>
        <s v="Love"/>
        <s v="Bautista"/>
        <s v="Dillon"/>
        <s v="Marshall"/>
        <s v="Weaver"/>
        <s v="Wise"/>
        <s v="Robinson"/>
        <s v="Beasley"/>
        <s v="Mclean"/>
        <s v="Morales"/>
        <s v="Mejia"/>
        <s v="Booker"/>
        <s v="Molina"/>
        <s v="Khan"/>
        <s v="Snow"/>
        <s v="Cantu"/>
        <s v="Spencer"/>
        <s v="Riley"/>
        <s v="Travis"/>
        <s v="Silva"/>
        <s v="Dennis"/>
        <s v="Simpson"/>
        <s v="Ball"/>
        <s v="Esquivel"/>
        <s v="Bryan"/>
        <s v="Delarosa"/>
        <s v="Mitchell"/>
        <s v="Ochoa"/>
        <s v="Chan"/>
        <s v="Henry"/>
        <s v="Smith"/>
        <s v="Gregory"/>
        <s v="Ahmed"/>
        <s v="Pope"/>
        <s v="Vo"/>
        <s v="Ashley"/>
        <s v="Conner"/>
        <s v="Hensley"/>
        <s v="Carr"/>
        <s v="Hinton"/>
        <s v="Beil"/>
        <s v="Poole"/>
        <s v="Hess"/>
        <s v="Bauer"/>
        <s v="Burton"/>
        <s v="Gillespie"/>
        <s v="Palmer"/>
        <s v="Boyle"/>
        <s v="Pacheco"/>
        <s v="Reynolds"/>
        <s v="Magana"/>
        <s v="Wolfe"/>
        <s v="Stafford"/>
        <s v="Johns"/>
        <s v="Lowery"/>
        <s v="Joseph"/>
        <s v="Mcdaniel"/>
        <s v="Ayala"/>
        <s v="Stephens"/>
        <s v="Patel"/>
        <s v="Stone"/>
        <s v="Trejo"/>
        <s v="Reyes"/>
        <s v="Mann"/>
        <s v="Bailey"/>
        <s v="Hamilton"/>
        <s v="Ponce"/>
        <s v="Carey"/>
        <s v="Sellers"/>
        <s v="Graham"/>
        <s v="Bradshaw"/>
        <s v="Griffith"/>
        <s v="Washington"/>
        <s v="Hobbs"/>
        <s v="Mcintyre"/>
        <s v="Krueger"/>
        <s v="Wilson"/>
        <s v="Myers"/>
        <s v="Pugh"/>
        <s v="Mccormick"/>
        <s v="Esparza"/>
        <s v="Velasquez"/>
        <s v="O’Connell"/>
        <s v="Cortéz"/>
        <s v="Acosta"/>
        <s v="Campbell"/>
        <s v="Gray"/>
        <s v="Bishop"/>
        <s v="Dunlap"/>
        <s v="Harrell"/>
        <s v="Skinner"/>
        <s v="Trevino"/>
        <s v="Schwartz"/>
        <s v="Murray"/>
        <s v="Browning"/>
        <s v="Marsh"/>
        <s v="Potter"/>
        <s v="Conley"/>
        <s v="Bruce"/>
        <s v="Mayer"/>
        <s v="Charles"/>
        <s v="Mueller"/>
        <s v="Kent"/>
        <s v="Chang"/>
        <s v="Francis"/>
        <s v="Bonilla"/>
        <s v="Sparks"/>
        <s v="Mcdonald"/>
        <s v="Ross"/>
        <s v="Kelley"/>
        <s v="Curtis"/>
        <s v="Caldwell"/>
        <s v="Watson"/>
        <s v="Goodwin"/>
        <s v="Santana"/>
        <s v="Whitehead"/>
        <s v="Gill"/>
        <s v="Hancock"/>
        <s v="Huynh"/>
        <s v="Hunt"/>
        <s v="Lamb"/>
        <s v="Hayden"/>
        <s v="Sweeney"/>
        <s v="Harris"/>
        <s v="Vargas"/>
        <s v="Gardner"/>
        <s v="Deleon"/>
        <s v="Frank"/>
        <s v="Barber"/>
        <s v="Parks"/>
        <s v="Walters"/>
        <s v="Hampton"/>
        <s v="Fisher"/>
        <s v="Shaffer"/>
        <s v="Levy"/>
        <s v="Wilkins"/>
        <s v="Guzman"/>
        <s v="Garcia"/>
        <s v="Waller"/>
        <s v="Padilla"/>
        <s v="Gutierrez"/>
        <s v="Ali"/>
        <s v="Brock"/>
        <s v="Welch"/>
      </sharedItems>
    </cacheField>
    <cacheField name="Customer First Name" numFmtId="0">
      <sharedItems count="607">
        <s v="Raven"/>
        <s v="Meadow"/>
        <s v="Zayne"/>
        <s v="Frederick"/>
        <s v="Marlee"/>
        <s v="Frank"/>
        <s v="Laura"/>
        <s v="Kamila"/>
        <s v="Samara"/>
        <s v="Remi"/>
        <s v="Elle"/>
        <s v="Donovan"/>
        <s v="Vivian"/>
        <s v="Alison"/>
        <s v="Aspen"/>
        <s v="Hayden"/>
        <s v="Dawson"/>
        <s v="Alayna"/>
        <s v="Armani"/>
        <s v="Jordan"/>
        <s v="Lukas"/>
        <s v="Stephanie"/>
        <s v="Patrick"/>
        <s v="Sullivan"/>
        <s v="Adelaide"/>
        <s v="Aubrey"/>
        <s v="Dominic"/>
        <s v="Justin"/>
        <s v="Dallas"/>
        <s v="Kane"/>
        <s v="Paxton"/>
        <s v="Oakley"/>
        <s v="Kate"/>
        <s v="Stella"/>
        <s v="Callen"/>
        <s v="Kendall"/>
        <s v="Walter"/>
        <s v="Stetson"/>
        <s v="King"/>
        <s v="Edward"/>
        <s v="Jaylen"/>
        <s v="Callie"/>
        <s v="Malik"/>
        <s v="Myla"/>
        <s v="Kimberly"/>
        <s v="Zyaire"/>
        <s v="Naomi"/>
        <s v="Octavia"/>
        <s v="Kayden"/>
        <s v="Kamari"/>
        <s v="Georgia"/>
        <s v="Camille"/>
        <s v="Raphael"/>
        <s v="Freya"/>
        <s v="Victor"/>
        <s v="Selena"/>
        <s v="Timothy"/>
        <s v="Nayeli"/>
        <s v="Richard"/>
        <s v="Devin"/>
        <s v="Blake"/>
        <s v="Olive"/>
        <s v="Ezra"/>
        <s v="Greyson"/>
        <s v="Charles"/>
        <s v="August"/>
        <s v="Bailey"/>
        <s v="Aylin"/>
        <s v="Xander"/>
        <s v="Michelle"/>
        <s v="Eleanor"/>
        <s v="Annie"/>
        <s v="Atticus"/>
        <s v="Braxton"/>
        <s v="Wade"/>
        <s v="Messiah"/>
        <s v="Quinn"/>
        <s v="Abigail"/>
        <s v="Malachi"/>
        <s v="Karson"/>
        <s v="Penelope"/>
        <s v="Bentley"/>
        <s v="Gideon"/>
        <s v="Judah"/>
        <s v="Molly"/>
        <s v="Piper"/>
        <s v="Eden"/>
        <s v="Jesse"/>
        <s v="Rebecca"/>
        <s v="Maddox"/>
        <s v="Miracle"/>
        <s v="Asa"/>
        <s v="Rosalie"/>
        <s v="Mackenzie"/>
        <s v="Briella"/>
        <s v="Leah"/>
        <s v="Olivia"/>
        <s v="Avianna"/>
        <s v="Lewis"/>
        <s v="Amari"/>
        <s v="Genesis"/>
        <s v="Ada"/>
        <s v="Kyle"/>
        <s v="Brody"/>
        <s v="Enzo"/>
        <s v="Phoebe"/>
        <s v="Zayn"/>
        <s v="Ruby"/>
        <s v="Stevie"/>
        <s v="Veronica"/>
        <s v="Cataleya"/>
        <s v="Sophia"/>
        <s v="Kaleb"/>
        <s v="Londyn"/>
        <s v="Jared"/>
        <s v="Sloane"/>
        <s v="Alessandra"/>
        <s v="Gianna"/>
        <s v="Alicia"/>
        <s v="Kyler"/>
        <s v="Abel"/>
        <s v="Noa"/>
        <s v="Marley"/>
        <s v="London"/>
        <s v="Adelynn"/>
        <s v="Lilah"/>
        <s v="Warren"/>
        <s v="Myles"/>
        <s v="Charli"/>
        <s v="Raymond"/>
        <s v="Frances"/>
        <s v="Spencer"/>
        <s v="Robert"/>
        <s v="Damon"/>
        <s v="James"/>
        <s v="Holden"/>
        <s v="Parker"/>
        <s v="Catalina"/>
        <s v="Mckenzie"/>
        <s v="Colin"/>
        <s v="Angelo"/>
        <s v="Grady"/>
        <s v="Isabella"/>
        <s v="Tobias"/>
        <s v="Koa"/>
        <s v="Jax"/>
        <s v="Summer"/>
        <s v="Elaine"/>
        <s v="Ivan"/>
        <s v="Legacy"/>
        <s v="Aliyah"/>
        <s v="Evie"/>
        <s v="Cairo"/>
        <s v="Isaiah"/>
        <s v="Aitana"/>
        <s v="Ryker"/>
        <s v="Baylor"/>
        <s v="Fatima"/>
        <s v="Julia"/>
        <s v="Itzel"/>
        <s v="Gabriel"/>
        <s v="Sadie"/>
        <s v="Garrett"/>
        <s v="Koda"/>
        <s v="Amanda"/>
        <s v="Nadia"/>
        <s v="Sawyer"/>
        <s v="Carmen"/>
        <s v="Maya"/>
        <s v="Christian"/>
        <s v="Kayson"/>
        <s v="Isabelle"/>
        <s v="Emersyn"/>
        <s v="Rory"/>
        <s v="Princeton"/>
        <s v="Sarai"/>
        <s v="Trinity"/>
        <s v="Lennox"/>
        <s v="Chloe"/>
        <s v="Lyra"/>
        <s v="Kobe"/>
        <s v="Edgar"/>
        <s v="Mary"/>
        <s v="Carolina"/>
        <s v="Paul"/>
        <s v="Sonny"/>
        <s v="Emma"/>
        <s v="Daphne"/>
        <s v="Emiliano"/>
        <s v="Catherine"/>
        <s v="Jackson"/>
        <s v="Briggs"/>
        <s v="Brooke"/>
        <s v="Addison"/>
        <s v="Isabel"/>
        <s v="Santiago"/>
        <s v="Avery"/>
        <s v="Arielle"/>
        <s v="Manuel"/>
        <s v="Saylor"/>
        <s v="Liam"/>
        <s v="Angelina"/>
        <s v="Alana"/>
        <s v="Lila"/>
        <s v="Sergio"/>
        <s v="Caiden"/>
        <s v="Cooper"/>
        <s v="Chance"/>
        <s v="Hank"/>
        <s v="Sutton"/>
        <s v="Declan"/>
        <s v="Renata"/>
        <s v="Wyatt"/>
        <s v="Jensen"/>
        <s v="Denver"/>
        <s v="Leonel"/>
        <s v="Remington"/>
        <s v="Journee"/>
        <s v="Ayla"/>
        <s v="Rosie"/>
        <s v="Edwin"/>
        <s v="Lillian"/>
        <s v="Austin"/>
        <s v="Jacob"/>
        <s v="Evelyn"/>
        <s v="Shiloh"/>
        <s v="Brantley"/>
        <s v="Melissa"/>
        <s v="Willow"/>
        <s v="Charlotte"/>
        <s v="Russell"/>
        <s v="Erick"/>
        <s v="Sebastian"/>
        <s v="Asher"/>
        <s v="Navy"/>
        <s v="River"/>
        <s v="Diego"/>
        <s v="Kash"/>
        <s v="Tatum"/>
        <s v="Baker"/>
        <s v="Xiomara"/>
        <s v="Kenneth"/>
        <s v="Elliot"/>
        <s v="Emerson"/>
        <s v="Margaret"/>
        <s v="Esme"/>
        <s v="Eliza"/>
        <s v="Amir"/>
        <s v="Kayla"/>
        <s v="Haven"/>
        <s v="Ace"/>
        <s v="Amira"/>
        <s v="Maximus"/>
        <s v="Collins"/>
        <s v="Annalise"/>
        <s v="Fernando"/>
        <s v="Rowan"/>
        <s v="Millie"/>
        <s v="Matteo"/>
        <s v="Regina"/>
        <s v="Abraham"/>
        <s v="Adalynn"/>
        <s v="Gracelynn"/>
        <s v="Sterling"/>
        <s v="Cora"/>
        <s v="Hugo"/>
        <s v="Zuri"/>
        <s v="Lorenzo"/>
        <s v="Athena"/>
        <s v="Dante"/>
        <s v="Nina"/>
        <s v="Calvin"/>
        <s v="Steven"/>
        <s v="Adelina"/>
        <s v="Noah"/>
        <s v="Liliana"/>
        <s v="Maeve"/>
        <s v="Rhys"/>
        <s v="Amara"/>
        <s v="Thomas"/>
        <s v="Julian"/>
        <s v="Autumn"/>
        <s v="Katherine"/>
        <s v="Nathan"/>
        <s v="Jimena"/>
        <s v="Sylas"/>
        <s v="Augustus"/>
        <s v="Javier"/>
        <s v="Nora"/>
        <s v="Lilly"/>
        <s v="Archer"/>
        <s v="Emily"/>
        <s v="Jasmine"/>
        <s v="Amelia"/>
        <s v="Jeremiah"/>
        <s v="Arya"/>
        <s v="Serenity"/>
        <s v="Heidi"/>
        <s v="Elian"/>
        <s v="Finley"/>
        <s v="Alex"/>
        <s v="Andre"/>
        <s v="Kingston"/>
        <s v="Emmett"/>
        <s v="Ava"/>
        <s v="Nico"/>
        <s v="Jayce"/>
        <s v="Sydney"/>
        <s v="Dylan"/>
        <s v="Natalia"/>
        <s v="Raelynn"/>
        <s v="Sabrina"/>
        <s v="Damian"/>
        <s v="Harlow"/>
        <s v="Kora"/>
        <s v="Alexis"/>
        <s v="Lexi"/>
        <s v="Hattie"/>
        <s v="Casey"/>
        <s v="Banks"/>
        <s v="Joy"/>
        <s v="Titus"/>
        <s v="Brinley"/>
        <s v="Micah"/>
        <s v="Joshua"/>
        <s v="Annabelle"/>
        <s v="Aurora"/>
        <s v="Valentina"/>
        <s v="Uriel"/>
        <s v="Reid"/>
        <s v="Mckenna"/>
        <s v="Noelle"/>
        <s v="Zion"/>
        <s v="Griffin"/>
        <s v="Ian"/>
        <s v="Cade"/>
        <s v="Luke"/>
        <s v="Ailani"/>
        <s v="Eduardo"/>
        <s v="Celine"/>
        <s v="Kali"/>
        <s v="Jasiah"/>
        <s v="Jonathan"/>
        <s v="Ali"/>
        <s v="Malia"/>
        <s v="Madelynn"/>
        <s v="Sage"/>
        <s v="Dahlia"/>
        <s v="Fiona"/>
        <s v="Maxwell"/>
        <s v="Elaina"/>
        <s v="Finn"/>
        <s v="Ronin"/>
        <s v="Alaya"/>
        <s v="Alayah"/>
        <s v="Willa"/>
        <s v="Aubree"/>
        <s v="Evangeline"/>
        <s v="Jayden"/>
        <s v="Jason"/>
        <s v="Genevieve"/>
        <s v="Beckett"/>
        <s v="Juliana"/>
        <s v="Lucy"/>
        <s v="Brian"/>
        <s v="Collin"/>
        <s v="Ismael"/>
        <s v="Ryleigh"/>
        <s v="Bryce"/>
        <s v="Karter"/>
        <s v="Bradley"/>
        <s v="Lyla"/>
        <s v="Serena"/>
        <s v="Francis"/>
        <s v="Ariana"/>
        <s v="Destiny"/>
        <s v="Harvey"/>
        <s v="Hayes"/>
        <s v="Dax"/>
        <s v="Aria"/>
        <s v="Blair"/>
        <s v="Miguel"/>
        <s v="Luna"/>
        <s v="Hannah"/>
        <s v="Clara"/>
        <s v="Aisha"/>
        <s v="Ricardo"/>
        <s v="Brooklynn"/>
        <s v="Milani"/>
        <s v="Aaliyah"/>
        <s v="Oscar"/>
        <s v="Ronan"/>
        <s v="Jett"/>
        <s v="Thea"/>
        <s v="Mila"/>
        <s v="Seth"/>
        <s v="Gregory"/>
        <s v="Grayson"/>
        <s v="Selah"/>
        <s v="Adan"/>
        <s v="Samantha"/>
        <s v="Lane"/>
        <s v="Charlee"/>
        <s v="Bo"/>
        <s v="Damien"/>
        <s v="Anya"/>
        <s v="Leila"/>
        <s v="Landon"/>
        <s v="Haisley"/>
        <s v="Nolan"/>
        <s v="Maisie"/>
        <s v="Bodie"/>
        <s v="Maryam"/>
        <s v="Natalie"/>
        <s v="Amaya"/>
        <s v="Logan"/>
        <s v="Caroline"/>
        <s v="Kashton"/>
        <s v="Bianca"/>
        <s v="Ximena"/>
        <s v="Gabriella"/>
        <s v="Alora"/>
        <s v="Madilyn"/>
        <s v="Joaquin"/>
        <s v="Lilith"/>
        <s v="Rose"/>
        <s v="Ariah"/>
        <s v="Brynlee"/>
        <s v="Saige"/>
        <s v="Violet"/>
        <s v="Talia"/>
        <s v="Alan"/>
        <s v="Alonzo"/>
        <s v="Alyssa"/>
        <s v="Maria"/>
        <s v="Reese"/>
        <s v="Jude"/>
        <s v="William"/>
        <s v="Zara"/>
        <s v="Josephine"/>
        <s v="Kade"/>
        <s v="Rylee"/>
        <s v="Alexandria"/>
        <s v="Delaney"/>
        <s v="Ari"/>
        <s v="Sophie"/>
        <s v="Emanuel"/>
        <s v="Oaklee"/>
        <s v="Marco"/>
        <s v="Jeremy"/>
        <s v="Alessia"/>
        <s v="Kira"/>
        <s v="Colt"/>
        <s v="Madison"/>
        <s v="Josue"/>
        <s v="Lana"/>
        <s v="Leon"/>
        <s v="Zaire"/>
        <s v="Connor"/>
        <s v="Paris"/>
        <s v="Layla"/>
        <s v="Gracie"/>
        <s v="Jose"/>
        <s v="Mariana"/>
        <s v="Daisy"/>
        <s v="Francesca"/>
        <s v="Amy"/>
        <s v="Royalty"/>
        <s v="Allie"/>
        <s v="Dakota"/>
        <s v="Ezequiel"/>
        <s v="Gunner"/>
        <s v="Jade"/>
        <s v="Ayden"/>
        <s v="Salem"/>
        <s v="Cecilia"/>
        <s v="Nylah"/>
        <s v="Elsie"/>
        <s v="Winter"/>
        <s v="Faith"/>
        <s v="Jaxton"/>
        <s v="Cole"/>
        <s v="Bryson"/>
        <s v="Hallie"/>
        <s v="Jaxon"/>
        <s v="Teagan"/>
        <s v="Payton"/>
        <s v="Evelynn"/>
        <s v="Helen"/>
        <s v="Desmond"/>
        <s v="Elise"/>
        <s v="Leland"/>
        <s v="Alaina"/>
        <s v="Rosemary"/>
        <s v="Preston"/>
        <s v="Alexandra"/>
        <s v="Matias"/>
        <s v="Owen"/>
        <s v="Kylo"/>
        <s v="Santino"/>
        <s v="Valeria"/>
        <s v="Cassidy"/>
        <s v="Alejandro"/>
        <s v="Kairo"/>
        <s v="Kai"/>
        <s v="Madelyn"/>
        <s v="Theo"/>
        <s v="Arthur"/>
        <s v="Jace"/>
        <s v="Sienna"/>
        <s v="Josiah"/>
        <s v="Mathias"/>
        <s v="Kaiden"/>
        <s v="Skylar"/>
        <s v="Melanie"/>
        <s v="Allison"/>
        <s v="Morgan"/>
        <s v="Kyrie"/>
        <s v="Andy"/>
        <s v="Fernanda"/>
        <s v="Valerie"/>
        <s v="Kendrick"/>
        <s v="Nash"/>
        <s v="Nasir"/>
        <s v="Everett"/>
        <s v="Taylor"/>
        <s v="Zoey"/>
        <s v="Elliott"/>
        <s v="Diana"/>
        <s v="Rylie"/>
        <s v="Cody"/>
        <s v="Kevin"/>
        <s v="Jasper"/>
        <s v="Muhammad"/>
        <s v="Gael"/>
        <s v="Alijah"/>
        <s v="Luca"/>
        <s v="Romeo"/>
        <s v="Makenna"/>
        <s v="Camilla"/>
        <s v="Savannah"/>
        <s v="Adalyn"/>
        <s v="June"/>
        <s v="Kaia"/>
        <s v="Ella"/>
        <s v="Gracelyn"/>
        <s v="Alani"/>
        <s v="Danielle"/>
        <s v="Daniela"/>
        <s v="Dream"/>
        <s v="Angela"/>
        <s v="Adaline"/>
        <s v="Emilia"/>
        <s v="Esteban"/>
        <s v="Felix"/>
        <s v="Demi"/>
        <s v="Tucker"/>
        <s v="Kyson"/>
        <s v="Niko"/>
        <s v="Luis"/>
        <s v="Weston"/>
        <s v="Makayla"/>
        <s v="Martin"/>
        <s v="Cash"/>
        <s v="Ivy"/>
        <s v="Lia"/>
        <s v="Ellis"/>
        <s v="Poppy"/>
        <s v="Esmeralda"/>
        <s v="Kaylee"/>
        <s v="Rhett"/>
        <s v="Everleigh"/>
        <s v="Adrian"/>
        <s v="Delilah"/>
        <s v="Tristan"/>
        <s v="George"/>
        <s v="Claire"/>
        <s v="Leonidas"/>
        <s v="Nicolas"/>
        <s v="Clark"/>
        <s v="Phoenix"/>
        <s v="Norah"/>
        <s v="Gavin"/>
        <s v="Kason"/>
        <s v="Sarah"/>
        <s v="Mabel"/>
        <s v="Charlie"/>
        <s v="Zayden"/>
        <s v="Reed"/>
        <s v="Crew"/>
        <s v="Daleyza"/>
        <s v="Camilo"/>
        <s v="Marcus"/>
        <s v="Leonardo"/>
        <s v="Franklin"/>
        <s v="Luka"/>
        <s v="Ruth"/>
        <s v="Raya"/>
        <s v="Joel"/>
        <s v="Callan"/>
        <s v="Lucille"/>
        <s v="Emery"/>
        <s v="Pablo"/>
        <s v="Zander"/>
        <s v="Beau"/>
        <s v="Killian"/>
        <s v="Heaven"/>
      </sharedItems>
    </cacheField>
    <cacheField name="Service Category" numFmtId="0">
      <sharedItems count="6">
        <s v="Mentoring program"/>
        <s v="Interview Prep"/>
        <s v="Resume + LinkedIn Profile"/>
        <s v="Resume (service fee)"/>
        <s v="LinkedIn profile"/>
        <s v="Networking Strategy"/>
      </sharedItems>
    </cacheField>
    <cacheField name="Order Date" numFmtId="14">
      <sharedItems containsSemiMixedTypes="0" containsNonDate="0" containsDate="1" containsString="0" minDate="2024-01-01T00:00:00" maxDate="2025-01-01T00:00:00" count="344">
        <d v="2024-01-01T00:00:00"/>
        <d v="2024-01-02T00:00:00"/>
        <d v="2024-01-03T00:00:00"/>
        <d v="2024-01-04T00:00:00"/>
        <d v="2024-01-05T00:00:00"/>
        <d v="2024-01-06T00:00:00"/>
        <d v="2024-01-07T00:00:00"/>
        <d v="2024-01-08T00:00:00"/>
        <d v="2024-01-09T00:00:00"/>
        <d v="2024-01-10T00:00:00"/>
        <d v="2024-01-12T00:00:00"/>
        <d v="2024-01-14T00:00:00"/>
        <d v="2024-01-15T00:00:00"/>
        <d v="2024-01-16T00:00:00"/>
        <d v="2024-01-17T00:00:00"/>
        <d v="2024-01-18T00:00:00"/>
        <d v="2024-01-19T00:00:00"/>
        <d v="2024-01-20T00:00:00"/>
        <d v="2024-01-21T00:00:00"/>
        <d v="2024-01-22T00:00:00"/>
        <d v="2024-01-23T00:00:00"/>
        <d v="2024-01-24T00:00:00"/>
        <d v="2024-01-25T00:00:00"/>
        <d v="2024-01-26T00:00:00"/>
        <d v="2024-01-28T00:00:00"/>
        <d v="2024-01-30T00:00:00"/>
        <d v="2024-01-31T00:00:00"/>
        <d v="2024-02-01T00:00:00"/>
        <d v="2024-02-02T00:00:00"/>
        <d v="2024-02-03T00:00:00"/>
        <d v="2024-02-04T00:00:00"/>
        <d v="2024-02-05T00:00:00"/>
        <d v="2024-02-06T00:00:00"/>
        <d v="2024-02-08T00:00:00"/>
        <d v="2024-02-09T00:00:00"/>
        <d v="2024-02-10T00:00:00"/>
        <d v="2024-02-11T00:00:00"/>
        <d v="2024-02-12T00:00:00"/>
        <d v="2024-02-13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7T00:00:00"/>
        <d v="2024-03-18T00:00:00"/>
        <d v="2024-03-19T00:00:00"/>
        <d v="2024-03-20T00:00:00"/>
        <d v="2024-03-21T00:00:00"/>
        <d v="2024-03-22T00:00:00"/>
        <d v="2024-03-23T00:00:00"/>
        <d v="2024-03-24T00:00:00"/>
        <d v="2024-03-25T00:00:00"/>
        <d v="2024-03-26T00:00:00"/>
        <d v="2024-03-27T00:00:00"/>
        <d v="2024-03-28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6T00:00:00"/>
        <d v="2024-04-17T00:00:00"/>
        <d v="2024-04-18T00:00:00"/>
        <d v="2024-04-19T00:00:00"/>
        <d v="2024-04-20T00:00:00"/>
        <d v="2024-04-21T00:00:00"/>
        <d v="2024-04-22T00:00:00"/>
        <d v="2024-04-23T00:00:00"/>
        <d v="2024-04-24T00:00:00"/>
        <d v="2024-04-25T00:00:00"/>
        <d v="2024-04-27T00:00:00"/>
        <d v="2024-04-28T00:00:00"/>
        <d v="2024-04-29T00:00:00"/>
        <d v="2024-04-30T00:00:00"/>
        <d v="2024-05-01T00:00:00"/>
        <d v="2024-05-02T00:00:00"/>
        <d v="2024-05-03T00:00:00"/>
        <d v="2024-05-04T00:00:00"/>
        <d v="2024-05-05T00:00:00"/>
        <d v="2024-05-06T00:00:00"/>
        <d v="2024-05-07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4T00:00:00"/>
        <d v="2024-05-25T00:00:00"/>
        <d v="2024-05-26T00:00:00"/>
        <d v="2024-05-27T00:00:00"/>
        <d v="2024-05-28T00:00:00"/>
        <d v="2024-05-29T00:00:00"/>
        <d v="2024-05-30T00:00:00"/>
        <d v="2024-05-31T00:00:00"/>
        <d v="2024-06-01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10T00:00:00"/>
        <d v="2024-07-11T00:00:00"/>
        <d v="2024-07-12T00:00:00"/>
        <d v="2024-07-13T00:00:00"/>
        <d v="2024-07-14T00:00:00"/>
        <d v="2024-07-15T00:00:00"/>
        <d v="2024-07-16T00:00:00"/>
        <d v="2024-07-17T00:00:00"/>
        <d v="2024-07-18T00:00:00"/>
        <d v="2024-07-19T00:00:00"/>
        <d v="2024-07-20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5T00:00:00"/>
        <d v="2024-09-26T00:00:00"/>
        <d v="2024-09-27T00:00:00"/>
        <d v="2024-09-28T00:00:00"/>
        <d v="2024-09-29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sharedItems>
    </cacheField>
    <cacheField name="Month" numFmtId="14">
      <sharedItems count="12">
        <s v="Jan"/>
        <s v="Feb"/>
        <s v="Mar"/>
        <s v="Apr"/>
        <s v="May"/>
        <s v="Jun"/>
        <s v="Jul"/>
        <s v="Aug"/>
        <s v="Sep"/>
        <s v="Oct"/>
        <s v="Nov"/>
        <s v="Dec"/>
      </sharedItems>
    </cacheField>
    <cacheField name="Quantity Ordered" numFmtId="0">
      <sharedItems containsSemiMixedTypes="0" containsString="0" containsNumber="1" containsInteger="1" minValue="1" maxValue="3" count="3">
        <n v="2"/>
        <n v="3"/>
        <n v="1"/>
      </sharedItems>
    </cacheField>
    <cacheField name="Order Status" numFmtId="0">
      <sharedItems count="4">
        <s v="Service Booked"/>
        <s v="Delivered"/>
        <s v="In Progress"/>
        <s v="Cancelled"/>
      </sharedItems>
    </cacheField>
    <cacheField name="State" numFmtId="0">
      <sharedItems count="8">
        <s v="SA"/>
        <s v="NSW"/>
        <s v="QLD"/>
        <s v="WA"/>
        <s v="ACT"/>
        <s v="VIC"/>
        <s v="TAS"/>
        <s v="NT"/>
      </sharedItems>
    </cacheField>
    <cacheField name="Margins" numFmtId="0">
      <sharedItems containsSemiMixedTypes="0" containsString="0" containsNumber="1" minValue="0.1" maxValue="0.3"/>
    </cacheField>
    <cacheField name="Service Provider Expense" numFmtId="0">
      <sharedItems containsSemiMixedTypes="0" containsString="0" containsNumber="1" minValue="1.1000000000000001" maxValue="571.20000000000005" count="885">
        <n v="279.25"/>
        <n v="179"/>
        <n v="479.7"/>
        <n v="25.9"/>
        <n v="23.4"/>
        <n v="429.6"/>
        <n v="22.5"/>
        <n v="68.3"/>
        <n v="263.10000000000002"/>
        <n v="3.3"/>
        <n v="83.5"/>
        <n v="258.3"/>
        <n v="137"/>
        <n v="48.6"/>
        <n v="6.75"/>
        <n v="500.1"/>
        <n v="113.4"/>
        <n v="345.3"/>
        <n v="405.9"/>
        <n v="175.1"/>
        <n v="290.39999999999998"/>
        <n v="110.5"/>
        <n v="216.6"/>
        <n v="181.5"/>
        <n v="217"/>
        <n v="154.6"/>
        <n v="345.25"/>
        <n v="414.3"/>
        <n v="9.8000000000000007"/>
        <n v="385"/>
        <n v="42.4"/>
        <n v="48.75"/>
        <n v="77.7"/>
        <n v="82"/>
        <n v="137.75"/>
        <n v="107.75"/>
        <n v="279"/>
        <n v="352.5"/>
        <n v="233.7"/>
        <n v="405.5"/>
        <n v="38.700000000000003"/>
        <n v="175.25"/>
        <n v="341.5"/>
        <n v="210.6"/>
        <n v="169.3"/>
        <n v="167.4"/>
        <n v="359.2"/>
        <n v="159.30000000000001"/>
        <n v="243.5"/>
        <n v="59"/>
        <n v="319.2"/>
        <n v="233.25"/>
        <n v="95.8"/>
        <n v="356.1"/>
        <n v="122.8"/>
        <n v="170"/>
        <n v="78.599999999999994"/>
        <n v="406.75"/>
        <n v="71.7"/>
        <n v="67"/>
        <n v="53.5"/>
        <n v="66.599999999999994"/>
        <n v="64.5"/>
        <n v="183.6"/>
        <n v="39"/>
        <n v="371.1"/>
        <n v="102.6"/>
        <n v="59.8"/>
        <n v="160.30000000000001"/>
        <n v="314.5"/>
        <n v="95"/>
        <n v="335.7"/>
        <n v="168.75"/>
        <n v="411"/>
        <n v="177.2"/>
        <n v="73"/>
        <n v="34.4"/>
        <n v="333.4"/>
        <n v="5.0999999999999996"/>
        <n v="312.3"/>
        <n v="400.75"/>
        <n v="170.6"/>
        <n v="102.75"/>
        <n v="272.75"/>
        <n v="100.75"/>
        <n v="373.75"/>
        <n v="62.5"/>
        <n v="310.8"/>
        <n v="233.6"/>
        <n v="324.3"/>
        <n v="386.75"/>
        <n v="152.1"/>
        <n v="117"/>
        <n v="239.5"/>
        <n v="86.75"/>
        <n v="353.25"/>
        <n v="138.4"/>
        <n v="28.6"/>
        <n v="159.6"/>
        <n v="385.2"/>
        <n v="260.5"/>
        <n v="296.39999999999998"/>
        <n v="384.9"/>
        <n v="431.1"/>
        <n v="302.2"/>
        <n v="105.9"/>
        <n v="259.5"/>
        <n v="268.75"/>
        <n v="319"/>
        <n v="171.3"/>
        <n v="178.2"/>
        <n v="166.75"/>
        <n v="253.6"/>
        <n v="294"/>
        <n v="91.1"/>
        <n v="12"/>
        <n v="319.5"/>
        <n v="380.75"/>
        <n v="522.9"/>
        <n v="240.4"/>
        <n v="119.7"/>
        <n v="94.5"/>
        <n v="348.5"/>
        <n v="285.75"/>
        <n v="128.30000000000001"/>
        <n v="291.2"/>
        <n v="289.75"/>
        <n v="108.25"/>
        <n v="168.3"/>
        <n v="459.6"/>
        <n v="245.2"/>
        <n v="294.5"/>
        <n v="309.3"/>
        <n v="4.25"/>
        <n v="59.1"/>
        <n v="193"/>
        <n v="219"/>
        <n v="178"/>
        <n v="213.5"/>
        <n v="323.25"/>
        <n v="79.400000000000006"/>
        <n v="364.5"/>
        <n v="80.25"/>
        <n v="298.60000000000002"/>
        <n v="351.3"/>
        <n v="40.5"/>
        <n v="356.5"/>
        <n v="309.75"/>
        <n v="30.5"/>
        <n v="94.2"/>
        <n v="115"/>
        <n v="353.75"/>
        <n v="75.25"/>
        <n v="403.75"/>
        <n v="222.25"/>
        <n v="127.75"/>
        <n v="423.3"/>
        <n v="110.7"/>
        <n v="58.9"/>
        <n v="173.2"/>
        <n v="439.5"/>
        <n v="558"/>
        <n v="309.25"/>
        <n v="70.400000000000006"/>
        <n v="261.25"/>
        <n v="116.5"/>
        <n v="66.75"/>
        <n v="228.3"/>
        <n v="96.1"/>
        <n v="373.5"/>
        <n v="117.8"/>
        <n v="90.25"/>
        <n v="153.19999999999999"/>
        <n v="365.25"/>
        <n v="374"/>
        <n v="275"/>
        <n v="148"/>
        <n v="103.75"/>
        <n v="378"/>
        <n v="311.7"/>
        <n v="129.4"/>
        <n v="4.5999999999999996"/>
        <n v="123.3"/>
        <n v="141"/>
        <n v="133"/>
        <n v="349.4"/>
        <n v="56.1"/>
        <n v="273.3"/>
        <n v="321.25"/>
        <n v="208"/>
        <n v="451.5"/>
        <n v="275.39999999999998"/>
        <n v="117.6"/>
        <n v="397.5"/>
        <n v="162.9"/>
        <n v="66.8"/>
        <n v="388.8"/>
        <n v="338.2"/>
        <n v="515.70000000000005"/>
        <n v="223"/>
        <n v="25.75"/>
        <n v="108"/>
        <n v="365.4"/>
        <n v="316.75"/>
        <n v="134.1"/>
        <n v="7.5"/>
        <n v="414.5"/>
        <n v="376.25"/>
        <n v="201.9"/>
        <n v="337.8"/>
        <n v="173.7"/>
        <n v="132.5"/>
        <n v="454.2"/>
        <n v="239.25"/>
        <n v="56.5"/>
        <n v="262"/>
        <n v="491.1"/>
        <n v="189"/>
        <n v="198.5"/>
        <n v="114.5"/>
        <n v="369"/>
        <n v="88"/>
        <n v="301.75"/>
        <n v="498.9"/>
        <n v="190.75"/>
        <n v="68"/>
        <n v="116.9"/>
        <n v="141.30000000000001"/>
        <n v="419"/>
        <n v="112.5"/>
        <n v="64"/>
        <n v="121.2"/>
        <n v="229.5"/>
        <n v="83.4"/>
        <n v="133.19999999999999"/>
        <n v="214.25"/>
        <n v="184"/>
        <n v="17.600000000000001"/>
        <n v="200.5"/>
        <n v="241.8"/>
        <n v="390.9"/>
        <n v="488.4"/>
        <n v="28.8"/>
        <n v="138.9"/>
        <n v="51.6"/>
        <n v="224.25"/>
        <n v="315"/>
        <n v="14.25"/>
        <n v="40.25"/>
        <n v="313.5"/>
        <n v="361.5"/>
        <n v="142.75"/>
        <n v="333"/>
        <n v="155.5"/>
        <n v="288.89999999999998"/>
        <n v="104.7"/>
        <n v="90.8"/>
        <n v="145"/>
        <n v="323.10000000000002"/>
        <n v="430.75"/>
        <n v="418.5"/>
        <n v="299.10000000000002"/>
        <n v="414.6"/>
        <n v="375"/>
        <n v="25"/>
        <n v="331.5"/>
        <n v="198"/>
        <n v="151"/>
        <n v="295.25"/>
        <n v="136.19999999999999"/>
        <n v="77.599999999999994"/>
        <n v="205.8"/>
        <n v="27.6"/>
        <n v="5.2"/>
        <n v="403.5"/>
        <n v="304.60000000000002"/>
        <n v="154.25"/>
        <n v="24"/>
        <n v="182.4"/>
        <n v="142.5"/>
        <n v="159.5"/>
        <n v="170.8"/>
        <n v="9.5"/>
        <n v="35.1"/>
        <n v="30"/>
        <n v="455.4"/>
        <n v="463.8"/>
        <n v="152.25"/>
        <n v="126.9"/>
        <n v="107"/>
        <n v="51.9"/>
        <n v="144.75"/>
        <n v="85.25"/>
        <n v="155.4"/>
        <n v="23.5"/>
        <n v="115.5"/>
        <n v="337.75"/>
        <n v="396.5"/>
        <n v="32.5"/>
        <n v="28.2"/>
        <n v="173"/>
        <n v="200.7"/>
        <n v="166.2"/>
        <n v="201.8"/>
        <n v="444.25"/>
        <n v="65"/>
        <n v="510.6"/>
        <n v="95.3"/>
        <n v="457.2"/>
        <n v="280"/>
        <n v="83.8"/>
        <n v="386.5"/>
        <n v="198.6"/>
        <n v="389.5"/>
        <n v="1.1000000000000001"/>
        <n v="58"/>
        <n v="56.4"/>
        <n v="197"/>
        <n v="318.89999999999998"/>
        <n v="67.75"/>
        <n v="86.6"/>
        <n v="410"/>
        <n v="210.9"/>
        <n v="43.6"/>
        <n v="32.25"/>
        <n v="95.75"/>
        <n v="436.75"/>
        <n v="212.4"/>
        <n v="261.75"/>
        <n v="156.75"/>
        <n v="253.4"/>
        <n v="120.4"/>
        <n v="388.2"/>
        <n v="5"/>
        <n v="59.75"/>
        <n v="143.4"/>
        <n v="312"/>
        <n v="130.4"/>
        <n v="272.7"/>
        <n v="194"/>
        <n v="240"/>
        <n v="205.4"/>
        <n v="33.9"/>
        <n v="230"/>
        <n v="144"/>
        <n v="51.3"/>
        <n v="19.3"/>
        <n v="299.7"/>
        <n v="331.6"/>
        <n v="334.25"/>
        <n v="248.25"/>
        <n v="160"/>
        <n v="309"/>
        <n v="54.4"/>
        <n v="82.25"/>
        <n v="21.25"/>
        <n v="79"/>
        <n v="155.80000000000001"/>
        <n v="214.75"/>
        <n v="46.8"/>
        <n v="168.6"/>
        <n v="231.5"/>
        <n v="264.3"/>
        <n v="66"/>
        <n v="131.75"/>
        <n v="304.5"/>
        <n v="131.4"/>
        <n v="332.5"/>
        <n v="320.10000000000002"/>
        <n v="97.25"/>
        <n v="520.79999999999995"/>
        <n v="194.7"/>
        <n v="146.30000000000001"/>
        <n v="187.5"/>
        <n v="37.299999999999997"/>
        <n v="102.8"/>
        <n v="164.8"/>
        <n v="96.6"/>
        <n v="181"/>
        <n v="301"/>
        <n v="78.5"/>
        <n v="18.7"/>
        <n v="111"/>
        <n v="221.2"/>
        <n v="47.25"/>
        <n v="270"/>
        <n v="461.4"/>
        <n v="335.4"/>
        <n v="287.8"/>
        <n v="304.2"/>
        <n v="126.6"/>
        <n v="39.200000000000003"/>
        <n v="266.8"/>
        <n v="107.1"/>
        <n v="427.75"/>
        <n v="130.69999999999999"/>
        <n v="318.5"/>
        <n v="107.7"/>
        <n v="571.20000000000005"/>
        <n v="259.8"/>
        <n v="68.2"/>
        <n v="79.5"/>
        <n v="332"/>
        <n v="411.75"/>
        <n v="147.80000000000001"/>
        <n v="503.1"/>
        <n v="31"/>
        <n v="287.5"/>
        <n v="192"/>
        <n v="355.5"/>
        <n v="16.7"/>
        <n v="464.7"/>
        <n v="539.4"/>
        <n v="144.30000000000001"/>
        <n v="126.75"/>
        <n v="163.5"/>
        <n v="180"/>
        <n v="30.9"/>
        <n v="491.7"/>
        <n v="49.5"/>
        <n v="65.75"/>
        <n v="457.25"/>
        <n v="49.2"/>
        <n v="354.5"/>
        <n v="152.80000000000001"/>
        <n v="216"/>
        <n v="331.8"/>
        <n v="366.3"/>
        <n v="70"/>
        <n v="168.9"/>
        <n v="208.8"/>
        <n v="300"/>
        <n v="100.9"/>
        <n v="179.4"/>
        <n v="164"/>
        <n v="151.19999999999999"/>
        <n v="264.75"/>
        <n v="76.5"/>
        <n v="411.5"/>
        <n v="27"/>
        <n v="56.75"/>
        <n v="103.25"/>
        <n v="363.25"/>
        <n v="53.7"/>
        <n v="19.899999999999999"/>
        <n v="445.5"/>
        <n v="106"/>
        <n v="478.2"/>
        <n v="80.2"/>
        <n v="25.4"/>
        <n v="53"/>
        <n v="208.5"/>
        <n v="36.9"/>
        <n v="302.8"/>
        <n v="117.75"/>
        <n v="90.6"/>
        <n v="281.2"/>
        <n v="419.25"/>
        <n v="245.25"/>
        <n v="16.75"/>
        <n v="220.5"/>
        <n v="91.4"/>
        <n v="424.8"/>
        <n v="125.25"/>
        <n v="463.2"/>
        <n v="206.7"/>
        <n v="167.6"/>
        <n v="36.200000000000003"/>
        <n v="259.25"/>
        <n v="139.80000000000001"/>
        <n v="239.8"/>
        <n v="203.1"/>
        <n v="393.3"/>
        <n v="325.5"/>
        <n v="90"/>
        <n v="247.5"/>
        <n v="551.1"/>
        <n v="395.75"/>
        <n v="74.7"/>
        <n v="210.8"/>
        <n v="143.25"/>
        <n v="358.75"/>
        <n v="179.5"/>
        <n v="347.75"/>
        <n v="364"/>
        <n v="144.25"/>
        <n v="248.75"/>
        <n v="117.5"/>
        <n v="305"/>
        <n v="233.1"/>
        <n v="138.5"/>
        <n v="95.7"/>
        <n v="93.6"/>
        <n v="324.60000000000002"/>
        <n v="184.8"/>
        <n v="61.6"/>
        <n v="43.75"/>
        <n v="73.5"/>
        <n v="306.5"/>
        <n v="160.25"/>
        <n v="303.75"/>
        <n v="176.3"/>
        <n v="130.9"/>
        <n v="34.25"/>
        <n v="90.9"/>
        <n v="188.8"/>
        <n v="513.6"/>
        <n v="328"/>
        <n v="327.60000000000002"/>
        <n v="320.5"/>
        <n v="73.25"/>
        <n v="251.25"/>
        <n v="360"/>
        <n v="204.2"/>
        <n v="16.399999999999999"/>
        <n v="36.299999999999997"/>
        <n v="32.200000000000003"/>
        <n v="351.9"/>
        <n v="165.3"/>
        <n v="39.1"/>
        <n v="5.4"/>
        <n v="109.2"/>
        <n v="158"/>
        <n v="127"/>
        <n v="270.60000000000002"/>
        <n v="252"/>
        <n v="295.2"/>
        <n v="176.7"/>
        <n v="450.6"/>
        <n v="75"/>
        <n v="175.6"/>
        <n v="318.60000000000002"/>
        <n v="178.3"/>
        <n v="243.25"/>
        <n v="97.8"/>
        <n v="307"/>
        <n v="473.1"/>
        <n v="443"/>
        <n v="309.5"/>
        <n v="277.5"/>
        <n v="11.4"/>
        <n v="122.7"/>
        <n v="111.25"/>
        <n v="551.70000000000005"/>
        <n v="269.10000000000002"/>
        <n v="144.6"/>
        <n v="107.8"/>
        <n v="331.75"/>
        <n v="96.75"/>
        <n v="48.2"/>
        <n v="237.8"/>
        <n v="96"/>
        <n v="11.7"/>
        <n v="133.5"/>
        <n v="37.5"/>
        <n v="259.39999999999998"/>
        <n v="92.1"/>
        <n v="130.5"/>
        <n v="25.5"/>
        <n v="276"/>
        <n v="329.8"/>
        <n v="377.5"/>
        <n v="133.25"/>
        <n v="43"/>
        <n v="368"/>
        <n v="433.2"/>
        <n v="98"/>
        <n v="33.299999999999997"/>
        <n v="189.75"/>
        <n v="80.900000000000006"/>
        <n v="326"/>
        <n v="291.60000000000002"/>
        <n v="11.6"/>
        <n v="237.25"/>
        <n v="50.7"/>
        <n v="222"/>
        <n v="50.6"/>
        <n v="165"/>
        <n v="212"/>
        <n v="192.5"/>
        <n v="101.75"/>
        <n v="74.25"/>
        <n v="172.25"/>
        <n v="382.8"/>
        <n v="414"/>
        <n v="90.75"/>
        <n v="77.25"/>
        <n v="141.5"/>
        <n v="61.25"/>
        <n v="47"/>
        <n v="171.9"/>
        <n v="62.75"/>
        <n v="229.2"/>
        <n v="94.3"/>
        <n v="26.4"/>
        <n v="320.75"/>
        <n v="248.1"/>
        <n v="60.3"/>
        <n v="52.6"/>
        <n v="109"/>
        <n v="122.5"/>
        <n v="143.6"/>
        <n v="301.8"/>
        <n v="252.75"/>
        <n v="536.1"/>
        <n v="400.5"/>
        <n v="116"/>
        <n v="50"/>
        <n v="279.3"/>
        <n v="326.25"/>
        <n v="55.5"/>
        <n v="438.75"/>
        <n v="42.3"/>
        <n v="16.5"/>
        <n v="206.4"/>
        <n v="17.100000000000001"/>
        <n v="296.75"/>
        <n v="340.2"/>
        <n v="33"/>
        <n v="448.5"/>
        <n v="27.25"/>
        <n v="429.25"/>
        <n v="129"/>
        <n v="425.1"/>
        <n v="64.2"/>
        <n v="412"/>
        <n v="172.6"/>
        <n v="490.8"/>
        <n v="248.5"/>
        <n v="300.75"/>
        <n v="292.8"/>
        <n v="340.25"/>
        <n v="205.75"/>
        <n v="366.5"/>
        <n v="558.6"/>
        <n v="368.5"/>
        <n v="325.75"/>
        <n v="71.099999999999994"/>
        <n v="293"/>
        <n v="128.75"/>
        <n v="408"/>
        <n v="258.5"/>
        <n v="151.80000000000001"/>
        <n v="217.75"/>
        <n v="98.7"/>
        <n v="14"/>
        <n v="79.75"/>
        <n v="404.5"/>
        <n v="9.6999999999999993"/>
        <n v="440.7"/>
        <n v="63.8"/>
        <n v="281"/>
        <n v="92.6"/>
        <n v="228.75"/>
        <n v="384.75"/>
        <n v="211.4"/>
        <n v="195.9"/>
        <n v="119.4"/>
        <n v="354.6"/>
        <n v="72.7"/>
        <n v="172.7"/>
        <n v="531"/>
        <n v="306.89999999999998"/>
        <n v="83.75"/>
        <n v="257.75"/>
        <n v="140.5"/>
        <n v="46.2"/>
        <n v="74.2"/>
        <n v="350.1"/>
        <n v="504.6"/>
        <n v="400.2"/>
        <n v="34.75"/>
        <n v="451.2"/>
        <n v="458"/>
        <n v="176"/>
        <n v="58.2"/>
        <n v="173.75"/>
        <n v="266.25"/>
        <n v="512.4"/>
        <n v="125.5"/>
        <n v="134.80000000000001"/>
        <n v="213"/>
        <n v="120"/>
        <n v="95.5"/>
        <n v="79.25"/>
        <n v="229"/>
        <n v="204.3"/>
        <n v="449.75"/>
        <n v="26.7"/>
        <n v="38.25"/>
        <n v="3.8"/>
        <n v="421.5"/>
        <n v="374.4"/>
        <n v="385.5"/>
        <n v="465.6"/>
        <n v="263.25"/>
        <n v="45.4"/>
        <n v="152"/>
        <n v="359.25"/>
        <n v="354"/>
        <n v="414.9"/>
        <n v="138.19999999999999"/>
        <n v="112.75"/>
        <n v="325.39999999999998"/>
        <n v="151.6"/>
        <n v="201"/>
        <n v="141.75"/>
        <n v="386.25"/>
        <n v="54.9"/>
        <n v="446.4"/>
        <n v="199.5"/>
        <n v="270.8"/>
        <n v="251"/>
        <n v="275.25"/>
        <n v="200.4"/>
        <n v="530.70000000000005"/>
        <n v="114.9"/>
        <n v="63.25"/>
        <n v="461"/>
        <n v="204.5"/>
        <n v="116.75"/>
        <n v="264.5"/>
        <n v="4.8"/>
        <n v="32.299999999999997"/>
        <n v="303.5"/>
        <n v="373.25"/>
        <n v="88.25"/>
        <n v="176.4"/>
        <n v="302"/>
        <n v="357.9"/>
        <n v="514.20000000000005"/>
        <n v="254.25"/>
        <n v="523.20000000000005"/>
        <n v="149"/>
        <n v="99.4"/>
        <n v="153.4"/>
        <n v="185.8"/>
        <n v="115.6"/>
        <n v="211"/>
        <n v="86.5"/>
        <n v="394.5"/>
        <n v="121"/>
        <n v="262.25"/>
        <n v="105.8"/>
        <n v="238.5"/>
        <n v="86"/>
        <n v="125.4"/>
        <n v="295"/>
        <n v="20.3"/>
        <n v="242"/>
        <n v="26.1"/>
        <n v="54.3"/>
        <n v="65.5"/>
        <n v="10.25"/>
        <n v="211.5"/>
        <n v="122.1"/>
        <n v="297"/>
        <n v="46.5"/>
        <n v="38.5"/>
        <n v="56.6"/>
        <n v="299.75"/>
        <n v="298"/>
        <n v="126.1"/>
        <n v="99.3"/>
        <n v="64.599999999999994"/>
        <n v="105.6"/>
        <n v="363.5"/>
        <n v="184.25"/>
        <n v="72.3"/>
        <n v="24.75"/>
        <n v="249.2"/>
        <n v="63.6"/>
        <n v="231.6"/>
        <n v="196.2"/>
        <n v="407"/>
        <n v="398.25"/>
        <n v="240.9"/>
        <n v="204"/>
        <n v="247.2"/>
        <n v="35.5"/>
        <n v="326.5"/>
        <n v="375.3"/>
        <n v="11.3"/>
        <n v="27.75"/>
        <n v="145.19999999999999"/>
        <n v="242.5"/>
        <n v="174.2"/>
        <n v="396.25"/>
        <n v="196.75"/>
        <n v="291.5"/>
        <n v="22.8"/>
        <n v="258.2"/>
        <n v="172"/>
        <n v="291.89999999999998"/>
        <n v="306.60000000000002"/>
        <n v="304.75"/>
        <n v="101"/>
        <n v="346"/>
        <n v="357.3"/>
        <n v="266.39999999999998"/>
        <n v="97.75"/>
        <n v="236.1"/>
        <n v="44"/>
        <n v="238"/>
        <n v="72.599999999999994"/>
        <n v="290"/>
        <n v="141.25"/>
        <n v="234.75"/>
        <n v="30.6"/>
        <n v="387.25"/>
        <n v="271.5"/>
        <n v="112"/>
        <n v="103.4"/>
        <n v="143.19999999999999"/>
        <n v="6.9"/>
        <n v="463"/>
        <n v="271"/>
        <n v="370.5"/>
        <n v="132.9"/>
        <n v="319.75"/>
        <n v="62"/>
        <n v="356.25"/>
        <n v="58.5"/>
        <n v="121.25"/>
        <n v="29.9"/>
        <n v="419.75"/>
        <n v="239.7"/>
        <n v="420.75"/>
        <n v="499.5"/>
        <n v="85"/>
        <n v="261.60000000000002"/>
        <n v="456.3"/>
        <n v="235.5"/>
        <n v="116.25"/>
        <n v="170.3"/>
        <n v="191.5"/>
        <n v="319.8"/>
        <n v="230.6"/>
        <n v="184.5"/>
        <n v="115.2"/>
        <n v="109.75"/>
        <n v="142.6"/>
        <n v="4.5"/>
        <n v="151.75"/>
        <n v="19.5"/>
        <n v="153.9"/>
        <n v="466.25"/>
        <n v="166.25"/>
        <n v="38.200000000000003"/>
        <n v="109.8"/>
        <n v="38.1"/>
        <n v="434.1"/>
        <n v="307.8"/>
        <n v="268.39999999999998"/>
        <n v="282.60000000000002"/>
        <n v="135.25"/>
        <n v="224.8"/>
        <n v="436.25"/>
        <n v="379"/>
        <n v="280.5"/>
        <n v="339.5"/>
        <n v="464.75"/>
        <n v="247.75"/>
        <n v="363.75"/>
        <n v="182.7"/>
        <n v="37"/>
        <n v="195.25"/>
        <n v="219.75"/>
        <n v="363"/>
        <n v="443.7"/>
        <n v="113.1"/>
        <n v="364.8"/>
        <n v="443.1"/>
        <n v="17.25"/>
        <n v="324"/>
        <n v="84.6"/>
        <n v="276.3"/>
        <n v="143.1"/>
        <n v="24.6"/>
        <n v="56"/>
        <n v="261.5"/>
        <n v="249"/>
        <n v="347.7"/>
        <n v="62.4"/>
        <n v="276.8"/>
      </sharedItems>
    </cacheField>
    <cacheField name="Sale Price " numFmtId="0">
      <sharedItems containsSemiMixedTypes="0" containsString="0" containsNumber="1" containsInteger="1" minValue="11" maxValue="1904" count="767">
        <n v="1117"/>
        <n v="1790"/>
        <n v="1599"/>
        <n v="259"/>
        <n v="234"/>
        <n v="1432"/>
        <n v="90"/>
        <n v="683"/>
        <n v="877"/>
        <n v="11"/>
        <n v="334"/>
        <n v="861"/>
        <n v="548"/>
        <n v="486"/>
        <n v="27"/>
        <n v="1667"/>
        <n v="1134"/>
        <n v="1151"/>
        <n v="1353"/>
        <n v="1751"/>
        <n v="968"/>
        <n v="442"/>
        <n v="1083"/>
        <n v="726"/>
        <n v="1085"/>
        <n v="773"/>
        <n v="1381"/>
        <n v="49"/>
        <n v="1540"/>
        <n v="212"/>
        <n v="195"/>
        <n v="410"/>
        <n v="551"/>
        <n v="431"/>
        <n v="1116"/>
        <n v="1175"/>
        <n v="779"/>
        <n v="1622"/>
        <n v="129"/>
        <n v="701"/>
        <n v="1105"/>
        <n v="1366"/>
        <n v="702"/>
        <n v="1693"/>
        <n v="1674"/>
        <n v="1796"/>
        <n v="1593"/>
        <n v="974"/>
        <n v="590"/>
        <n v="1596"/>
        <n v="933"/>
        <n v="479"/>
        <n v="1187"/>
        <n v="1228"/>
        <n v="680"/>
        <n v="262"/>
        <n v="1627"/>
        <n v="239"/>
        <n v="268"/>
        <n v="214"/>
        <n v="666"/>
        <n v="215"/>
        <n v="1836"/>
        <n v="130"/>
        <n v="1237"/>
        <n v="513"/>
        <n v="598"/>
        <n v="1603"/>
        <n v="1258"/>
        <n v="380"/>
        <n v="1119"/>
        <n v="675"/>
        <n v="1644"/>
        <n v="886"/>
        <n v="365"/>
        <n v="344"/>
        <n v="17"/>
        <n v="1041"/>
        <n v="853"/>
        <n v="411"/>
        <n v="1091"/>
        <n v="403"/>
        <n v="1495"/>
        <n v="250"/>
        <n v="1036"/>
        <n v="1168"/>
        <n v="1081"/>
        <n v="1547"/>
        <n v="507"/>
        <n v="390"/>
        <n v="958"/>
        <n v="347"/>
        <n v="1413"/>
        <n v="1384"/>
        <n v="286"/>
        <n v="1284"/>
        <n v="1042"/>
        <n v="1482"/>
        <n v="1283"/>
        <n v="1437"/>
        <n v="1511"/>
        <n v="353"/>
        <n v="1038"/>
        <n v="1075"/>
        <n v="1595"/>
        <n v="1713"/>
        <n v="1782"/>
        <n v="667"/>
        <n v="1268"/>
        <n v="1176"/>
        <n v="911"/>
        <n v="40"/>
        <n v="1065"/>
        <n v="1523"/>
        <n v="1743"/>
        <n v="1202"/>
        <n v="399"/>
        <n v="945"/>
        <n v="1394"/>
        <n v="1143"/>
        <n v="1456"/>
        <n v="1159"/>
        <n v="433"/>
        <n v="561"/>
        <n v="1532"/>
        <n v="1226"/>
        <n v="1178"/>
        <n v="1031"/>
        <n v="591"/>
        <n v="692"/>
        <n v="965"/>
        <n v="876"/>
        <n v="890"/>
        <n v="854"/>
        <n v="1293"/>
        <n v="794"/>
        <n v="1215"/>
        <n v="321"/>
        <n v="1493"/>
        <n v="1171"/>
        <n v="162"/>
        <n v="1426"/>
        <n v="1239"/>
        <n v="305"/>
        <n v="314"/>
        <n v="575"/>
        <n v="1415"/>
        <n v="301"/>
        <n v="1615"/>
        <n v="889"/>
        <n v="511"/>
        <n v="1411"/>
        <n v="369"/>
        <n v="589"/>
        <n v="1732"/>
        <n v="1758"/>
        <n v="1860"/>
        <n v="704"/>
        <n v="1045"/>
        <n v="466"/>
        <n v="267"/>
        <n v="761"/>
        <n v="961"/>
        <n v="1494"/>
        <n v="361"/>
        <n v="1461"/>
        <n v="1496"/>
        <n v="1100"/>
        <n v="1480"/>
        <n v="415"/>
        <n v="1260"/>
        <n v="1039"/>
        <n v="647"/>
        <n v="23"/>
        <n v="705"/>
        <n v="532"/>
        <n v="1747"/>
        <n v="1285"/>
        <n v="832"/>
        <n v="1505"/>
        <n v="1377"/>
        <n v="1325"/>
        <n v="543"/>
        <n v="668"/>
        <n v="1296"/>
        <n v="1691"/>
        <n v="1719"/>
        <n v="1115"/>
        <n v="103"/>
        <n v="540"/>
        <n v="1218"/>
        <n v="1267"/>
        <n v="1341"/>
        <n v="30"/>
        <n v="1658"/>
        <n v="673"/>
        <n v="1689"/>
        <n v="579"/>
        <n v="530"/>
        <n v="1514"/>
        <n v="957"/>
        <n v="226"/>
        <n v="1048"/>
        <n v="1637"/>
        <n v="756"/>
        <n v="1145"/>
        <n v="1476"/>
        <n v="352"/>
        <n v="1207"/>
        <n v="1663"/>
        <n v="763"/>
        <n v="1169"/>
        <n v="471"/>
        <n v="1676"/>
        <n v="1125"/>
        <n v="256"/>
        <n v="404"/>
        <n v="918"/>
        <n v="417"/>
        <n v="857"/>
        <n v="920"/>
        <n v="176"/>
        <n v="802"/>
        <n v="806"/>
        <n v="1303"/>
        <n v="1628"/>
        <n v="144"/>
        <n v="1389"/>
        <n v="1278"/>
        <n v="172"/>
        <n v="897"/>
        <n v="1050"/>
        <n v="57"/>
        <n v="161"/>
        <n v="1446"/>
        <n v="571"/>
        <n v="1332"/>
        <n v="375"/>
        <n v="622"/>
        <n v="963"/>
        <n v="349"/>
        <n v="908"/>
        <n v="725"/>
        <n v="1077"/>
        <n v="360"/>
        <n v="1723"/>
        <n v="997"/>
        <n v="1382"/>
        <n v="1250"/>
        <n v="100"/>
        <n v="990"/>
        <n v="604"/>
        <n v="1181"/>
        <n v="1362"/>
        <n v="776"/>
        <n v="686"/>
        <n v="276"/>
        <n v="52"/>
        <n v="1345"/>
        <n v="617"/>
        <n v="120"/>
        <n v="608"/>
        <n v="1425"/>
        <n v="1708"/>
        <n v="95"/>
        <n v="117"/>
        <n v="1518"/>
        <n v="1546"/>
        <n v="609"/>
        <n v="423"/>
        <n v="428"/>
        <n v="173"/>
        <n v="341"/>
        <n v="1554"/>
        <n v="235"/>
        <n v="462"/>
        <n v="1351"/>
        <n v="1586"/>
        <n v="94"/>
        <n v="669"/>
        <n v="554"/>
        <n v="1009"/>
        <n v="1777"/>
        <n v="260"/>
        <n v="1702"/>
        <n v="953"/>
        <n v="1524"/>
        <n v="1120"/>
        <n v="419"/>
        <n v="993"/>
        <n v="1558"/>
        <n v="232"/>
        <n v="564"/>
        <n v="985"/>
        <n v="1063"/>
        <n v="271"/>
        <n v="1640"/>
        <n v="703"/>
        <n v="436"/>
        <n v="383"/>
        <n v="1062"/>
        <n v="1047"/>
        <n v="627"/>
        <n v="602"/>
        <n v="1294"/>
        <n v="50"/>
        <n v="717"/>
        <n v="1248"/>
        <n v="1304"/>
        <n v="909"/>
        <n v="970"/>
        <n v="800"/>
        <n v="1027"/>
        <n v="113"/>
        <n v="576"/>
        <n v="171"/>
        <n v="193"/>
        <n v="999"/>
        <n v="1337"/>
        <n v="681"/>
        <n v="1030"/>
        <n v="544"/>
        <n v="329"/>
        <n v="85"/>
        <n v="316"/>
        <n v="859"/>
        <n v="843"/>
        <n v="926"/>
        <n v="881"/>
        <n v="220"/>
        <n v="527"/>
        <n v="1015"/>
        <n v="1314"/>
        <n v="1330"/>
        <n v="1067"/>
        <n v="389"/>
        <n v="1736"/>
        <n v="649"/>
        <n v="1463"/>
        <n v="750"/>
        <n v="373"/>
        <n v="514"/>
        <n v="824"/>
        <n v="322"/>
        <n v="724"/>
        <n v="1204"/>
        <n v="187"/>
        <n v="555"/>
        <n v="1106"/>
        <n v="189"/>
        <n v="1080"/>
        <n v="1538"/>
        <n v="1118"/>
        <n v="1439"/>
        <n v="1521"/>
        <n v="1266"/>
        <n v="392"/>
        <n v="1334"/>
        <n v="1071"/>
        <n v="1711"/>
        <n v="1307"/>
        <n v="1274"/>
        <n v="359"/>
        <n v="1904"/>
        <n v="866"/>
        <n v="318"/>
        <n v="1328"/>
        <n v="1647"/>
        <n v="1478"/>
        <n v="1677"/>
        <n v="155"/>
        <n v="1150"/>
        <n v="768"/>
        <n v="1185"/>
        <n v="167"/>
        <n v="1549"/>
        <n v="1798"/>
        <n v="1443"/>
        <n v="654"/>
        <n v="720"/>
        <n v="1639"/>
        <n v="198"/>
        <n v="263"/>
        <n v="1829"/>
        <n v="492"/>
        <n v="1418"/>
        <n v="764"/>
        <n v="1660"/>
        <n v="1221"/>
        <n v="280"/>
        <n v="563"/>
        <n v="696"/>
        <n v="1200"/>
        <n v="656"/>
        <n v="1512"/>
        <n v="1059"/>
        <n v="765"/>
        <n v="786"/>
        <n v="1646"/>
        <n v="108"/>
        <n v="227"/>
        <n v="413"/>
        <n v="1453"/>
        <n v="179"/>
        <n v="199"/>
        <n v="1485"/>
        <n v="306"/>
        <n v="1594"/>
        <n v="127"/>
        <n v="834"/>
        <n v="906"/>
        <n v="1406"/>
        <n v="981"/>
        <n v="67"/>
        <n v="882"/>
        <n v="457"/>
        <n v="1416"/>
        <n v="80"/>
        <n v="501"/>
        <n v="1544"/>
        <n v="689"/>
        <n v="1500"/>
        <n v="362"/>
        <n v="123"/>
        <n v="1037"/>
        <n v="1199"/>
        <n v="677"/>
        <n v="1311"/>
        <n v="900"/>
        <n v="825"/>
        <n v="1837"/>
        <n v="1583"/>
        <n v="249"/>
        <n v="1054"/>
        <n v="573"/>
        <n v="1435"/>
        <n v="718"/>
        <n v="1391"/>
        <n v="577"/>
        <n v="995"/>
        <n v="470"/>
        <n v="567"/>
        <n v="1220"/>
        <n v="777"/>
        <n v="1385"/>
        <n v="319"/>
        <n v="312"/>
        <n v="1082"/>
        <n v="616"/>
        <n v="175"/>
        <n v="294"/>
        <n v="641"/>
        <n v="1763"/>
        <n v="1309"/>
        <n v="137"/>
        <n v="944"/>
        <n v="1712"/>
        <n v="535"/>
        <n v="1312"/>
        <n v="1638"/>
        <n v="1282"/>
        <n v="293"/>
        <n v="1005"/>
        <n v="1440"/>
        <n v="1021"/>
        <n v="82"/>
        <n v="121"/>
        <n v="1173"/>
        <n v="391"/>
        <n v="54"/>
        <n v="364"/>
        <n v="632"/>
        <n v="1270"/>
        <n v="1502"/>
        <n v="1756"/>
        <n v="1783"/>
        <n v="973"/>
        <n v="489"/>
        <n v="1535"/>
        <n v="1577"/>
        <n v="1772"/>
        <n v="1238"/>
        <n v="925"/>
        <n v="1227"/>
        <n v="445"/>
        <n v="1839"/>
        <n v="482"/>
        <n v="539"/>
        <n v="1327"/>
        <n v="387"/>
        <n v="357"/>
        <n v="1189"/>
        <n v="384"/>
        <n v="39"/>
        <n v="258"/>
        <n v="125"/>
        <n v="432"/>
        <n v="1297"/>
        <n v="921"/>
        <n v="1305"/>
        <n v="102"/>
        <n v="1649"/>
        <n v="1510"/>
        <n v="533"/>
        <n v="739"/>
        <n v="430"/>
        <n v="1472"/>
        <n v="1444"/>
        <n v="980"/>
        <n v="111"/>
        <n v="759"/>
        <n v="809"/>
        <n v="1630"/>
        <n v="1458"/>
        <n v="116"/>
        <n v="949"/>
        <n v="169"/>
        <n v="888"/>
        <n v="253"/>
        <n v="550"/>
        <n v="848"/>
        <n v="770"/>
        <n v="407"/>
        <n v="297"/>
        <n v="1276"/>
        <n v="1380"/>
        <n v="363"/>
        <n v="309"/>
        <n v="566"/>
        <n v="245"/>
        <n v="1653"/>
        <n v="188"/>
        <n v="251"/>
        <n v="943"/>
        <n v="88"/>
        <n v="827"/>
        <n v="201"/>
        <n v="310"/>
        <n v="545"/>
        <n v="1629"/>
        <n v="1225"/>
        <n v="1436"/>
        <n v="1006"/>
        <n v="1011"/>
        <n v="1787"/>
        <n v="1602"/>
        <n v="464"/>
        <n v="931"/>
        <n v="1755"/>
        <n v="141"/>
        <n v="405"/>
        <n v="55"/>
        <n v="1032"/>
        <n v="972"/>
        <n v="165"/>
        <n v="1269"/>
        <n v="1794"/>
        <n v="109"/>
        <n v="1717"/>
        <n v="645"/>
        <n v="1417"/>
        <n v="1648"/>
        <n v="1726"/>
        <n v="1636"/>
        <n v="994"/>
        <n v="490"/>
        <n v="1203"/>
        <n v="976"/>
        <n v="1233"/>
        <n v="1361"/>
        <n v="823"/>
        <n v="1466"/>
        <n v="1862"/>
        <n v="1474"/>
        <n v="237"/>
        <n v="1465"/>
        <n v="515"/>
        <n v="1632"/>
        <n v="1034"/>
        <n v="871"/>
        <n v="56"/>
        <n v="1618"/>
        <n v="97"/>
        <n v="1469"/>
        <n v="638"/>
        <n v="1124"/>
        <n v="463"/>
        <n v="915"/>
        <n v="1539"/>
        <n v="1057"/>
        <n v="653"/>
        <n v="398"/>
        <n v="1182"/>
        <n v="727"/>
        <n v="1727"/>
        <n v="1770"/>
        <n v="1023"/>
        <n v="335"/>
        <n v="378"/>
        <n v="562"/>
        <n v="154"/>
        <n v="371"/>
        <n v="1167"/>
        <n v="1682"/>
        <n v="139"/>
        <n v="1504"/>
        <n v="1832"/>
        <n v="194"/>
        <n v="695"/>
        <n v="502"/>
        <n v="674"/>
        <n v="852"/>
        <n v="480"/>
        <n v="955"/>
        <n v="317"/>
        <n v="916"/>
        <n v="1799"/>
        <n v="153"/>
        <n v="19"/>
        <n v="1405"/>
        <n v="1542"/>
        <n v="1552"/>
        <n v="1053"/>
        <n v="122"/>
        <n v="1180"/>
        <n v="1383"/>
        <n v="451"/>
        <n v="758"/>
        <n v="1545"/>
        <n v="865"/>
        <n v="183"/>
        <n v="1488"/>
        <n v="798"/>
        <n v="1354"/>
        <n v="1004"/>
        <n v="1101"/>
        <n v="1002"/>
        <n v="1769"/>
        <n v="1844"/>
        <n v="818"/>
        <n v="467"/>
        <n v="1058"/>
        <n v="16"/>
        <n v="323"/>
        <n v="1214"/>
        <n v="588"/>
        <n v="1208"/>
        <n v="1193"/>
        <n v="1714"/>
        <n v="1017"/>
        <n v="1744"/>
        <n v="745"/>
        <n v="468"/>
        <n v="767"/>
        <n v="929"/>
        <n v="578"/>
        <n v="844"/>
        <n v="1578"/>
        <n v="1210"/>
        <n v="1049"/>
        <n v="529"/>
        <n v="954"/>
        <n v="418"/>
        <n v="1475"/>
        <n v="203"/>
        <n v="531"/>
        <n v="87"/>
        <n v="41"/>
        <n v="846"/>
        <n v="1188"/>
        <n v="283"/>
        <n v="1192"/>
        <n v="1261"/>
        <n v="331"/>
        <n v="528"/>
        <n v="1454"/>
        <n v="737"/>
        <n v="241"/>
        <n v="99"/>
        <n v="1246"/>
        <n v="772"/>
        <n v="803"/>
        <n v="816"/>
        <n v="142"/>
        <n v="1306"/>
        <n v="1251"/>
        <n v="484"/>
        <n v="1742"/>
        <n v="1585"/>
        <n v="787"/>
        <n v="1166"/>
        <n v="114"/>
        <n v="1291"/>
        <n v="688"/>
        <n v="1104"/>
        <n v="1533"/>
        <n v="1219"/>
        <n v="1191"/>
        <n v="625"/>
        <n v="1190"/>
        <n v="1450"/>
        <n v="565"/>
        <n v="939"/>
        <n v="1086"/>
        <n v="448"/>
        <n v="395"/>
        <n v="1852"/>
        <n v="1355"/>
        <n v="1235"/>
        <n v="1329"/>
        <n v="1279"/>
        <n v="620"/>
        <n v="48"/>
        <n v="485"/>
        <n v="299"/>
        <n v="1679"/>
        <n v="799"/>
        <n v="1683"/>
        <n v="1665"/>
        <n v="340"/>
        <n v="1308"/>
        <n v="785"/>
        <n v="465"/>
        <n v="1703"/>
        <n v="766"/>
        <n v="1066"/>
        <n v="1153"/>
        <n v="1845"/>
        <n v="439"/>
        <n v="713"/>
        <n v="18"/>
        <n v="607"/>
        <n v="78"/>
        <n v="1590"/>
        <n v="1865"/>
        <n v="665"/>
        <n v="191"/>
        <n v="366"/>
        <n v="1447"/>
        <n v="1026"/>
        <n v="1342"/>
        <n v="942"/>
        <n v="541"/>
        <n v="1745"/>
        <n v="1516"/>
        <n v="935"/>
        <n v="1358"/>
        <n v="1859"/>
        <n v="991"/>
        <n v="1455"/>
        <n v="370"/>
        <n v="781"/>
        <n v="879"/>
        <n v="1452"/>
        <n v="1479"/>
        <n v="1131"/>
        <n v="1216"/>
        <n v="1477"/>
        <n v="69"/>
        <n v="685"/>
        <n v="738"/>
        <n v="477"/>
        <n v="246"/>
        <n v="224"/>
        <n v="1046"/>
        <n v="830"/>
        <n v="208"/>
      </sharedItems>
    </cacheField>
    <cacheField name="Total Profit (GMROI)" numFmtId="0">
      <sharedItems containsSemiMixedTypes="0" containsString="0" containsNumber="1" minValue="7.7" maxValue="1660.5"/>
    </cacheField>
    <cacheField name="Sales Agent" numFmtId="0">
      <sharedItems count="5">
        <s v="Terrence"/>
        <s v="Kelly"/>
        <s v="Priscilla"/>
        <s v="Brian"/>
        <s v="Daniel"/>
      </sharedItems>
    </cacheField>
    <cacheField name="Profit per order" numFmtId="0" formula="'Total Profit (GMROI)'/'Order ID'" databaseField="0"/>
  </cacheFields>
  <extLst>
    <ext xmlns:x14="http://schemas.microsoft.com/office/spreadsheetml/2009/9/main" uri="{725AE2AE-9491-48be-B2B4-4EB974FC3084}">
      <x14:pivotCacheDefinition pivotCacheId="55851511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Vinayak" refreshedDate="45972.965417939813" backgroundQuery="1" createdVersion="8" refreshedVersion="8" minRefreshableVersion="3" recordCount="0" supportSubquery="1" supportAdvancedDrill="1" xr:uid="{9CE3AF99-D4E5-4CA2-9AAB-9F264B75C4A3}">
  <cacheSource type="external" connectionId="3"/>
  <cacheFields count="3">
    <cacheField name="[Customers_].[Customer Full Name].[Customer Full Name]" caption="Customer Full Name" numFmtId="0" hierarchy="3" level="1">
      <sharedItems count="10">
        <s v="Acevedo King"/>
        <s v="Adkins Sullivan"/>
        <s v="Allen Dakota"/>
        <s v="Barajas Teagan"/>
        <s v="Barber Marcus"/>
        <s v="Bartlett Manuel"/>
        <s v="Bentley Abel"/>
        <s v="Bernal Koa"/>
        <s v="Bond Malachi"/>
        <s v="Bonilla Melanie"/>
      </sharedItems>
    </cacheField>
    <cacheField name="[Customers_].[Phone].[Phone]" caption="Phone" numFmtId="0" hierarchy="16" level="1">
      <sharedItems count="10">
        <s v="+61 3 4926 7730"/>
        <s v="+61 5 1862 3850"/>
        <s v="+61 7 7390 8269"/>
        <s v="+61 8 3890 2127"/>
        <s v="+61 7 9389 6402"/>
        <s v="+61 2 5133 6518"/>
        <s v="+61 7 3763 6131"/>
        <s v="+61 2 2252 8358"/>
        <s v="+61 5 3178 5577"/>
        <s v="+61 7 2518 4066"/>
      </sharedItems>
    </cacheField>
    <cacheField name="[Measures].[Sum of Sale Price]" caption="Sum of Sale Price" numFmtId="0" hierarchy="21" level="32767"/>
  </cacheFields>
  <cacheHierarchies count="22">
    <cacheHierarchy uniqueName="[Customers_].[Customer ID]" caption="Customer ID" attribute="1" defaultMemberUniqueName="[Customers_].[Customer ID].[All]" allUniqueName="[Customers_].[Customer ID].[All]" dimensionUniqueName="[Customers_]" displayFolder="" count="2" memberValueDatatype="20" unbalanced="0"/>
    <cacheHierarchy uniqueName="[Customers_].[Customer Last Name]" caption="Customer Last Name" attribute="1" defaultMemberUniqueName="[Customers_].[Customer Last Name].[All]" allUniqueName="[Customers_].[Customer Last Name].[All]" dimensionUniqueName="[Customers_]" displayFolder="" count="2" memberValueDatatype="130" unbalanced="0"/>
    <cacheHierarchy uniqueName="[Customers_].[Customer First Name]" caption="Customer First Name" attribute="1" defaultMemberUniqueName="[Customers_].[Customer First Name].[All]" allUniqueName="[Customers_].[Customer First Name].[All]" dimensionUniqueName="[Customers_]" displayFolder="" count="2" memberValueDatatype="130" unbalanced="0"/>
    <cacheHierarchy uniqueName="[Customers_].[Customer Full Name]" caption="Customer Full Name" attribute="1" defaultMemberUniqueName="[Customers_].[Customer Full Name].[All]" allUniqueName="[Customers_].[Customer Full Name].[All]" dimensionUniqueName="[Customers_]" displayFolder="" count="2" memberValueDatatype="130" unbalanced="0">
      <fieldsUsage count="2">
        <fieldUsage x="-1"/>
        <fieldUsage x="0"/>
      </fieldsUsage>
    </cacheHierarchy>
    <cacheHierarchy uniqueName="[Customers_].[Service Category]" caption="Service Category" attribute="1" defaultMemberUniqueName="[Customers_].[Service Category].[All]" allUniqueName="[Customers_].[Service Category].[All]" dimensionUniqueName="[Customers_]" displayFolder="" count="2" memberValueDatatype="130" unbalanced="0"/>
    <cacheHierarchy uniqueName="[Customers_].[Order Date]" caption="Order Date" attribute="1" time="1" defaultMemberUniqueName="[Customers_].[Order Date].[All]" allUniqueName="[Customers_].[Order Date].[All]" dimensionUniqueName="[Customers_]" displayFolder="" count="2" memberValueDatatype="7" unbalanced="0"/>
    <cacheHierarchy uniqueName="[Customers_].[Quantity Ordered]" caption="Quantity Ordered" attribute="1" defaultMemberUniqueName="[Customers_].[Quantity Ordered].[All]" allUniqueName="[Customers_].[Quantity Ordered].[All]" dimensionUniqueName="[Customers_]" displayFolder="" count="2" memberValueDatatype="20" unbalanced="0"/>
    <cacheHierarchy uniqueName="[Customers_].[Customer Segment]" caption="Customer Segment" attribute="1" defaultMemberUniqueName="[Customers_].[Customer Segment].[All]" allUniqueName="[Customers_].[Customer Segment].[All]" dimensionUniqueName="[Customers_]" displayFolder="" count="2" memberValueDatatype="130" unbalanced="0"/>
    <cacheHierarchy uniqueName="[Customers_].[Order Status]" caption="Order Status" attribute="1" defaultMemberUniqueName="[Customers_].[Order Status].[All]" allUniqueName="[Customers_].[Order Status].[All]" dimensionUniqueName="[Customers_]" displayFolder="" count="2" memberValueDatatype="130" unbalanced="0"/>
    <cacheHierarchy uniqueName="[Customers_].[State]" caption="State" attribute="1" defaultMemberUniqueName="[Customers_].[State].[All]" allUniqueName="[Customers_].[State].[All]" dimensionUniqueName="[Customers_]" displayFolder="" count="2" memberValueDatatype="130" unbalanced="0"/>
    <cacheHierarchy uniqueName="[Customers_].[Street Number]" caption="Street Number" attribute="1" defaultMemberUniqueName="[Customers_].[Street Number].[All]" allUniqueName="[Customers_].[Street Number].[All]" dimensionUniqueName="[Customers_]" displayFolder="" count="2" memberValueDatatype="20" unbalanced="0"/>
    <cacheHierarchy uniqueName="[Customers_].[Street Name]" caption="Street Name" attribute="1" defaultMemberUniqueName="[Customers_].[Street Name].[All]" allUniqueName="[Customers_].[Street Name].[All]" dimensionUniqueName="[Customers_]" displayFolder="" count="2" memberValueDatatype="130" unbalanced="0"/>
    <cacheHierarchy uniqueName="[Customers_].[City]" caption="City" attribute="1" defaultMemberUniqueName="[Customers_].[City].[All]" allUniqueName="[Customers_].[City].[All]" dimensionUniqueName="[Customers_]" displayFolder="" count="2" memberValueDatatype="130" unbalanced="0"/>
    <cacheHierarchy uniqueName="[Customers_].[Postal Code]" caption="Postal Code" attribute="1" defaultMemberUniqueName="[Customers_].[Postal Code].[All]" allUniqueName="[Customers_].[Postal Code].[All]" dimensionUniqueName="[Customers_]" displayFolder="" count="2" memberValueDatatype="20" unbalanced="0"/>
    <cacheHierarchy uniqueName="[Customers_].[Sales Price (Per unit)]" caption="Sales Price (Per unit)" attribute="1" defaultMemberUniqueName="[Customers_].[Sales Price (Per unit)].[All]" allUniqueName="[Customers_].[Sales Price (Per unit)].[All]" dimensionUniqueName="[Customers_]" displayFolder="" count="2" memberValueDatatype="20" unbalanced="0"/>
    <cacheHierarchy uniqueName="[Customers_].[Sale Price]" caption="Sale Price" attribute="1" defaultMemberUniqueName="[Customers_].[Sale Price].[All]" allUniqueName="[Customers_].[Sale Price].[All]" dimensionUniqueName="[Customers_]" displayFolder="" count="2" memberValueDatatype="20" unbalanced="0"/>
    <cacheHierarchy uniqueName="[Customers_].[Phone]" caption="Phone" attribute="1" defaultMemberUniqueName="[Customers_].[Phone].[All]" allUniqueName="[Customers_].[Phone].[All]" dimensionUniqueName="[Customers_]" displayFolder="" count="2" memberValueDatatype="130" unbalanced="0">
      <fieldsUsage count="2">
        <fieldUsage x="-1"/>
        <fieldUsage x="1"/>
      </fieldsUsage>
    </cacheHierarchy>
    <cacheHierarchy uniqueName="[Range].[Customer Full Name]" caption="Customer Full Name" attribute="1" defaultMemberUniqueName="[Range].[Customer Full Name].[All]" allUniqueName="[Range].[Customer Full Name].[All]" dimensionUniqueName="[Range]" displayFolder="" count="2" memberValueDatatype="130" unbalanced="0"/>
    <cacheHierarchy uniqueName="[Measures].[__XL_Count Range]" caption="__XL_Count Range" measure="1" displayFolder="" measureGroup="Range" count="0" hidden="1"/>
    <cacheHierarchy uniqueName="[Measures].[__XL_Count Customers_]" caption="__XL_Count Customers_" measure="1" displayFolder="" measureGroup="Customers_" count="0" hidden="1"/>
    <cacheHierarchy uniqueName="[Measures].[__No measures defined]" caption="__No measures defined" measure="1" displayFolder="" count="0" hidden="1"/>
    <cacheHierarchy uniqueName="[Measures].[Sum of Sale Price]" caption="Sum of Sale Price" measure="1" displayFolder="" measureGroup="Customers_" count="0" oneField="1" hidden="1">
      <fieldsUsage count="1">
        <fieldUsage x="2"/>
      </fieldsUsage>
      <extLst>
        <ext xmlns:x15="http://schemas.microsoft.com/office/spreadsheetml/2010/11/main" uri="{B97F6D7D-B522-45F9-BDA1-12C45D357490}">
          <x15:cacheHierarchy aggregatedColumn="15"/>
        </ext>
      </extLst>
    </cacheHierarchy>
  </cacheHierarchies>
  <kpis count="0"/>
  <dimensions count="3">
    <dimension name="Customers_" uniqueName="[Customers_]" caption="Customers_"/>
    <dimension measure="1" name="Measures" uniqueName="[Measures]" caption="Measures"/>
    <dimension name="Range" uniqueName="[Range]" caption="Range"/>
  </dimensions>
  <measureGroups count="2">
    <measureGroup name="Customers_" caption="Customers_"/>
    <measureGroup name="Range" caption="Range"/>
  </measureGroups>
  <maps count="2">
    <map measureGroup="0" dimension="0"/>
    <map measureGroup="1"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1">
  <r>
    <x v="0"/>
  </r>
  <r>
    <x v="0"/>
  </r>
  <r>
    <x v="0"/>
  </r>
  <r>
    <x v="1"/>
  </r>
  <r>
    <x v="0"/>
  </r>
  <r>
    <x v="0"/>
  </r>
  <r>
    <x v="0"/>
  </r>
  <r>
    <x v="0"/>
  </r>
  <r>
    <x v="1"/>
  </r>
  <r>
    <x v="1"/>
  </r>
  <r>
    <x v="0"/>
  </r>
  <r>
    <x v="0"/>
  </r>
  <r>
    <x v="1"/>
  </r>
  <r>
    <x v="2"/>
  </r>
  <r>
    <x v="1"/>
  </r>
  <r>
    <x v="2"/>
  </r>
  <r>
    <x v="0"/>
  </r>
  <r>
    <x v="2"/>
  </r>
  <r>
    <x v="0"/>
  </r>
  <r>
    <x v="1"/>
  </r>
  <r>
    <x v="2"/>
  </r>
  <r>
    <x v="0"/>
  </r>
  <r>
    <x v="1"/>
  </r>
  <r>
    <x v="0"/>
  </r>
  <r>
    <x v="1"/>
  </r>
  <r>
    <x v="2"/>
  </r>
  <r>
    <x v="2"/>
  </r>
  <r>
    <x v="2"/>
  </r>
  <r>
    <x v="2"/>
  </r>
  <r>
    <x v="0"/>
  </r>
  <r>
    <x v="2"/>
  </r>
  <r>
    <x v="1"/>
  </r>
  <r>
    <x v="2"/>
  </r>
  <r>
    <x v="0"/>
  </r>
  <r>
    <x v="0"/>
  </r>
  <r>
    <x v="0"/>
  </r>
  <r>
    <x v="0"/>
  </r>
  <r>
    <x v="0"/>
  </r>
  <r>
    <x v="0"/>
  </r>
  <r>
    <x v="1"/>
  </r>
  <r>
    <x v="0"/>
  </r>
  <r>
    <x v="0"/>
  </r>
  <r>
    <x v="0"/>
  </r>
  <r>
    <x v="0"/>
  </r>
  <r>
    <x v="1"/>
  </r>
  <r>
    <x v="2"/>
  </r>
  <r>
    <x v="1"/>
  </r>
  <r>
    <x v="1"/>
  </r>
  <r>
    <x v="1"/>
  </r>
  <r>
    <x v="0"/>
  </r>
  <r>
    <x v="2"/>
  </r>
  <r>
    <x v="0"/>
  </r>
  <r>
    <x v="1"/>
  </r>
  <r>
    <x v="0"/>
  </r>
  <r>
    <x v="2"/>
  </r>
  <r>
    <x v="1"/>
  </r>
  <r>
    <x v="2"/>
  </r>
  <r>
    <x v="0"/>
  </r>
  <r>
    <x v="2"/>
  </r>
  <r>
    <x v="1"/>
  </r>
  <r>
    <x v="0"/>
  </r>
  <r>
    <x v="1"/>
  </r>
  <r>
    <x v="0"/>
  </r>
  <r>
    <x v="2"/>
  </r>
  <r>
    <x v="0"/>
  </r>
  <r>
    <x v="1"/>
  </r>
  <r>
    <x v="1"/>
  </r>
  <r>
    <x v="0"/>
  </r>
  <r>
    <x v="0"/>
  </r>
  <r>
    <x v="2"/>
  </r>
  <r>
    <x v="1"/>
  </r>
  <r>
    <x v="2"/>
  </r>
  <r>
    <x v="2"/>
  </r>
  <r>
    <x v="2"/>
  </r>
  <r>
    <x v="2"/>
  </r>
  <r>
    <x v="2"/>
  </r>
  <r>
    <x v="1"/>
  </r>
  <r>
    <x v="1"/>
  </r>
  <r>
    <x v="0"/>
  </r>
  <r>
    <x v="1"/>
  </r>
  <r>
    <x v="1"/>
  </r>
  <r>
    <x v="1"/>
  </r>
  <r>
    <x v="1"/>
  </r>
  <r>
    <x v="1"/>
  </r>
  <r>
    <x v="1"/>
  </r>
  <r>
    <x v="2"/>
  </r>
  <r>
    <x v="1"/>
  </r>
  <r>
    <x v="1"/>
  </r>
  <r>
    <x v="1"/>
  </r>
  <r>
    <x v="1"/>
  </r>
  <r>
    <x v="1"/>
  </r>
  <r>
    <x v="1"/>
  </r>
  <r>
    <x v="1"/>
  </r>
  <r>
    <x v="0"/>
  </r>
  <r>
    <x v="1"/>
  </r>
  <r>
    <x v="2"/>
  </r>
  <r>
    <x v="0"/>
  </r>
  <r>
    <x v="0"/>
  </r>
  <r>
    <x v="0"/>
  </r>
  <r>
    <x v="2"/>
  </r>
  <r>
    <x v="1"/>
  </r>
  <r>
    <x v="0"/>
  </r>
  <r>
    <x v="0"/>
  </r>
  <r>
    <x v="1"/>
  </r>
  <r>
    <x v="0"/>
  </r>
  <r>
    <x v="0"/>
  </r>
  <r>
    <x v="2"/>
  </r>
  <r>
    <x v="1"/>
  </r>
  <r>
    <x v="1"/>
  </r>
  <r>
    <x v="2"/>
  </r>
  <r>
    <x v="0"/>
  </r>
  <r>
    <x v="0"/>
  </r>
  <r>
    <x v="1"/>
  </r>
  <r>
    <x v="0"/>
  </r>
  <r>
    <x v="2"/>
  </r>
  <r>
    <x v="1"/>
  </r>
  <r>
    <x v="0"/>
  </r>
  <r>
    <x v="2"/>
  </r>
  <r>
    <x v="0"/>
  </r>
  <r>
    <x v="0"/>
  </r>
  <r>
    <x v="0"/>
  </r>
  <r>
    <x v="1"/>
  </r>
  <r>
    <x v="1"/>
  </r>
  <r>
    <x v="0"/>
  </r>
  <r>
    <x v="1"/>
  </r>
  <r>
    <x v="0"/>
  </r>
  <r>
    <x v="0"/>
  </r>
  <r>
    <x v="0"/>
  </r>
  <r>
    <x v="2"/>
  </r>
  <r>
    <x v="0"/>
  </r>
  <r>
    <x v="1"/>
  </r>
  <r>
    <x v="0"/>
  </r>
  <r>
    <x v="2"/>
  </r>
  <r>
    <x v="2"/>
  </r>
  <r>
    <x v="1"/>
  </r>
  <r>
    <x v="2"/>
  </r>
  <r>
    <x v="1"/>
  </r>
  <r>
    <x v="2"/>
  </r>
  <r>
    <x v="1"/>
  </r>
  <r>
    <x v="1"/>
  </r>
  <r>
    <x v="0"/>
  </r>
  <r>
    <x v="2"/>
  </r>
  <r>
    <x v="2"/>
  </r>
  <r>
    <x v="1"/>
  </r>
  <r>
    <x v="0"/>
  </r>
  <r>
    <x v="0"/>
  </r>
  <r>
    <x v="1"/>
  </r>
  <r>
    <x v="1"/>
  </r>
  <r>
    <x v="0"/>
  </r>
  <r>
    <x v="1"/>
  </r>
  <r>
    <x v="1"/>
  </r>
  <r>
    <x v="0"/>
  </r>
  <r>
    <x v="1"/>
  </r>
  <r>
    <x v="2"/>
  </r>
  <r>
    <x v="0"/>
  </r>
  <r>
    <x v="2"/>
  </r>
  <r>
    <x v="1"/>
  </r>
  <r>
    <x v="2"/>
  </r>
  <r>
    <x v="1"/>
  </r>
  <r>
    <x v="2"/>
  </r>
  <r>
    <x v="1"/>
  </r>
  <r>
    <x v="1"/>
  </r>
  <r>
    <x v="1"/>
  </r>
  <r>
    <x v="0"/>
  </r>
  <r>
    <x v="2"/>
  </r>
  <r>
    <x v="1"/>
  </r>
  <r>
    <x v="0"/>
  </r>
  <r>
    <x v="2"/>
  </r>
  <r>
    <x v="0"/>
  </r>
  <r>
    <x v="0"/>
  </r>
  <r>
    <x v="1"/>
  </r>
  <r>
    <x v="1"/>
  </r>
  <r>
    <x v="2"/>
  </r>
  <r>
    <x v="1"/>
  </r>
  <r>
    <x v="0"/>
  </r>
  <r>
    <x v="0"/>
  </r>
  <r>
    <x v="1"/>
  </r>
  <r>
    <x v="1"/>
  </r>
  <r>
    <x v="1"/>
  </r>
  <r>
    <x v="2"/>
  </r>
  <r>
    <x v="1"/>
  </r>
  <r>
    <x v="2"/>
  </r>
  <r>
    <x v="0"/>
  </r>
  <r>
    <x v="0"/>
  </r>
  <r>
    <x v="0"/>
  </r>
  <r>
    <x v="1"/>
  </r>
  <r>
    <x v="1"/>
  </r>
  <r>
    <x v="1"/>
  </r>
  <r>
    <x v="2"/>
  </r>
  <r>
    <x v="0"/>
  </r>
  <r>
    <x v="1"/>
  </r>
  <r>
    <x v="1"/>
  </r>
  <r>
    <x v="1"/>
  </r>
  <r>
    <x v="2"/>
  </r>
  <r>
    <x v="1"/>
  </r>
  <r>
    <x v="0"/>
  </r>
  <r>
    <x v="1"/>
  </r>
  <r>
    <x v="2"/>
  </r>
  <r>
    <x v="1"/>
  </r>
  <r>
    <x v="2"/>
  </r>
  <r>
    <x v="2"/>
  </r>
  <r>
    <x v="0"/>
  </r>
  <r>
    <x v="2"/>
  </r>
  <r>
    <x v="1"/>
  </r>
  <r>
    <x v="2"/>
  </r>
  <r>
    <x v="0"/>
  </r>
  <r>
    <x v="2"/>
  </r>
  <r>
    <x v="2"/>
  </r>
  <r>
    <x v="0"/>
  </r>
  <r>
    <x v="0"/>
  </r>
  <r>
    <x v="0"/>
  </r>
  <r>
    <x v="2"/>
  </r>
  <r>
    <x v="0"/>
  </r>
  <r>
    <x v="1"/>
  </r>
  <r>
    <x v="2"/>
  </r>
  <r>
    <x v="0"/>
  </r>
  <r>
    <x v="0"/>
  </r>
  <r>
    <x v="0"/>
  </r>
  <r>
    <x v="0"/>
  </r>
  <r>
    <x v="0"/>
  </r>
  <r>
    <x v="2"/>
  </r>
  <r>
    <x v="2"/>
  </r>
  <r>
    <x v="0"/>
  </r>
  <r>
    <x v="0"/>
  </r>
  <r>
    <x v="0"/>
  </r>
  <r>
    <x v="1"/>
  </r>
  <r>
    <x v="0"/>
  </r>
  <r>
    <x v="2"/>
  </r>
  <r>
    <x v="0"/>
  </r>
  <r>
    <x v="1"/>
  </r>
  <r>
    <x v="0"/>
  </r>
  <r>
    <x v="2"/>
  </r>
  <r>
    <x v="2"/>
  </r>
  <r>
    <x v="0"/>
  </r>
  <r>
    <x v="0"/>
  </r>
  <r>
    <x v="2"/>
  </r>
  <r>
    <x v="0"/>
  </r>
  <r>
    <x v="2"/>
  </r>
  <r>
    <x v="0"/>
  </r>
  <r>
    <x v="0"/>
  </r>
  <r>
    <x v="0"/>
  </r>
  <r>
    <x v="0"/>
  </r>
  <r>
    <x v="2"/>
  </r>
  <r>
    <x v="0"/>
  </r>
  <r>
    <x v="0"/>
  </r>
  <r>
    <x v="1"/>
  </r>
  <r>
    <x v="1"/>
  </r>
  <r>
    <x v="2"/>
  </r>
  <r>
    <x v="0"/>
  </r>
  <r>
    <x v="2"/>
  </r>
  <r>
    <x v="0"/>
  </r>
  <r>
    <x v="2"/>
  </r>
  <r>
    <x v="2"/>
  </r>
  <r>
    <x v="0"/>
  </r>
  <r>
    <x v="1"/>
  </r>
  <r>
    <x v="2"/>
  </r>
  <r>
    <x v="0"/>
  </r>
  <r>
    <x v="0"/>
  </r>
  <r>
    <x v="0"/>
  </r>
  <r>
    <x v="0"/>
  </r>
  <r>
    <x v="1"/>
  </r>
  <r>
    <x v="2"/>
  </r>
  <r>
    <x v="1"/>
  </r>
  <r>
    <x v="0"/>
  </r>
  <r>
    <x v="1"/>
  </r>
  <r>
    <x v="1"/>
  </r>
  <r>
    <x v="1"/>
  </r>
  <r>
    <x v="0"/>
  </r>
  <r>
    <x v="1"/>
  </r>
  <r>
    <x v="1"/>
  </r>
  <r>
    <x v="0"/>
  </r>
  <r>
    <x v="2"/>
  </r>
  <r>
    <x v="2"/>
  </r>
  <r>
    <x v="0"/>
  </r>
  <r>
    <x v="0"/>
  </r>
  <r>
    <x v="2"/>
  </r>
  <r>
    <x v="2"/>
  </r>
  <r>
    <x v="0"/>
  </r>
  <r>
    <x v="1"/>
  </r>
  <r>
    <x v="2"/>
  </r>
  <r>
    <x v="2"/>
  </r>
  <r>
    <x v="2"/>
  </r>
  <r>
    <x v="0"/>
  </r>
  <r>
    <x v="1"/>
  </r>
  <r>
    <x v="0"/>
  </r>
  <r>
    <x v="2"/>
  </r>
  <r>
    <x v="2"/>
  </r>
  <r>
    <x v="2"/>
  </r>
  <r>
    <x v="0"/>
  </r>
  <r>
    <x v="1"/>
  </r>
  <r>
    <x v="2"/>
  </r>
  <r>
    <x v="0"/>
  </r>
  <r>
    <x v="0"/>
  </r>
  <r>
    <x v="2"/>
  </r>
  <r>
    <x v="1"/>
  </r>
  <r>
    <x v="2"/>
  </r>
  <r>
    <x v="0"/>
  </r>
  <r>
    <x v="1"/>
  </r>
  <r>
    <x v="1"/>
  </r>
  <r>
    <x v="1"/>
  </r>
  <r>
    <x v="2"/>
  </r>
  <r>
    <x v="0"/>
  </r>
  <r>
    <x v="0"/>
  </r>
  <r>
    <x v="2"/>
  </r>
  <r>
    <x v="1"/>
  </r>
  <r>
    <x v="0"/>
  </r>
  <r>
    <x v="1"/>
  </r>
  <r>
    <x v="1"/>
  </r>
  <r>
    <x v="2"/>
  </r>
  <r>
    <x v="1"/>
  </r>
  <r>
    <x v="1"/>
  </r>
  <r>
    <x v="1"/>
  </r>
  <r>
    <x v="0"/>
  </r>
  <r>
    <x v="2"/>
  </r>
  <r>
    <x v="1"/>
  </r>
  <r>
    <x v="1"/>
  </r>
  <r>
    <x v="1"/>
  </r>
  <r>
    <x v="2"/>
  </r>
  <r>
    <x v="1"/>
  </r>
  <r>
    <x v="0"/>
  </r>
  <r>
    <x v="2"/>
  </r>
  <r>
    <x v="1"/>
  </r>
  <r>
    <x v="0"/>
  </r>
  <r>
    <x v="2"/>
  </r>
  <r>
    <x v="0"/>
  </r>
  <r>
    <x v="1"/>
  </r>
  <r>
    <x v="1"/>
  </r>
  <r>
    <x v="0"/>
  </r>
  <r>
    <x v="1"/>
  </r>
  <r>
    <x v="2"/>
  </r>
  <r>
    <x v="2"/>
  </r>
  <r>
    <x v="0"/>
  </r>
  <r>
    <x v="1"/>
  </r>
  <r>
    <x v="2"/>
  </r>
  <r>
    <x v="2"/>
  </r>
  <r>
    <x v="0"/>
  </r>
  <r>
    <x v="2"/>
  </r>
  <r>
    <x v="2"/>
  </r>
  <r>
    <x v="0"/>
  </r>
  <r>
    <x v="0"/>
  </r>
  <r>
    <x v="0"/>
  </r>
  <r>
    <x v="0"/>
  </r>
  <r>
    <x v="2"/>
  </r>
  <r>
    <x v="2"/>
  </r>
  <r>
    <x v="1"/>
  </r>
  <r>
    <x v="2"/>
  </r>
  <r>
    <x v="1"/>
  </r>
  <r>
    <x v="2"/>
  </r>
  <r>
    <x v="1"/>
  </r>
  <r>
    <x v="2"/>
  </r>
  <r>
    <x v="0"/>
  </r>
  <r>
    <x v="0"/>
  </r>
  <r>
    <x v="0"/>
  </r>
  <r>
    <x v="0"/>
  </r>
  <r>
    <x v="0"/>
  </r>
  <r>
    <x v="0"/>
  </r>
  <r>
    <x v="1"/>
  </r>
  <r>
    <x v="0"/>
  </r>
  <r>
    <x v="0"/>
  </r>
  <r>
    <x v="2"/>
  </r>
  <r>
    <x v="0"/>
  </r>
  <r>
    <x v="2"/>
  </r>
  <r>
    <x v="0"/>
  </r>
  <r>
    <x v="0"/>
  </r>
  <r>
    <x v="2"/>
  </r>
  <r>
    <x v="2"/>
  </r>
  <r>
    <x v="2"/>
  </r>
  <r>
    <x v="2"/>
  </r>
  <r>
    <x v="1"/>
  </r>
  <r>
    <x v="2"/>
  </r>
  <r>
    <x v="0"/>
  </r>
  <r>
    <x v="1"/>
  </r>
  <r>
    <x v="0"/>
  </r>
  <r>
    <x v="1"/>
  </r>
  <r>
    <x v="1"/>
  </r>
  <r>
    <x v="1"/>
  </r>
  <r>
    <x v="0"/>
  </r>
  <r>
    <x v="1"/>
  </r>
  <r>
    <x v="1"/>
  </r>
  <r>
    <x v="2"/>
  </r>
  <r>
    <x v="1"/>
  </r>
  <r>
    <x v="0"/>
  </r>
  <r>
    <x v="0"/>
  </r>
  <r>
    <x v="1"/>
  </r>
  <r>
    <x v="1"/>
  </r>
  <r>
    <x v="2"/>
  </r>
  <r>
    <x v="1"/>
  </r>
  <r>
    <x v="1"/>
  </r>
  <r>
    <x v="1"/>
  </r>
  <r>
    <x v="0"/>
  </r>
  <r>
    <x v="2"/>
  </r>
  <r>
    <x v="0"/>
  </r>
  <r>
    <x v="2"/>
  </r>
  <r>
    <x v="0"/>
  </r>
  <r>
    <x v="2"/>
  </r>
  <r>
    <x v="0"/>
  </r>
  <r>
    <x v="0"/>
  </r>
  <r>
    <x v="2"/>
  </r>
  <r>
    <x v="0"/>
  </r>
  <r>
    <x v="2"/>
  </r>
  <r>
    <x v="0"/>
  </r>
  <r>
    <x v="2"/>
  </r>
  <r>
    <x v="2"/>
  </r>
  <r>
    <x v="1"/>
  </r>
  <r>
    <x v="0"/>
  </r>
  <r>
    <x v="1"/>
  </r>
  <r>
    <x v="2"/>
  </r>
  <r>
    <x v="1"/>
  </r>
  <r>
    <x v="2"/>
  </r>
  <r>
    <x v="2"/>
  </r>
  <r>
    <x v="1"/>
  </r>
  <r>
    <x v="1"/>
  </r>
  <r>
    <x v="1"/>
  </r>
  <r>
    <x v="0"/>
  </r>
  <r>
    <x v="2"/>
  </r>
  <r>
    <x v="1"/>
  </r>
  <r>
    <x v="2"/>
  </r>
  <r>
    <x v="0"/>
  </r>
  <r>
    <x v="2"/>
  </r>
  <r>
    <x v="0"/>
  </r>
  <r>
    <x v="1"/>
  </r>
  <r>
    <x v="0"/>
  </r>
  <r>
    <x v="0"/>
  </r>
  <r>
    <x v="0"/>
  </r>
  <r>
    <x v="1"/>
  </r>
  <r>
    <x v="0"/>
  </r>
  <r>
    <x v="1"/>
  </r>
  <r>
    <x v="0"/>
  </r>
  <r>
    <x v="0"/>
  </r>
  <r>
    <x v="1"/>
  </r>
  <r>
    <x v="0"/>
  </r>
  <r>
    <x v="1"/>
  </r>
  <r>
    <x v="1"/>
  </r>
  <r>
    <x v="0"/>
  </r>
  <r>
    <x v="2"/>
  </r>
  <r>
    <x v="2"/>
  </r>
  <r>
    <x v="2"/>
  </r>
  <r>
    <x v="1"/>
  </r>
  <r>
    <x v="2"/>
  </r>
  <r>
    <x v="1"/>
  </r>
  <r>
    <x v="2"/>
  </r>
  <r>
    <x v="1"/>
  </r>
  <r>
    <x v="1"/>
  </r>
  <r>
    <x v="0"/>
  </r>
  <r>
    <x v="1"/>
  </r>
  <r>
    <x v="0"/>
  </r>
  <r>
    <x v="1"/>
  </r>
  <r>
    <x v="2"/>
  </r>
  <r>
    <x v="2"/>
  </r>
  <r>
    <x v="0"/>
  </r>
  <r>
    <x v="1"/>
  </r>
  <r>
    <x v="0"/>
  </r>
  <r>
    <x v="2"/>
  </r>
  <r>
    <x v="0"/>
  </r>
  <r>
    <x v="1"/>
  </r>
  <r>
    <x v="2"/>
  </r>
  <r>
    <x v="2"/>
  </r>
  <r>
    <x v="2"/>
  </r>
  <r>
    <x v="0"/>
  </r>
  <r>
    <x v="1"/>
  </r>
  <r>
    <x v="2"/>
  </r>
  <r>
    <x v="1"/>
  </r>
  <r>
    <x v="2"/>
  </r>
  <r>
    <x v="0"/>
  </r>
  <r>
    <x v="0"/>
  </r>
  <r>
    <x v="2"/>
  </r>
  <r>
    <x v="1"/>
  </r>
  <r>
    <x v="1"/>
  </r>
  <r>
    <x v="1"/>
  </r>
  <r>
    <x v="1"/>
  </r>
  <r>
    <x v="2"/>
  </r>
  <r>
    <x v="0"/>
  </r>
  <r>
    <x v="0"/>
  </r>
  <r>
    <x v="0"/>
  </r>
  <r>
    <x v="0"/>
  </r>
  <r>
    <x v="0"/>
  </r>
  <r>
    <x v="1"/>
  </r>
  <r>
    <x v="0"/>
  </r>
  <r>
    <x v="1"/>
  </r>
  <r>
    <x v="1"/>
  </r>
  <r>
    <x v="2"/>
  </r>
  <r>
    <x v="1"/>
  </r>
  <r>
    <x v="2"/>
  </r>
  <r>
    <x v="2"/>
  </r>
  <r>
    <x v="1"/>
  </r>
  <r>
    <x v="0"/>
  </r>
  <r>
    <x v="0"/>
  </r>
  <r>
    <x v="0"/>
  </r>
  <r>
    <x v="0"/>
  </r>
  <r>
    <x v="2"/>
  </r>
  <r>
    <x v="0"/>
  </r>
  <r>
    <x v="0"/>
  </r>
  <r>
    <x v="2"/>
  </r>
  <r>
    <x v="2"/>
  </r>
  <r>
    <x v="0"/>
  </r>
  <r>
    <x v="2"/>
  </r>
  <r>
    <x v="0"/>
  </r>
  <r>
    <x v="1"/>
  </r>
  <r>
    <x v="2"/>
  </r>
  <r>
    <x v="1"/>
  </r>
  <r>
    <x v="0"/>
  </r>
  <r>
    <x v="0"/>
  </r>
  <r>
    <x v="2"/>
  </r>
  <r>
    <x v="1"/>
  </r>
  <r>
    <x v="1"/>
  </r>
  <r>
    <x v="2"/>
  </r>
  <r>
    <x v="0"/>
  </r>
  <r>
    <x v="2"/>
  </r>
  <r>
    <x v="1"/>
  </r>
  <r>
    <x v="2"/>
  </r>
  <r>
    <x v="0"/>
  </r>
  <r>
    <x v="1"/>
  </r>
  <r>
    <x v="1"/>
  </r>
  <r>
    <x v="1"/>
  </r>
  <r>
    <x v="1"/>
  </r>
  <r>
    <x v="2"/>
  </r>
  <r>
    <x v="2"/>
  </r>
  <r>
    <x v="0"/>
  </r>
  <r>
    <x v="1"/>
  </r>
  <r>
    <x v="1"/>
  </r>
  <r>
    <x v="1"/>
  </r>
  <r>
    <x v="2"/>
  </r>
  <r>
    <x v="0"/>
  </r>
  <r>
    <x v="0"/>
  </r>
  <r>
    <x v="2"/>
  </r>
  <r>
    <x v="2"/>
  </r>
  <r>
    <x v="0"/>
  </r>
  <r>
    <x v="2"/>
  </r>
  <r>
    <x v="2"/>
  </r>
  <r>
    <x v="2"/>
  </r>
  <r>
    <x v="0"/>
  </r>
  <r>
    <x v="0"/>
  </r>
  <r>
    <x v="1"/>
  </r>
  <r>
    <x v="2"/>
  </r>
  <r>
    <x v="0"/>
  </r>
  <r>
    <x v="0"/>
  </r>
  <r>
    <x v="1"/>
  </r>
  <r>
    <x v="1"/>
  </r>
  <r>
    <x v="0"/>
  </r>
  <r>
    <x v="2"/>
  </r>
  <r>
    <x v="2"/>
  </r>
  <r>
    <x v="1"/>
  </r>
  <r>
    <x v="1"/>
  </r>
  <r>
    <x v="2"/>
  </r>
  <r>
    <x v="0"/>
  </r>
  <r>
    <x v="0"/>
  </r>
  <r>
    <x v="0"/>
  </r>
  <r>
    <x v="0"/>
  </r>
  <r>
    <x v="2"/>
  </r>
  <r>
    <x v="1"/>
  </r>
  <r>
    <x v="2"/>
  </r>
  <r>
    <x v="0"/>
  </r>
  <r>
    <x v="1"/>
  </r>
  <r>
    <x v="1"/>
  </r>
  <r>
    <x v="1"/>
  </r>
  <r>
    <x v="0"/>
  </r>
  <r>
    <x v="1"/>
  </r>
  <r>
    <x v="2"/>
  </r>
  <r>
    <x v="2"/>
  </r>
  <r>
    <x v="2"/>
  </r>
  <r>
    <x v="2"/>
  </r>
  <r>
    <x v="2"/>
  </r>
  <r>
    <x v="0"/>
  </r>
  <r>
    <x v="1"/>
  </r>
  <r>
    <x v="1"/>
  </r>
  <r>
    <x v="1"/>
  </r>
  <r>
    <x v="1"/>
  </r>
  <r>
    <x v="0"/>
  </r>
  <r>
    <x v="0"/>
  </r>
  <r>
    <x v="1"/>
  </r>
  <r>
    <x v="2"/>
  </r>
  <r>
    <x v="0"/>
  </r>
  <r>
    <x v="2"/>
  </r>
  <r>
    <x v="0"/>
  </r>
  <r>
    <x v="2"/>
  </r>
  <r>
    <x v="1"/>
  </r>
  <r>
    <x v="2"/>
  </r>
  <r>
    <x v="0"/>
  </r>
  <r>
    <x v="1"/>
  </r>
  <r>
    <x v="1"/>
  </r>
  <r>
    <x v="1"/>
  </r>
  <r>
    <x v="2"/>
  </r>
  <r>
    <x v="0"/>
  </r>
  <r>
    <x v="2"/>
  </r>
  <r>
    <x v="0"/>
  </r>
  <r>
    <x v="1"/>
  </r>
  <r>
    <x v="2"/>
  </r>
  <r>
    <x v="0"/>
  </r>
  <r>
    <x v="0"/>
  </r>
  <r>
    <x v="0"/>
  </r>
  <r>
    <x v="1"/>
  </r>
  <r>
    <x v="0"/>
  </r>
  <r>
    <x v="0"/>
  </r>
  <r>
    <x v="1"/>
  </r>
  <r>
    <x v="1"/>
  </r>
  <r>
    <x v="1"/>
  </r>
  <r>
    <x v="1"/>
  </r>
  <r>
    <x v="0"/>
  </r>
  <r>
    <x v="2"/>
  </r>
  <r>
    <x v="0"/>
  </r>
  <r>
    <x v="0"/>
  </r>
  <r>
    <x v="1"/>
  </r>
  <r>
    <x v="1"/>
  </r>
  <r>
    <x v="1"/>
  </r>
  <r>
    <x v="1"/>
  </r>
  <r>
    <x v="1"/>
  </r>
  <r>
    <x v="1"/>
  </r>
  <r>
    <x v="1"/>
  </r>
  <r>
    <x v="0"/>
  </r>
  <r>
    <x v="2"/>
  </r>
  <r>
    <x v="2"/>
  </r>
  <r>
    <x v="1"/>
  </r>
  <r>
    <x v="0"/>
  </r>
  <r>
    <x v="2"/>
  </r>
  <r>
    <x v="1"/>
  </r>
  <r>
    <x v="2"/>
  </r>
  <r>
    <x v="2"/>
  </r>
  <r>
    <x v="1"/>
  </r>
  <r>
    <x v="2"/>
  </r>
  <r>
    <x v="1"/>
  </r>
  <r>
    <x v="1"/>
  </r>
  <r>
    <x v="1"/>
  </r>
  <r>
    <x v="1"/>
  </r>
  <r>
    <x v="2"/>
  </r>
  <r>
    <x v="0"/>
  </r>
  <r>
    <x v="1"/>
  </r>
  <r>
    <x v="2"/>
  </r>
  <r>
    <x v="2"/>
  </r>
  <r>
    <x v="1"/>
  </r>
  <r>
    <x v="2"/>
  </r>
  <r>
    <x v="1"/>
  </r>
  <r>
    <x v="2"/>
  </r>
  <r>
    <x v="2"/>
  </r>
  <r>
    <x v="1"/>
  </r>
  <r>
    <x v="0"/>
  </r>
  <r>
    <x v="2"/>
  </r>
  <r>
    <x v="1"/>
  </r>
  <r>
    <x v="2"/>
  </r>
  <r>
    <x v="1"/>
  </r>
  <r>
    <x v="1"/>
  </r>
  <r>
    <x v="0"/>
  </r>
  <r>
    <x v="1"/>
  </r>
  <r>
    <x v="2"/>
  </r>
  <r>
    <x v="1"/>
  </r>
  <r>
    <x v="2"/>
  </r>
  <r>
    <x v="0"/>
  </r>
  <r>
    <x v="0"/>
  </r>
  <r>
    <x v="1"/>
  </r>
  <r>
    <x v="0"/>
  </r>
  <r>
    <x v="1"/>
  </r>
  <r>
    <x v="0"/>
  </r>
  <r>
    <x v="0"/>
  </r>
  <r>
    <x v="0"/>
  </r>
  <r>
    <x v="2"/>
  </r>
  <r>
    <x v="1"/>
  </r>
  <r>
    <x v="1"/>
  </r>
  <r>
    <x v="1"/>
  </r>
  <r>
    <x v="0"/>
  </r>
  <r>
    <x v="1"/>
  </r>
  <r>
    <x v="2"/>
  </r>
  <r>
    <x v="0"/>
  </r>
  <r>
    <x v="1"/>
  </r>
  <r>
    <x v="0"/>
  </r>
  <r>
    <x v="0"/>
  </r>
  <r>
    <x v="1"/>
  </r>
  <r>
    <x v="0"/>
  </r>
  <r>
    <x v="2"/>
  </r>
  <r>
    <x v="2"/>
  </r>
  <r>
    <x v="0"/>
  </r>
  <r>
    <x v="0"/>
  </r>
  <r>
    <x v="2"/>
  </r>
  <r>
    <x v="0"/>
  </r>
  <r>
    <x v="0"/>
  </r>
  <r>
    <x v="1"/>
  </r>
  <r>
    <x v="2"/>
  </r>
  <r>
    <x v="1"/>
  </r>
  <r>
    <x v="0"/>
  </r>
  <r>
    <x v="2"/>
  </r>
  <r>
    <x v="0"/>
  </r>
  <r>
    <x v="1"/>
  </r>
  <r>
    <x v="1"/>
  </r>
  <r>
    <x v="0"/>
  </r>
  <r>
    <x v="1"/>
  </r>
  <r>
    <x v="0"/>
  </r>
  <r>
    <x v="1"/>
  </r>
  <r>
    <x v="1"/>
  </r>
  <r>
    <x v="1"/>
  </r>
  <r>
    <x v="1"/>
  </r>
  <r>
    <x v="1"/>
  </r>
  <r>
    <x v="2"/>
  </r>
  <r>
    <x v="0"/>
  </r>
  <r>
    <x v="2"/>
  </r>
  <r>
    <x v="1"/>
  </r>
  <r>
    <x v="2"/>
  </r>
  <r>
    <x v="2"/>
  </r>
  <r>
    <x v="1"/>
  </r>
  <r>
    <x v="1"/>
  </r>
  <r>
    <x v="0"/>
  </r>
  <r>
    <x v="2"/>
  </r>
  <r>
    <x v="2"/>
  </r>
  <r>
    <x v="0"/>
  </r>
  <r>
    <x v="0"/>
  </r>
  <r>
    <x v="2"/>
  </r>
  <r>
    <x v="2"/>
  </r>
  <r>
    <x v="2"/>
  </r>
  <r>
    <x v="2"/>
  </r>
  <r>
    <x v="1"/>
  </r>
  <r>
    <x v="0"/>
  </r>
  <r>
    <x v="1"/>
  </r>
  <r>
    <x v="1"/>
  </r>
  <r>
    <x v="0"/>
  </r>
  <r>
    <x v="0"/>
  </r>
  <r>
    <x v="0"/>
  </r>
  <r>
    <x v="0"/>
  </r>
  <r>
    <x v="0"/>
  </r>
  <r>
    <x v="0"/>
  </r>
  <r>
    <x v="2"/>
  </r>
  <r>
    <x v="1"/>
  </r>
  <r>
    <x v="0"/>
  </r>
  <r>
    <x v="2"/>
  </r>
  <r>
    <x v="2"/>
  </r>
  <r>
    <x v="0"/>
  </r>
  <r>
    <x v="0"/>
  </r>
  <r>
    <x v="2"/>
  </r>
  <r>
    <x v="2"/>
  </r>
  <r>
    <x v="1"/>
  </r>
  <r>
    <x v="0"/>
  </r>
  <r>
    <x v="0"/>
  </r>
  <r>
    <x v="0"/>
  </r>
  <r>
    <x v="1"/>
  </r>
  <r>
    <x v="1"/>
  </r>
  <r>
    <x v="0"/>
  </r>
  <r>
    <x v="1"/>
  </r>
  <r>
    <x v="2"/>
  </r>
  <r>
    <x v="2"/>
  </r>
  <r>
    <x v="1"/>
  </r>
  <r>
    <x v="1"/>
  </r>
  <r>
    <x v="1"/>
  </r>
  <r>
    <x v="2"/>
  </r>
  <r>
    <x v="1"/>
  </r>
  <r>
    <x v="1"/>
  </r>
  <r>
    <x v="2"/>
  </r>
  <r>
    <x v="2"/>
  </r>
  <r>
    <x v="0"/>
  </r>
  <r>
    <x v="0"/>
  </r>
  <r>
    <x v="2"/>
  </r>
  <r>
    <x v="1"/>
  </r>
  <r>
    <x v="1"/>
  </r>
  <r>
    <x v="1"/>
  </r>
  <r>
    <x v="2"/>
  </r>
  <r>
    <x v="0"/>
  </r>
  <r>
    <x v="0"/>
  </r>
  <r>
    <x v="2"/>
  </r>
  <r>
    <x v="2"/>
  </r>
  <r>
    <x v="0"/>
  </r>
  <r>
    <x v="0"/>
  </r>
  <r>
    <x v="0"/>
  </r>
  <r>
    <x v="2"/>
  </r>
  <r>
    <x v="0"/>
  </r>
  <r>
    <x v="2"/>
  </r>
  <r>
    <x v="0"/>
  </r>
  <r>
    <x v="1"/>
  </r>
  <r>
    <x v="0"/>
  </r>
  <r>
    <x v="2"/>
  </r>
  <r>
    <x v="1"/>
  </r>
  <r>
    <x v="1"/>
  </r>
  <r>
    <x v="2"/>
  </r>
  <r>
    <x v="2"/>
  </r>
  <r>
    <x v="0"/>
  </r>
  <r>
    <x v="0"/>
  </r>
  <r>
    <x v="2"/>
  </r>
  <r>
    <x v="1"/>
  </r>
  <r>
    <x v="0"/>
  </r>
  <r>
    <x v="0"/>
  </r>
  <r>
    <x v="1"/>
  </r>
  <r>
    <x v="2"/>
  </r>
  <r>
    <x v="1"/>
  </r>
  <r>
    <x v="0"/>
  </r>
  <r>
    <x v="1"/>
  </r>
  <r>
    <x v="0"/>
  </r>
  <r>
    <x v="0"/>
  </r>
  <r>
    <x v="0"/>
  </r>
  <r>
    <x v="1"/>
  </r>
  <r>
    <x v="0"/>
  </r>
  <r>
    <x v="1"/>
  </r>
  <r>
    <x v="1"/>
  </r>
  <r>
    <x v="0"/>
  </r>
  <r>
    <x v="2"/>
  </r>
  <r>
    <x v="1"/>
  </r>
  <r>
    <x v="0"/>
  </r>
  <r>
    <x v="2"/>
  </r>
  <r>
    <x v="1"/>
  </r>
  <r>
    <x v="1"/>
  </r>
  <r>
    <x v="2"/>
  </r>
  <r>
    <x v="0"/>
  </r>
  <r>
    <x v="2"/>
  </r>
  <r>
    <x v="1"/>
  </r>
  <r>
    <x v="2"/>
  </r>
  <r>
    <x v="0"/>
  </r>
  <r>
    <x v="1"/>
  </r>
  <r>
    <x v="0"/>
  </r>
  <r>
    <x v="0"/>
  </r>
  <r>
    <x v="2"/>
  </r>
  <r>
    <x v="1"/>
  </r>
  <r>
    <x v="0"/>
  </r>
  <r>
    <x v="0"/>
  </r>
  <r>
    <x v="1"/>
  </r>
  <r>
    <x v="0"/>
  </r>
  <r>
    <x v="0"/>
  </r>
  <r>
    <x v="2"/>
  </r>
  <r>
    <x v="1"/>
  </r>
  <r>
    <x v="0"/>
  </r>
  <r>
    <x v="1"/>
  </r>
  <r>
    <x v="0"/>
  </r>
  <r>
    <x v="0"/>
  </r>
  <r>
    <x v="2"/>
  </r>
  <r>
    <x v="1"/>
  </r>
  <r>
    <x v="0"/>
  </r>
  <r>
    <x v="0"/>
  </r>
  <r>
    <x v="2"/>
  </r>
  <r>
    <x v="1"/>
  </r>
  <r>
    <x v="1"/>
  </r>
  <r>
    <x v="2"/>
  </r>
  <r>
    <x v="1"/>
  </r>
  <r>
    <x v="1"/>
  </r>
  <r>
    <x v="0"/>
  </r>
  <r>
    <x v="1"/>
  </r>
  <r>
    <x v="2"/>
  </r>
  <r>
    <x v="0"/>
  </r>
  <r>
    <x v="2"/>
  </r>
  <r>
    <x v="0"/>
  </r>
  <r>
    <x v="1"/>
  </r>
  <r>
    <x v="2"/>
  </r>
  <r>
    <x v="2"/>
  </r>
  <r>
    <x v="0"/>
  </r>
  <r>
    <x v="2"/>
  </r>
  <r>
    <x v="2"/>
  </r>
  <r>
    <x v="0"/>
  </r>
  <r>
    <x v="1"/>
  </r>
  <r>
    <x v="2"/>
  </r>
  <r>
    <x v="2"/>
  </r>
  <r>
    <x v="0"/>
  </r>
  <r>
    <x v="1"/>
  </r>
  <r>
    <x v="1"/>
  </r>
  <r>
    <x v="1"/>
  </r>
  <r>
    <x v="1"/>
  </r>
  <r>
    <x v="1"/>
  </r>
  <r>
    <x v="1"/>
  </r>
  <r>
    <x v="2"/>
  </r>
  <r>
    <x v="0"/>
  </r>
  <r>
    <x v="0"/>
  </r>
  <r>
    <x v="1"/>
  </r>
  <r>
    <x v="2"/>
  </r>
  <r>
    <x v="2"/>
  </r>
  <r>
    <x v="2"/>
  </r>
  <r>
    <x v="2"/>
  </r>
  <r>
    <x v="0"/>
  </r>
  <r>
    <x v="2"/>
  </r>
  <r>
    <x v="2"/>
  </r>
  <r>
    <x v="2"/>
  </r>
  <r>
    <x v="0"/>
  </r>
  <r>
    <x v="2"/>
  </r>
  <r>
    <x v="1"/>
  </r>
  <r>
    <x v="1"/>
  </r>
  <r>
    <x v="2"/>
  </r>
  <r>
    <x v="2"/>
  </r>
  <r>
    <x v="0"/>
  </r>
  <r>
    <x v="2"/>
  </r>
  <r>
    <x v="1"/>
  </r>
  <r>
    <x v="1"/>
  </r>
  <r>
    <x v="0"/>
  </r>
  <r>
    <x v="0"/>
  </r>
  <r>
    <x v="1"/>
  </r>
  <r>
    <x v="1"/>
  </r>
  <r>
    <x v="0"/>
  </r>
  <r>
    <x v="1"/>
  </r>
  <r>
    <x v="0"/>
  </r>
  <r>
    <x v="2"/>
  </r>
  <r>
    <x v="2"/>
  </r>
  <r>
    <x v="1"/>
  </r>
  <r>
    <x v="1"/>
  </r>
  <r>
    <x v="0"/>
  </r>
  <r>
    <x v="1"/>
  </r>
  <r>
    <x v="0"/>
  </r>
  <r>
    <x v="1"/>
  </r>
  <r>
    <x v="1"/>
  </r>
  <r>
    <x v="0"/>
  </r>
  <r>
    <x v="1"/>
  </r>
  <r>
    <x v="0"/>
  </r>
  <r>
    <x v="2"/>
  </r>
  <r>
    <x v="1"/>
  </r>
  <r>
    <x v="0"/>
  </r>
  <r>
    <x v="2"/>
  </r>
  <r>
    <x v="1"/>
  </r>
  <r>
    <x v="1"/>
  </r>
  <r>
    <x v="1"/>
  </r>
  <r>
    <x v="1"/>
  </r>
  <r>
    <x v="1"/>
  </r>
  <r>
    <x v="0"/>
  </r>
  <r>
    <x v="2"/>
  </r>
  <r>
    <x v="0"/>
  </r>
  <r>
    <x v="1"/>
  </r>
  <r>
    <x v="2"/>
  </r>
  <r>
    <x v="0"/>
  </r>
  <r>
    <x v="0"/>
  </r>
  <r>
    <x v="1"/>
  </r>
  <r>
    <x v="1"/>
  </r>
  <r>
    <x v="1"/>
  </r>
  <r>
    <x v="2"/>
  </r>
  <r>
    <x v="1"/>
  </r>
  <r>
    <x v="1"/>
  </r>
  <r>
    <x v="0"/>
  </r>
  <r>
    <x v="1"/>
  </r>
  <r>
    <x v="2"/>
  </r>
  <r>
    <x v="1"/>
  </r>
  <r>
    <x v="1"/>
  </r>
  <r>
    <x v="2"/>
  </r>
  <r>
    <x v="2"/>
  </r>
  <r>
    <x v="1"/>
  </r>
  <r>
    <x v="1"/>
  </r>
  <r>
    <x v="0"/>
  </r>
  <r>
    <x v="1"/>
  </r>
  <r>
    <x v="0"/>
  </r>
  <r>
    <x v="2"/>
  </r>
  <r>
    <x v="1"/>
  </r>
  <r>
    <x v="2"/>
  </r>
  <r>
    <x v="1"/>
  </r>
  <r>
    <x v="2"/>
  </r>
  <r>
    <x v="2"/>
  </r>
  <r>
    <x v="2"/>
  </r>
  <r>
    <x v="0"/>
  </r>
  <r>
    <x v="2"/>
  </r>
  <r>
    <x v="2"/>
  </r>
  <r>
    <x v="1"/>
  </r>
  <r>
    <x v="1"/>
  </r>
  <r>
    <x v="0"/>
  </r>
  <r>
    <x v="1"/>
  </r>
  <r>
    <x v="2"/>
  </r>
  <r>
    <x v="0"/>
  </r>
  <r>
    <x v="1"/>
  </r>
  <r>
    <x v="0"/>
  </r>
  <r>
    <x v="2"/>
  </r>
  <r>
    <x v="1"/>
  </r>
  <r>
    <x v="1"/>
  </r>
  <r>
    <x v="0"/>
  </r>
  <r>
    <x v="0"/>
  </r>
  <r>
    <x v="1"/>
  </r>
  <r>
    <x v="0"/>
  </r>
  <r>
    <x v="0"/>
  </r>
  <r>
    <x v="1"/>
  </r>
  <r>
    <x v="1"/>
  </r>
  <r>
    <x v="0"/>
  </r>
  <r>
    <x v="1"/>
  </r>
  <r>
    <x v="1"/>
  </r>
  <r>
    <x v="1"/>
  </r>
  <r>
    <x v="1"/>
  </r>
  <r>
    <x v="0"/>
  </r>
  <r>
    <x v="1"/>
  </r>
  <r>
    <x v="2"/>
  </r>
  <r>
    <x v="0"/>
  </r>
  <r>
    <x v="1"/>
  </r>
  <r>
    <x v="1"/>
  </r>
  <r>
    <x v="0"/>
  </r>
  <r>
    <x v="0"/>
  </r>
  <r>
    <x v="2"/>
  </r>
  <r>
    <x v="1"/>
  </r>
  <r>
    <x v="0"/>
  </r>
  <r>
    <x v="1"/>
  </r>
  <r>
    <x v="2"/>
  </r>
  <r>
    <x v="2"/>
  </r>
  <r>
    <x v="1"/>
  </r>
  <r>
    <x v="0"/>
  </r>
  <r>
    <x v="0"/>
  </r>
  <r>
    <x v="0"/>
  </r>
  <r>
    <x v="2"/>
  </r>
  <r>
    <x v="2"/>
  </r>
  <r>
    <x v="0"/>
  </r>
  <r>
    <x v="2"/>
  </r>
  <r>
    <x v="1"/>
  </r>
  <r>
    <x v="1"/>
  </r>
  <r>
    <x v="0"/>
  </r>
  <r>
    <x v="0"/>
  </r>
  <r>
    <x v="2"/>
  </r>
  <r>
    <x v="0"/>
  </r>
  <r>
    <x v="0"/>
  </r>
  <r>
    <x v="1"/>
  </r>
  <r>
    <x v="1"/>
  </r>
  <r>
    <x v="1"/>
  </r>
  <r>
    <x v="0"/>
  </r>
  <r>
    <x v="0"/>
  </r>
  <r>
    <x v="0"/>
  </r>
  <r>
    <x v="1"/>
  </r>
  <r>
    <x v="2"/>
  </r>
  <r>
    <x v="0"/>
  </r>
  <r>
    <x v="0"/>
  </r>
  <r>
    <x v="2"/>
  </r>
  <r>
    <x v="1"/>
  </r>
  <r>
    <x v="2"/>
  </r>
  <r>
    <x v="1"/>
  </r>
  <r>
    <x v="0"/>
  </r>
  <r>
    <x v="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1">
  <r>
    <x v="0"/>
    <x v="0"/>
    <x v="0"/>
    <x v="0"/>
    <n v="3"/>
  </r>
  <r>
    <x v="1"/>
    <x v="0"/>
    <x v="0"/>
    <x v="0"/>
    <n v="3"/>
  </r>
  <r>
    <x v="2"/>
    <x v="0"/>
    <x v="0"/>
    <x v="0"/>
    <n v="3"/>
  </r>
  <r>
    <x v="1"/>
    <x v="0"/>
    <x v="0"/>
    <x v="0"/>
    <n v="2"/>
  </r>
  <r>
    <x v="1"/>
    <x v="0"/>
    <x v="0"/>
    <x v="0"/>
    <n v="3"/>
  </r>
  <r>
    <x v="3"/>
    <x v="1"/>
    <x v="0"/>
    <x v="0"/>
    <n v="3"/>
  </r>
  <r>
    <x v="0"/>
    <x v="1"/>
    <x v="0"/>
    <x v="0"/>
    <n v="3"/>
  </r>
  <r>
    <x v="1"/>
    <x v="2"/>
    <x v="0"/>
    <x v="0"/>
    <n v="3"/>
  </r>
  <r>
    <x v="2"/>
    <x v="2"/>
    <x v="0"/>
    <x v="0"/>
    <n v="2"/>
  </r>
  <r>
    <x v="2"/>
    <x v="2"/>
    <x v="0"/>
    <x v="0"/>
    <n v="2"/>
  </r>
  <r>
    <x v="0"/>
    <x v="3"/>
    <x v="0"/>
    <x v="0"/>
    <n v="3"/>
  </r>
  <r>
    <x v="2"/>
    <x v="3"/>
    <x v="0"/>
    <x v="0"/>
    <n v="3"/>
  </r>
  <r>
    <x v="0"/>
    <x v="3"/>
    <x v="0"/>
    <x v="0"/>
    <n v="2"/>
  </r>
  <r>
    <x v="1"/>
    <x v="4"/>
    <x v="0"/>
    <x v="0"/>
    <n v="1"/>
  </r>
  <r>
    <x v="0"/>
    <x v="5"/>
    <x v="0"/>
    <x v="0"/>
    <n v="2"/>
  </r>
  <r>
    <x v="3"/>
    <x v="5"/>
    <x v="0"/>
    <x v="0"/>
    <n v="1"/>
  </r>
  <r>
    <x v="1"/>
    <x v="5"/>
    <x v="0"/>
    <x v="0"/>
    <n v="3"/>
  </r>
  <r>
    <x v="2"/>
    <x v="5"/>
    <x v="0"/>
    <x v="0"/>
    <n v="1"/>
  </r>
  <r>
    <x v="2"/>
    <x v="5"/>
    <x v="0"/>
    <x v="0"/>
    <n v="3"/>
  </r>
  <r>
    <x v="1"/>
    <x v="6"/>
    <x v="0"/>
    <x v="0"/>
    <n v="2"/>
  </r>
  <r>
    <x v="3"/>
    <x v="6"/>
    <x v="0"/>
    <x v="0"/>
    <n v="1"/>
  </r>
  <r>
    <x v="4"/>
    <x v="6"/>
    <x v="0"/>
    <x v="0"/>
    <n v="3"/>
  </r>
  <r>
    <x v="5"/>
    <x v="6"/>
    <x v="0"/>
    <x v="0"/>
    <n v="2"/>
  </r>
  <r>
    <x v="0"/>
    <x v="7"/>
    <x v="0"/>
    <x v="0"/>
    <n v="3"/>
  </r>
  <r>
    <x v="5"/>
    <x v="7"/>
    <x v="0"/>
    <x v="0"/>
    <n v="2"/>
  </r>
  <r>
    <x v="5"/>
    <x v="8"/>
    <x v="0"/>
    <x v="0"/>
    <n v="1"/>
  </r>
  <r>
    <x v="0"/>
    <x v="8"/>
    <x v="0"/>
    <x v="0"/>
    <n v="1"/>
  </r>
  <r>
    <x v="2"/>
    <x v="8"/>
    <x v="0"/>
    <x v="0"/>
    <n v="1"/>
  </r>
  <r>
    <x v="5"/>
    <x v="8"/>
    <x v="0"/>
    <x v="0"/>
    <n v="1"/>
  </r>
  <r>
    <x v="0"/>
    <x v="9"/>
    <x v="0"/>
    <x v="0"/>
    <n v="3"/>
  </r>
  <r>
    <x v="5"/>
    <x v="9"/>
    <x v="0"/>
    <x v="0"/>
    <n v="1"/>
  </r>
  <r>
    <x v="4"/>
    <x v="10"/>
    <x v="0"/>
    <x v="0"/>
    <n v="2"/>
  </r>
  <r>
    <x v="2"/>
    <x v="11"/>
    <x v="0"/>
    <x v="0"/>
    <n v="1"/>
  </r>
  <r>
    <x v="5"/>
    <x v="11"/>
    <x v="0"/>
    <x v="0"/>
    <n v="3"/>
  </r>
  <r>
    <x v="0"/>
    <x v="12"/>
    <x v="0"/>
    <x v="0"/>
    <n v="3"/>
  </r>
  <r>
    <x v="0"/>
    <x v="12"/>
    <x v="0"/>
    <x v="0"/>
    <n v="3"/>
  </r>
  <r>
    <x v="0"/>
    <x v="12"/>
    <x v="0"/>
    <x v="0"/>
    <n v="3"/>
  </r>
  <r>
    <x v="2"/>
    <x v="13"/>
    <x v="0"/>
    <x v="0"/>
    <n v="3"/>
  </r>
  <r>
    <x v="2"/>
    <x v="13"/>
    <x v="0"/>
    <x v="0"/>
    <n v="3"/>
  </r>
  <r>
    <x v="0"/>
    <x v="13"/>
    <x v="0"/>
    <x v="0"/>
    <n v="2"/>
  </r>
  <r>
    <x v="2"/>
    <x v="14"/>
    <x v="0"/>
    <x v="0"/>
    <n v="3"/>
  </r>
  <r>
    <x v="4"/>
    <x v="14"/>
    <x v="0"/>
    <x v="0"/>
    <n v="3"/>
  </r>
  <r>
    <x v="1"/>
    <x v="15"/>
    <x v="0"/>
    <x v="0"/>
    <n v="3"/>
  </r>
  <r>
    <x v="4"/>
    <x v="16"/>
    <x v="0"/>
    <x v="0"/>
    <n v="3"/>
  </r>
  <r>
    <x v="3"/>
    <x v="16"/>
    <x v="0"/>
    <x v="0"/>
    <n v="2"/>
  </r>
  <r>
    <x v="1"/>
    <x v="16"/>
    <x v="0"/>
    <x v="0"/>
    <n v="1"/>
  </r>
  <r>
    <x v="1"/>
    <x v="17"/>
    <x v="0"/>
    <x v="0"/>
    <n v="2"/>
  </r>
  <r>
    <x v="5"/>
    <x v="17"/>
    <x v="0"/>
    <x v="0"/>
    <n v="2"/>
  </r>
  <r>
    <x v="1"/>
    <x v="18"/>
    <x v="0"/>
    <x v="0"/>
    <n v="2"/>
  </r>
  <r>
    <x v="0"/>
    <x v="19"/>
    <x v="0"/>
    <x v="0"/>
    <n v="3"/>
  </r>
  <r>
    <x v="1"/>
    <x v="19"/>
    <x v="0"/>
    <x v="0"/>
    <n v="1"/>
  </r>
  <r>
    <x v="5"/>
    <x v="19"/>
    <x v="0"/>
    <x v="0"/>
    <n v="3"/>
  </r>
  <r>
    <x v="0"/>
    <x v="19"/>
    <x v="0"/>
    <x v="0"/>
    <n v="2"/>
  </r>
  <r>
    <x v="5"/>
    <x v="19"/>
    <x v="0"/>
    <x v="0"/>
    <n v="3"/>
  </r>
  <r>
    <x v="3"/>
    <x v="20"/>
    <x v="0"/>
    <x v="0"/>
    <n v="1"/>
  </r>
  <r>
    <x v="1"/>
    <x v="20"/>
    <x v="0"/>
    <x v="0"/>
    <n v="2"/>
  </r>
  <r>
    <x v="4"/>
    <x v="21"/>
    <x v="0"/>
    <x v="0"/>
    <n v="1"/>
  </r>
  <r>
    <x v="2"/>
    <x v="21"/>
    <x v="0"/>
    <x v="0"/>
    <n v="3"/>
  </r>
  <r>
    <x v="4"/>
    <x v="22"/>
    <x v="0"/>
    <x v="0"/>
    <n v="1"/>
  </r>
  <r>
    <x v="2"/>
    <x v="22"/>
    <x v="0"/>
    <x v="0"/>
    <n v="2"/>
  </r>
  <r>
    <x v="0"/>
    <x v="23"/>
    <x v="0"/>
    <x v="0"/>
    <n v="3"/>
  </r>
  <r>
    <x v="4"/>
    <x v="23"/>
    <x v="0"/>
    <x v="0"/>
    <n v="2"/>
  </r>
  <r>
    <x v="1"/>
    <x v="24"/>
    <x v="0"/>
    <x v="0"/>
    <n v="3"/>
  </r>
  <r>
    <x v="3"/>
    <x v="24"/>
    <x v="0"/>
    <x v="0"/>
    <n v="1"/>
  </r>
  <r>
    <x v="1"/>
    <x v="25"/>
    <x v="0"/>
    <x v="0"/>
    <n v="3"/>
  </r>
  <r>
    <x v="2"/>
    <x v="25"/>
    <x v="0"/>
    <x v="0"/>
    <n v="2"/>
  </r>
  <r>
    <x v="3"/>
    <x v="25"/>
    <x v="0"/>
    <x v="0"/>
    <n v="2"/>
  </r>
  <r>
    <x v="5"/>
    <x v="25"/>
    <x v="0"/>
    <x v="0"/>
    <n v="3"/>
  </r>
  <r>
    <x v="1"/>
    <x v="26"/>
    <x v="0"/>
    <x v="0"/>
    <n v="3"/>
  </r>
  <r>
    <x v="1"/>
    <x v="26"/>
    <x v="0"/>
    <x v="0"/>
    <n v="1"/>
  </r>
  <r>
    <x v="0"/>
    <x v="26"/>
    <x v="0"/>
    <x v="0"/>
    <n v="2"/>
  </r>
  <r>
    <x v="0"/>
    <x v="26"/>
    <x v="0"/>
    <x v="0"/>
    <n v="1"/>
  </r>
  <r>
    <x v="3"/>
    <x v="26"/>
    <x v="0"/>
    <x v="0"/>
    <n v="1"/>
  </r>
  <r>
    <x v="4"/>
    <x v="27"/>
    <x v="1"/>
    <x v="1"/>
    <n v="1"/>
  </r>
  <r>
    <x v="4"/>
    <x v="27"/>
    <x v="1"/>
    <x v="1"/>
    <n v="1"/>
  </r>
  <r>
    <x v="5"/>
    <x v="27"/>
    <x v="1"/>
    <x v="1"/>
    <n v="1"/>
  </r>
  <r>
    <x v="5"/>
    <x v="27"/>
    <x v="1"/>
    <x v="1"/>
    <n v="2"/>
  </r>
  <r>
    <x v="1"/>
    <x v="27"/>
    <x v="1"/>
    <x v="1"/>
    <n v="2"/>
  </r>
  <r>
    <x v="5"/>
    <x v="27"/>
    <x v="1"/>
    <x v="1"/>
    <n v="3"/>
  </r>
  <r>
    <x v="2"/>
    <x v="28"/>
    <x v="1"/>
    <x v="1"/>
    <n v="2"/>
  </r>
  <r>
    <x v="2"/>
    <x v="28"/>
    <x v="1"/>
    <x v="1"/>
    <n v="2"/>
  </r>
  <r>
    <x v="4"/>
    <x v="28"/>
    <x v="1"/>
    <x v="1"/>
    <n v="2"/>
  </r>
  <r>
    <x v="5"/>
    <x v="28"/>
    <x v="1"/>
    <x v="1"/>
    <n v="2"/>
  </r>
  <r>
    <x v="0"/>
    <x v="28"/>
    <x v="1"/>
    <x v="1"/>
    <n v="2"/>
  </r>
  <r>
    <x v="0"/>
    <x v="28"/>
    <x v="1"/>
    <x v="1"/>
    <n v="2"/>
  </r>
  <r>
    <x v="4"/>
    <x v="29"/>
    <x v="1"/>
    <x v="1"/>
    <n v="1"/>
  </r>
  <r>
    <x v="4"/>
    <x v="29"/>
    <x v="1"/>
    <x v="1"/>
    <n v="2"/>
  </r>
  <r>
    <x v="0"/>
    <x v="30"/>
    <x v="1"/>
    <x v="1"/>
    <n v="2"/>
  </r>
  <r>
    <x v="3"/>
    <x v="30"/>
    <x v="1"/>
    <x v="1"/>
    <n v="2"/>
  </r>
  <r>
    <x v="5"/>
    <x v="30"/>
    <x v="1"/>
    <x v="1"/>
    <n v="2"/>
  </r>
  <r>
    <x v="2"/>
    <x v="30"/>
    <x v="1"/>
    <x v="1"/>
    <n v="2"/>
  </r>
  <r>
    <x v="0"/>
    <x v="30"/>
    <x v="1"/>
    <x v="1"/>
    <n v="2"/>
  </r>
  <r>
    <x v="3"/>
    <x v="31"/>
    <x v="1"/>
    <x v="1"/>
    <n v="2"/>
  </r>
  <r>
    <x v="3"/>
    <x v="32"/>
    <x v="1"/>
    <x v="1"/>
    <n v="3"/>
  </r>
  <r>
    <x v="0"/>
    <x v="32"/>
    <x v="1"/>
    <x v="1"/>
    <n v="2"/>
  </r>
  <r>
    <x v="0"/>
    <x v="32"/>
    <x v="1"/>
    <x v="1"/>
    <n v="1"/>
  </r>
  <r>
    <x v="4"/>
    <x v="33"/>
    <x v="1"/>
    <x v="1"/>
    <n v="3"/>
  </r>
  <r>
    <x v="1"/>
    <x v="33"/>
    <x v="1"/>
    <x v="1"/>
    <n v="3"/>
  </r>
  <r>
    <x v="1"/>
    <x v="33"/>
    <x v="1"/>
    <x v="1"/>
    <n v="3"/>
  </r>
  <r>
    <x v="1"/>
    <x v="34"/>
    <x v="1"/>
    <x v="1"/>
    <n v="1"/>
  </r>
  <r>
    <x v="2"/>
    <x v="34"/>
    <x v="1"/>
    <x v="1"/>
    <n v="2"/>
  </r>
  <r>
    <x v="4"/>
    <x v="35"/>
    <x v="1"/>
    <x v="1"/>
    <n v="3"/>
  </r>
  <r>
    <x v="5"/>
    <x v="36"/>
    <x v="1"/>
    <x v="1"/>
    <n v="3"/>
  </r>
  <r>
    <x v="3"/>
    <x v="36"/>
    <x v="1"/>
    <x v="1"/>
    <n v="2"/>
  </r>
  <r>
    <x v="2"/>
    <x v="37"/>
    <x v="1"/>
    <x v="1"/>
    <n v="3"/>
  </r>
  <r>
    <x v="5"/>
    <x v="37"/>
    <x v="1"/>
    <x v="1"/>
    <n v="3"/>
  </r>
  <r>
    <x v="2"/>
    <x v="37"/>
    <x v="1"/>
    <x v="1"/>
    <n v="1"/>
  </r>
  <r>
    <x v="4"/>
    <x v="37"/>
    <x v="1"/>
    <x v="1"/>
    <n v="2"/>
  </r>
  <r>
    <x v="4"/>
    <x v="38"/>
    <x v="1"/>
    <x v="1"/>
    <n v="2"/>
  </r>
  <r>
    <x v="5"/>
    <x v="38"/>
    <x v="1"/>
    <x v="1"/>
    <n v="1"/>
  </r>
  <r>
    <x v="1"/>
    <x v="38"/>
    <x v="1"/>
    <x v="1"/>
    <n v="3"/>
  </r>
  <r>
    <x v="1"/>
    <x v="39"/>
    <x v="1"/>
    <x v="1"/>
    <n v="3"/>
  </r>
  <r>
    <x v="4"/>
    <x v="39"/>
    <x v="1"/>
    <x v="1"/>
    <n v="2"/>
  </r>
  <r>
    <x v="5"/>
    <x v="39"/>
    <x v="1"/>
    <x v="1"/>
    <n v="3"/>
  </r>
  <r>
    <x v="0"/>
    <x v="40"/>
    <x v="1"/>
    <x v="1"/>
    <n v="1"/>
  </r>
  <r>
    <x v="1"/>
    <x v="40"/>
    <x v="1"/>
    <x v="1"/>
    <n v="2"/>
  </r>
  <r>
    <x v="3"/>
    <x v="40"/>
    <x v="1"/>
    <x v="1"/>
    <n v="3"/>
  </r>
  <r>
    <x v="2"/>
    <x v="41"/>
    <x v="1"/>
    <x v="1"/>
    <n v="1"/>
  </r>
  <r>
    <x v="0"/>
    <x v="41"/>
    <x v="1"/>
    <x v="1"/>
    <n v="3"/>
  </r>
  <r>
    <x v="3"/>
    <x v="42"/>
    <x v="1"/>
    <x v="1"/>
    <n v="3"/>
  </r>
  <r>
    <x v="5"/>
    <x v="42"/>
    <x v="1"/>
    <x v="1"/>
    <n v="3"/>
  </r>
  <r>
    <x v="3"/>
    <x v="42"/>
    <x v="1"/>
    <x v="1"/>
    <n v="2"/>
  </r>
  <r>
    <x v="1"/>
    <x v="42"/>
    <x v="1"/>
    <x v="1"/>
    <n v="2"/>
  </r>
  <r>
    <x v="0"/>
    <x v="42"/>
    <x v="1"/>
    <x v="1"/>
    <n v="3"/>
  </r>
  <r>
    <x v="4"/>
    <x v="42"/>
    <x v="1"/>
    <x v="1"/>
    <n v="2"/>
  </r>
  <r>
    <x v="1"/>
    <x v="42"/>
    <x v="1"/>
    <x v="1"/>
    <n v="3"/>
  </r>
  <r>
    <x v="5"/>
    <x v="42"/>
    <x v="1"/>
    <x v="1"/>
    <n v="3"/>
  </r>
  <r>
    <x v="0"/>
    <x v="43"/>
    <x v="1"/>
    <x v="1"/>
    <n v="3"/>
  </r>
  <r>
    <x v="4"/>
    <x v="43"/>
    <x v="1"/>
    <x v="1"/>
    <n v="1"/>
  </r>
  <r>
    <x v="2"/>
    <x v="44"/>
    <x v="1"/>
    <x v="1"/>
    <n v="3"/>
  </r>
  <r>
    <x v="3"/>
    <x v="44"/>
    <x v="1"/>
    <x v="1"/>
    <n v="2"/>
  </r>
  <r>
    <x v="5"/>
    <x v="45"/>
    <x v="1"/>
    <x v="1"/>
    <n v="3"/>
  </r>
  <r>
    <x v="0"/>
    <x v="45"/>
    <x v="1"/>
    <x v="1"/>
    <n v="1"/>
  </r>
  <r>
    <x v="3"/>
    <x v="45"/>
    <x v="1"/>
    <x v="1"/>
    <n v="1"/>
  </r>
  <r>
    <x v="4"/>
    <x v="45"/>
    <x v="1"/>
    <x v="1"/>
    <n v="2"/>
  </r>
  <r>
    <x v="1"/>
    <x v="46"/>
    <x v="1"/>
    <x v="1"/>
    <n v="1"/>
  </r>
  <r>
    <x v="5"/>
    <x v="46"/>
    <x v="1"/>
    <x v="1"/>
    <n v="2"/>
  </r>
  <r>
    <x v="5"/>
    <x v="46"/>
    <x v="1"/>
    <x v="1"/>
    <n v="1"/>
  </r>
  <r>
    <x v="4"/>
    <x v="47"/>
    <x v="1"/>
    <x v="1"/>
    <n v="2"/>
  </r>
  <r>
    <x v="5"/>
    <x v="48"/>
    <x v="1"/>
    <x v="1"/>
    <n v="2"/>
  </r>
  <r>
    <x v="4"/>
    <x v="49"/>
    <x v="1"/>
    <x v="1"/>
    <n v="3"/>
  </r>
  <r>
    <x v="0"/>
    <x v="50"/>
    <x v="1"/>
    <x v="1"/>
    <n v="1"/>
  </r>
  <r>
    <x v="1"/>
    <x v="50"/>
    <x v="1"/>
    <x v="1"/>
    <n v="1"/>
  </r>
  <r>
    <x v="3"/>
    <x v="51"/>
    <x v="1"/>
    <x v="1"/>
    <n v="2"/>
  </r>
  <r>
    <x v="0"/>
    <x v="52"/>
    <x v="1"/>
    <x v="1"/>
    <n v="3"/>
  </r>
  <r>
    <x v="5"/>
    <x v="52"/>
    <x v="1"/>
    <x v="1"/>
    <n v="3"/>
  </r>
  <r>
    <x v="3"/>
    <x v="52"/>
    <x v="1"/>
    <x v="1"/>
    <n v="2"/>
  </r>
  <r>
    <x v="0"/>
    <x v="52"/>
    <x v="1"/>
    <x v="1"/>
    <n v="2"/>
  </r>
  <r>
    <x v="0"/>
    <x v="52"/>
    <x v="1"/>
    <x v="1"/>
    <n v="3"/>
  </r>
  <r>
    <x v="4"/>
    <x v="53"/>
    <x v="1"/>
    <x v="1"/>
    <n v="2"/>
  </r>
  <r>
    <x v="1"/>
    <x v="53"/>
    <x v="1"/>
    <x v="1"/>
    <n v="2"/>
  </r>
  <r>
    <x v="3"/>
    <x v="54"/>
    <x v="2"/>
    <x v="2"/>
    <n v="3"/>
  </r>
  <r>
    <x v="5"/>
    <x v="54"/>
    <x v="2"/>
    <x v="2"/>
    <n v="2"/>
  </r>
  <r>
    <x v="0"/>
    <x v="54"/>
    <x v="2"/>
    <x v="2"/>
    <n v="1"/>
  </r>
  <r>
    <x v="0"/>
    <x v="55"/>
    <x v="2"/>
    <x v="2"/>
    <n v="3"/>
  </r>
  <r>
    <x v="4"/>
    <x v="55"/>
    <x v="2"/>
    <x v="2"/>
    <n v="1"/>
  </r>
  <r>
    <x v="4"/>
    <x v="55"/>
    <x v="2"/>
    <x v="2"/>
    <n v="2"/>
  </r>
  <r>
    <x v="0"/>
    <x v="55"/>
    <x v="2"/>
    <x v="2"/>
    <n v="1"/>
  </r>
  <r>
    <x v="3"/>
    <x v="55"/>
    <x v="2"/>
    <x v="2"/>
    <n v="2"/>
  </r>
  <r>
    <x v="2"/>
    <x v="55"/>
    <x v="2"/>
    <x v="2"/>
    <n v="1"/>
  </r>
  <r>
    <x v="3"/>
    <x v="56"/>
    <x v="2"/>
    <x v="2"/>
    <n v="2"/>
  </r>
  <r>
    <x v="0"/>
    <x v="56"/>
    <x v="2"/>
    <x v="2"/>
    <n v="2"/>
  </r>
  <r>
    <x v="1"/>
    <x v="56"/>
    <x v="2"/>
    <x v="2"/>
    <n v="2"/>
  </r>
  <r>
    <x v="1"/>
    <x v="56"/>
    <x v="2"/>
    <x v="2"/>
    <n v="3"/>
  </r>
  <r>
    <x v="4"/>
    <x v="56"/>
    <x v="2"/>
    <x v="2"/>
    <n v="1"/>
  </r>
  <r>
    <x v="2"/>
    <x v="57"/>
    <x v="2"/>
    <x v="2"/>
    <n v="2"/>
  </r>
  <r>
    <x v="0"/>
    <x v="57"/>
    <x v="2"/>
    <x v="2"/>
    <n v="3"/>
  </r>
  <r>
    <x v="1"/>
    <x v="57"/>
    <x v="2"/>
    <x v="2"/>
    <n v="1"/>
  </r>
  <r>
    <x v="0"/>
    <x v="57"/>
    <x v="2"/>
    <x v="2"/>
    <n v="3"/>
  </r>
  <r>
    <x v="0"/>
    <x v="58"/>
    <x v="2"/>
    <x v="2"/>
    <n v="3"/>
  </r>
  <r>
    <x v="0"/>
    <x v="58"/>
    <x v="2"/>
    <x v="2"/>
    <n v="2"/>
  </r>
  <r>
    <x v="2"/>
    <x v="59"/>
    <x v="2"/>
    <x v="2"/>
    <n v="2"/>
  </r>
  <r>
    <x v="1"/>
    <x v="59"/>
    <x v="2"/>
    <x v="2"/>
    <n v="1"/>
  </r>
  <r>
    <x v="0"/>
    <x v="59"/>
    <x v="2"/>
    <x v="2"/>
    <n v="2"/>
  </r>
  <r>
    <x v="5"/>
    <x v="60"/>
    <x v="2"/>
    <x v="2"/>
    <n v="3"/>
  </r>
  <r>
    <x v="0"/>
    <x v="60"/>
    <x v="2"/>
    <x v="2"/>
    <n v="3"/>
  </r>
  <r>
    <x v="1"/>
    <x v="60"/>
    <x v="2"/>
    <x v="2"/>
    <n v="2"/>
  </r>
  <r>
    <x v="0"/>
    <x v="60"/>
    <x v="2"/>
    <x v="2"/>
    <n v="2"/>
  </r>
  <r>
    <x v="0"/>
    <x v="60"/>
    <x v="2"/>
    <x v="2"/>
    <n v="2"/>
  </r>
  <r>
    <x v="0"/>
    <x v="60"/>
    <x v="2"/>
    <x v="2"/>
    <n v="1"/>
  </r>
  <r>
    <x v="1"/>
    <x v="61"/>
    <x v="2"/>
    <x v="2"/>
    <n v="2"/>
  </r>
  <r>
    <x v="0"/>
    <x v="61"/>
    <x v="2"/>
    <x v="2"/>
    <n v="1"/>
  </r>
  <r>
    <x v="3"/>
    <x v="61"/>
    <x v="2"/>
    <x v="2"/>
    <n v="3"/>
  </r>
  <r>
    <x v="2"/>
    <x v="61"/>
    <x v="2"/>
    <x v="2"/>
    <n v="3"/>
  </r>
  <r>
    <x v="0"/>
    <x v="62"/>
    <x v="2"/>
    <x v="2"/>
    <n v="3"/>
  </r>
  <r>
    <x v="5"/>
    <x v="62"/>
    <x v="2"/>
    <x v="2"/>
    <n v="2"/>
  </r>
  <r>
    <x v="0"/>
    <x v="62"/>
    <x v="2"/>
    <x v="2"/>
    <n v="2"/>
  </r>
  <r>
    <x v="5"/>
    <x v="62"/>
    <x v="2"/>
    <x v="2"/>
    <n v="2"/>
  </r>
  <r>
    <x v="2"/>
    <x v="63"/>
    <x v="2"/>
    <x v="2"/>
    <n v="1"/>
  </r>
  <r>
    <x v="5"/>
    <x v="63"/>
    <x v="2"/>
    <x v="2"/>
    <n v="3"/>
  </r>
  <r>
    <x v="0"/>
    <x v="64"/>
    <x v="2"/>
    <x v="2"/>
    <n v="2"/>
  </r>
  <r>
    <x v="5"/>
    <x v="64"/>
    <x v="2"/>
    <x v="2"/>
    <n v="2"/>
  </r>
  <r>
    <x v="1"/>
    <x v="65"/>
    <x v="2"/>
    <x v="2"/>
    <n v="2"/>
  </r>
  <r>
    <x v="4"/>
    <x v="65"/>
    <x v="2"/>
    <x v="2"/>
    <n v="1"/>
  </r>
  <r>
    <x v="3"/>
    <x v="65"/>
    <x v="2"/>
    <x v="2"/>
    <n v="2"/>
  </r>
  <r>
    <x v="4"/>
    <x v="65"/>
    <x v="2"/>
    <x v="2"/>
    <n v="3"/>
  </r>
  <r>
    <x v="0"/>
    <x v="65"/>
    <x v="2"/>
    <x v="2"/>
    <n v="2"/>
  </r>
  <r>
    <x v="2"/>
    <x v="66"/>
    <x v="2"/>
    <x v="2"/>
    <n v="1"/>
  </r>
  <r>
    <x v="5"/>
    <x v="66"/>
    <x v="2"/>
    <x v="2"/>
    <n v="2"/>
  </r>
  <r>
    <x v="1"/>
    <x v="66"/>
    <x v="2"/>
    <x v="2"/>
    <n v="1"/>
  </r>
  <r>
    <x v="3"/>
    <x v="67"/>
    <x v="2"/>
    <x v="2"/>
    <n v="1"/>
  </r>
  <r>
    <x v="3"/>
    <x v="67"/>
    <x v="2"/>
    <x v="2"/>
    <n v="3"/>
  </r>
  <r>
    <x v="1"/>
    <x v="67"/>
    <x v="2"/>
    <x v="2"/>
    <n v="1"/>
  </r>
  <r>
    <x v="3"/>
    <x v="67"/>
    <x v="2"/>
    <x v="2"/>
    <n v="2"/>
  </r>
  <r>
    <x v="5"/>
    <x v="68"/>
    <x v="2"/>
    <x v="2"/>
    <n v="1"/>
  </r>
  <r>
    <x v="3"/>
    <x v="68"/>
    <x v="2"/>
    <x v="2"/>
    <n v="3"/>
  </r>
  <r>
    <x v="5"/>
    <x v="69"/>
    <x v="2"/>
    <x v="2"/>
    <n v="1"/>
  </r>
  <r>
    <x v="0"/>
    <x v="69"/>
    <x v="2"/>
    <x v="2"/>
    <n v="1"/>
  </r>
  <r>
    <x v="5"/>
    <x v="69"/>
    <x v="2"/>
    <x v="2"/>
    <n v="3"/>
  </r>
  <r>
    <x v="0"/>
    <x v="69"/>
    <x v="2"/>
    <x v="2"/>
    <n v="3"/>
  </r>
  <r>
    <x v="3"/>
    <x v="70"/>
    <x v="2"/>
    <x v="2"/>
    <n v="3"/>
  </r>
  <r>
    <x v="0"/>
    <x v="70"/>
    <x v="2"/>
    <x v="2"/>
    <n v="1"/>
  </r>
  <r>
    <x v="1"/>
    <x v="70"/>
    <x v="2"/>
    <x v="2"/>
    <n v="3"/>
  </r>
  <r>
    <x v="4"/>
    <x v="70"/>
    <x v="2"/>
    <x v="2"/>
    <n v="2"/>
  </r>
  <r>
    <x v="0"/>
    <x v="70"/>
    <x v="2"/>
    <x v="2"/>
    <n v="1"/>
  </r>
  <r>
    <x v="4"/>
    <x v="71"/>
    <x v="2"/>
    <x v="2"/>
    <n v="3"/>
  </r>
  <r>
    <x v="3"/>
    <x v="71"/>
    <x v="2"/>
    <x v="2"/>
    <n v="3"/>
  </r>
  <r>
    <x v="5"/>
    <x v="71"/>
    <x v="2"/>
    <x v="2"/>
    <n v="3"/>
  </r>
  <r>
    <x v="2"/>
    <x v="72"/>
    <x v="2"/>
    <x v="2"/>
    <n v="3"/>
  </r>
  <r>
    <x v="0"/>
    <x v="72"/>
    <x v="2"/>
    <x v="2"/>
    <n v="3"/>
  </r>
  <r>
    <x v="2"/>
    <x v="72"/>
    <x v="2"/>
    <x v="2"/>
    <n v="1"/>
  </r>
  <r>
    <x v="0"/>
    <x v="73"/>
    <x v="2"/>
    <x v="2"/>
    <n v="1"/>
  </r>
  <r>
    <x v="0"/>
    <x v="73"/>
    <x v="2"/>
    <x v="2"/>
    <n v="3"/>
  </r>
  <r>
    <x v="0"/>
    <x v="73"/>
    <x v="2"/>
    <x v="2"/>
    <n v="3"/>
  </r>
  <r>
    <x v="3"/>
    <x v="74"/>
    <x v="2"/>
    <x v="2"/>
    <n v="3"/>
  </r>
  <r>
    <x v="4"/>
    <x v="74"/>
    <x v="2"/>
    <x v="2"/>
    <n v="2"/>
  </r>
  <r>
    <x v="4"/>
    <x v="75"/>
    <x v="2"/>
    <x v="2"/>
    <n v="3"/>
  </r>
  <r>
    <x v="1"/>
    <x v="75"/>
    <x v="2"/>
    <x v="2"/>
    <n v="1"/>
  </r>
  <r>
    <x v="4"/>
    <x v="75"/>
    <x v="2"/>
    <x v="2"/>
    <n v="3"/>
  </r>
  <r>
    <x v="0"/>
    <x v="76"/>
    <x v="2"/>
    <x v="2"/>
    <n v="2"/>
  </r>
  <r>
    <x v="0"/>
    <x v="76"/>
    <x v="2"/>
    <x v="2"/>
    <n v="3"/>
  </r>
  <r>
    <x v="2"/>
    <x v="76"/>
    <x v="2"/>
    <x v="2"/>
    <n v="1"/>
  </r>
  <r>
    <x v="0"/>
    <x v="76"/>
    <x v="2"/>
    <x v="2"/>
    <n v="1"/>
  </r>
  <r>
    <x v="1"/>
    <x v="77"/>
    <x v="2"/>
    <x v="2"/>
    <n v="3"/>
  </r>
  <r>
    <x v="1"/>
    <x v="78"/>
    <x v="2"/>
    <x v="2"/>
    <n v="3"/>
  </r>
  <r>
    <x v="2"/>
    <x v="78"/>
    <x v="2"/>
    <x v="2"/>
    <n v="1"/>
  </r>
  <r>
    <x v="4"/>
    <x v="78"/>
    <x v="2"/>
    <x v="2"/>
    <n v="3"/>
  </r>
  <r>
    <x v="1"/>
    <x v="78"/>
    <x v="2"/>
    <x v="2"/>
    <n v="1"/>
  </r>
  <r>
    <x v="0"/>
    <x v="78"/>
    <x v="2"/>
    <x v="2"/>
    <n v="3"/>
  </r>
  <r>
    <x v="3"/>
    <x v="78"/>
    <x v="2"/>
    <x v="2"/>
    <n v="3"/>
  </r>
  <r>
    <x v="4"/>
    <x v="79"/>
    <x v="2"/>
    <x v="2"/>
    <n v="3"/>
  </r>
  <r>
    <x v="5"/>
    <x v="79"/>
    <x v="2"/>
    <x v="2"/>
    <n v="3"/>
  </r>
  <r>
    <x v="5"/>
    <x v="79"/>
    <x v="2"/>
    <x v="2"/>
    <n v="1"/>
  </r>
  <r>
    <x v="4"/>
    <x v="79"/>
    <x v="2"/>
    <x v="2"/>
    <n v="3"/>
  </r>
  <r>
    <x v="5"/>
    <x v="80"/>
    <x v="2"/>
    <x v="2"/>
    <n v="3"/>
  </r>
  <r>
    <x v="1"/>
    <x v="80"/>
    <x v="2"/>
    <x v="2"/>
    <n v="2"/>
  </r>
  <r>
    <x v="0"/>
    <x v="81"/>
    <x v="3"/>
    <x v="3"/>
    <n v="2"/>
  </r>
  <r>
    <x v="2"/>
    <x v="81"/>
    <x v="3"/>
    <x v="3"/>
    <n v="1"/>
  </r>
  <r>
    <x v="2"/>
    <x v="82"/>
    <x v="3"/>
    <x v="3"/>
    <n v="3"/>
  </r>
  <r>
    <x v="3"/>
    <x v="82"/>
    <x v="3"/>
    <x v="3"/>
    <n v="1"/>
  </r>
  <r>
    <x v="5"/>
    <x v="83"/>
    <x v="3"/>
    <x v="3"/>
    <n v="3"/>
  </r>
  <r>
    <x v="1"/>
    <x v="83"/>
    <x v="3"/>
    <x v="3"/>
    <n v="1"/>
  </r>
  <r>
    <x v="4"/>
    <x v="83"/>
    <x v="3"/>
    <x v="3"/>
    <n v="1"/>
  </r>
  <r>
    <x v="2"/>
    <x v="84"/>
    <x v="3"/>
    <x v="3"/>
    <n v="3"/>
  </r>
  <r>
    <x v="0"/>
    <x v="84"/>
    <x v="3"/>
    <x v="3"/>
    <n v="2"/>
  </r>
  <r>
    <x v="3"/>
    <x v="84"/>
    <x v="3"/>
    <x v="3"/>
    <n v="1"/>
  </r>
  <r>
    <x v="4"/>
    <x v="85"/>
    <x v="3"/>
    <x v="3"/>
    <n v="3"/>
  </r>
  <r>
    <x v="4"/>
    <x v="85"/>
    <x v="3"/>
    <x v="3"/>
    <n v="3"/>
  </r>
  <r>
    <x v="3"/>
    <x v="85"/>
    <x v="3"/>
    <x v="3"/>
    <n v="3"/>
  </r>
  <r>
    <x v="0"/>
    <x v="86"/>
    <x v="3"/>
    <x v="3"/>
    <n v="3"/>
  </r>
  <r>
    <x v="0"/>
    <x v="86"/>
    <x v="3"/>
    <x v="3"/>
    <n v="2"/>
  </r>
  <r>
    <x v="0"/>
    <x v="87"/>
    <x v="3"/>
    <x v="3"/>
    <n v="1"/>
  </r>
  <r>
    <x v="2"/>
    <x v="87"/>
    <x v="3"/>
    <x v="3"/>
    <n v="2"/>
  </r>
  <r>
    <x v="4"/>
    <x v="87"/>
    <x v="3"/>
    <x v="3"/>
    <n v="3"/>
  </r>
  <r>
    <x v="3"/>
    <x v="88"/>
    <x v="3"/>
    <x v="3"/>
    <n v="2"/>
  </r>
  <r>
    <x v="3"/>
    <x v="88"/>
    <x v="3"/>
    <x v="3"/>
    <n v="2"/>
  </r>
  <r>
    <x v="1"/>
    <x v="89"/>
    <x v="3"/>
    <x v="3"/>
    <n v="2"/>
  </r>
  <r>
    <x v="5"/>
    <x v="89"/>
    <x v="3"/>
    <x v="3"/>
    <n v="3"/>
  </r>
  <r>
    <x v="2"/>
    <x v="89"/>
    <x v="3"/>
    <x v="3"/>
    <n v="2"/>
  </r>
  <r>
    <x v="2"/>
    <x v="89"/>
    <x v="3"/>
    <x v="3"/>
    <n v="2"/>
  </r>
  <r>
    <x v="0"/>
    <x v="90"/>
    <x v="3"/>
    <x v="3"/>
    <n v="3"/>
  </r>
  <r>
    <x v="4"/>
    <x v="91"/>
    <x v="3"/>
    <x v="3"/>
    <n v="1"/>
  </r>
  <r>
    <x v="3"/>
    <x v="92"/>
    <x v="3"/>
    <x v="3"/>
    <n v="1"/>
  </r>
  <r>
    <x v="2"/>
    <x v="93"/>
    <x v="3"/>
    <x v="3"/>
    <n v="3"/>
  </r>
  <r>
    <x v="3"/>
    <x v="93"/>
    <x v="3"/>
    <x v="3"/>
    <n v="3"/>
  </r>
  <r>
    <x v="0"/>
    <x v="93"/>
    <x v="3"/>
    <x v="3"/>
    <n v="1"/>
  </r>
  <r>
    <x v="3"/>
    <x v="93"/>
    <x v="3"/>
    <x v="3"/>
    <n v="1"/>
  </r>
  <r>
    <x v="5"/>
    <x v="94"/>
    <x v="3"/>
    <x v="3"/>
    <n v="3"/>
  </r>
  <r>
    <x v="4"/>
    <x v="94"/>
    <x v="3"/>
    <x v="3"/>
    <n v="2"/>
  </r>
  <r>
    <x v="0"/>
    <x v="94"/>
    <x v="3"/>
    <x v="3"/>
    <n v="1"/>
  </r>
  <r>
    <x v="1"/>
    <x v="94"/>
    <x v="3"/>
    <x v="3"/>
    <n v="1"/>
  </r>
  <r>
    <x v="1"/>
    <x v="95"/>
    <x v="3"/>
    <x v="3"/>
    <n v="1"/>
  </r>
  <r>
    <x v="2"/>
    <x v="95"/>
    <x v="3"/>
    <x v="3"/>
    <n v="3"/>
  </r>
  <r>
    <x v="1"/>
    <x v="95"/>
    <x v="3"/>
    <x v="3"/>
    <n v="2"/>
  </r>
  <r>
    <x v="1"/>
    <x v="95"/>
    <x v="3"/>
    <x v="3"/>
    <n v="3"/>
  </r>
  <r>
    <x v="3"/>
    <x v="95"/>
    <x v="3"/>
    <x v="3"/>
    <n v="1"/>
  </r>
  <r>
    <x v="5"/>
    <x v="96"/>
    <x v="3"/>
    <x v="3"/>
    <n v="1"/>
  </r>
  <r>
    <x v="0"/>
    <x v="97"/>
    <x v="3"/>
    <x v="3"/>
    <n v="1"/>
  </r>
  <r>
    <x v="5"/>
    <x v="97"/>
    <x v="3"/>
    <x v="3"/>
    <n v="3"/>
  </r>
  <r>
    <x v="2"/>
    <x v="97"/>
    <x v="3"/>
    <x v="3"/>
    <n v="2"/>
  </r>
  <r>
    <x v="1"/>
    <x v="97"/>
    <x v="3"/>
    <x v="3"/>
    <n v="1"/>
  </r>
  <r>
    <x v="1"/>
    <x v="98"/>
    <x v="3"/>
    <x v="3"/>
    <n v="3"/>
  </r>
  <r>
    <x v="1"/>
    <x v="98"/>
    <x v="3"/>
    <x v="3"/>
    <n v="3"/>
  </r>
  <r>
    <x v="1"/>
    <x v="98"/>
    <x v="3"/>
    <x v="3"/>
    <n v="1"/>
  </r>
  <r>
    <x v="2"/>
    <x v="98"/>
    <x v="3"/>
    <x v="3"/>
    <n v="2"/>
  </r>
  <r>
    <x v="4"/>
    <x v="99"/>
    <x v="3"/>
    <x v="3"/>
    <n v="1"/>
  </r>
  <r>
    <x v="2"/>
    <x v="99"/>
    <x v="3"/>
    <x v="3"/>
    <n v="3"/>
  </r>
  <r>
    <x v="2"/>
    <x v="100"/>
    <x v="3"/>
    <x v="3"/>
    <n v="2"/>
  </r>
  <r>
    <x v="5"/>
    <x v="100"/>
    <x v="3"/>
    <x v="3"/>
    <n v="2"/>
  </r>
  <r>
    <x v="0"/>
    <x v="101"/>
    <x v="3"/>
    <x v="3"/>
    <n v="2"/>
  </r>
  <r>
    <x v="3"/>
    <x v="101"/>
    <x v="3"/>
    <x v="3"/>
    <n v="1"/>
  </r>
  <r>
    <x v="4"/>
    <x v="101"/>
    <x v="3"/>
    <x v="3"/>
    <n v="3"/>
  </r>
  <r>
    <x v="0"/>
    <x v="101"/>
    <x v="3"/>
    <x v="3"/>
    <n v="3"/>
  </r>
  <r>
    <x v="2"/>
    <x v="102"/>
    <x v="3"/>
    <x v="3"/>
    <n v="1"/>
  </r>
  <r>
    <x v="0"/>
    <x v="102"/>
    <x v="3"/>
    <x v="3"/>
    <n v="2"/>
  </r>
  <r>
    <x v="0"/>
    <x v="103"/>
    <x v="3"/>
    <x v="3"/>
    <n v="3"/>
  </r>
  <r>
    <x v="1"/>
    <x v="104"/>
    <x v="3"/>
    <x v="3"/>
    <n v="2"/>
  </r>
  <r>
    <x v="1"/>
    <x v="105"/>
    <x v="3"/>
    <x v="3"/>
    <n v="2"/>
  </r>
  <r>
    <x v="0"/>
    <x v="105"/>
    <x v="3"/>
    <x v="3"/>
    <n v="1"/>
  </r>
  <r>
    <x v="0"/>
    <x v="105"/>
    <x v="3"/>
    <x v="3"/>
    <n v="2"/>
  </r>
  <r>
    <x v="0"/>
    <x v="106"/>
    <x v="3"/>
    <x v="3"/>
    <n v="2"/>
  </r>
  <r>
    <x v="0"/>
    <x v="107"/>
    <x v="3"/>
    <x v="3"/>
    <n v="2"/>
  </r>
  <r>
    <x v="2"/>
    <x v="107"/>
    <x v="3"/>
    <x v="3"/>
    <n v="3"/>
  </r>
  <r>
    <x v="0"/>
    <x v="107"/>
    <x v="3"/>
    <x v="3"/>
    <n v="1"/>
  </r>
  <r>
    <x v="2"/>
    <x v="107"/>
    <x v="3"/>
    <x v="3"/>
    <n v="2"/>
  </r>
  <r>
    <x v="2"/>
    <x v="107"/>
    <x v="3"/>
    <x v="3"/>
    <n v="2"/>
  </r>
  <r>
    <x v="5"/>
    <x v="107"/>
    <x v="3"/>
    <x v="3"/>
    <n v="2"/>
  </r>
  <r>
    <x v="0"/>
    <x v="108"/>
    <x v="3"/>
    <x v="3"/>
    <n v="1"/>
  </r>
  <r>
    <x v="4"/>
    <x v="109"/>
    <x v="4"/>
    <x v="4"/>
    <n v="2"/>
  </r>
  <r>
    <x v="3"/>
    <x v="109"/>
    <x v="4"/>
    <x v="4"/>
    <n v="3"/>
  </r>
  <r>
    <x v="1"/>
    <x v="110"/>
    <x v="4"/>
    <x v="4"/>
    <n v="1"/>
  </r>
  <r>
    <x v="2"/>
    <x v="110"/>
    <x v="4"/>
    <x v="4"/>
    <n v="2"/>
  </r>
  <r>
    <x v="4"/>
    <x v="110"/>
    <x v="4"/>
    <x v="4"/>
    <n v="3"/>
  </r>
  <r>
    <x v="5"/>
    <x v="110"/>
    <x v="4"/>
    <x v="4"/>
    <n v="1"/>
  </r>
  <r>
    <x v="4"/>
    <x v="111"/>
    <x v="4"/>
    <x v="4"/>
    <n v="3"/>
  </r>
  <r>
    <x v="5"/>
    <x v="112"/>
    <x v="4"/>
    <x v="4"/>
    <n v="2"/>
  </r>
  <r>
    <x v="0"/>
    <x v="113"/>
    <x v="4"/>
    <x v="4"/>
    <n v="2"/>
  </r>
  <r>
    <x v="1"/>
    <x v="113"/>
    <x v="4"/>
    <x v="4"/>
    <n v="3"/>
  </r>
  <r>
    <x v="4"/>
    <x v="113"/>
    <x v="4"/>
    <x v="4"/>
    <n v="2"/>
  </r>
  <r>
    <x v="1"/>
    <x v="114"/>
    <x v="4"/>
    <x v="4"/>
    <n v="1"/>
  </r>
  <r>
    <x v="5"/>
    <x v="114"/>
    <x v="4"/>
    <x v="4"/>
    <n v="1"/>
  </r>
  <r>
    <x v="2"/>
    <x v="115"/>
    <x v="4"/>
    <x v="4"/>
    <n v="3"/>
  </r>
  <r>
    <x v="4"/>
    <x v="115"/>
    <x v="4"/>
    <x v="4"/>
    <n v="2"/>
  </r>
  <r>
    <x v="5"/>
    <x v="115"/>
    <x v="4"/>
    <x v="4"/>
    <n v="1"/>
  </r>
  <r>
    <x v="0"/>
    <x v="115"/>
    <x v="4"/>
    <x v="4"/>
    <n v="1"/>
  </r>
  <r>
    <x v="3"/>
    <x v="116"/>
    <x v="4"/>
    <x v="4"/>
    <n v="3"/>
  </r>
  <r>
    <x v="1"/>
    <x v="116"/>
    <x v="4"/>
    <x v="4"/>
    <n v="1"/>
  </r>
  <r>
    <x v="0"/>
    <x v="117"/>
    <x v="4"/>
    <x v="4"/>
    <n v="1"/>
  </r>
  <r>
    <x v="4"/>
    <x v="117"/>
    <x v="4"/>
    <x v="4"/>
    <n v="3"/>
  </r>
  <r>
    <x v="0"/>
    <x v="118"/>
    <x v="4"/>
    <x v="4"/>
    <n v="3"/>
  </r>
  <r>
    <x v="5"/>
    <x v="118"/>
    <x v="4"/>
    <x v="4"/>
    <n v="3"/>
  </r>
  <r>
    <x v="0"/>
    <x v="118"/>
    <x v="4"/>
    <x v="4"/>
    <n v="3"/>
  </r>
  <r>
    <x v="0"/>
    <x v="118"/>
    <x v="4"/>
    <x v="4"/>
    <n v="1"/>
  </r>
  <r>
    <x v="5"/>
    <x v="118"/>
    <x v="4"/>
    <x v="4"/>
    <n v="1"/>
  </r>
  <r>
    <x v="0"/>
    <x v="118"/>
    <x v="4"/>
    <x v="4"/>
    <n v="2"/>
  </r>
  <r>
    <x v="5"/>
    <x v="119"/>
    <x v="4"/>
    <x v="4"/>
    <n v="1"/>
  </r>
  <r>
    <x v="5"/>
    <x v="119"/>
    <x v="4"/>
    <x v="4"/>
    <n v="2"/>
  </r>
  <r>
    <x v="3"/>
    <x v="119"/>
    <x v="4"/>
    <x v="4"/>
    <n v="1"/>
  </r>
  <r>
    <x v="1"/>
    <x v="120"/>
    <x v="4"/>
    <x v="4"/>
    <n v="2"/>
  </r>
  <r>
    <x v="0"/>
    <x v="120"/>
    <x v="4"/>
    <x v="4"/>
    <n v="1"/>
  </r>
  <r>
    <x v="5"/>
    <x v="120"/>
    <x v="4"/>
    <x v="4"/>
    <n v="3"/>
  </r>
  <r>
    <x v="0"/>
    <x v="121"/>
    <x v="4"/>
    <x v="4"/>
    <n v="3"/>
  </r>
  <r>
    <x v="1"/>
    <x v="122"/>
    <x v="4"/>
    <x v="4"/>
    <n v="3"/>
  </r>
  <r>
    <x v="2"/>
    <x v="122"/>
    <x v="4"/>
    <x v="4"/>
    <n v="3"/>
  </r>
  <r>
    <x v="5"/>
    <x v="122"/>
    <x v="4"/>
    <x v="4"/>
    <n v="3"/>
  </r>
  <r>
    <x v="2"/>
    <x v="123"/>
    <x v="4"/>
    <x v="4"/>
    <n v="3"/>
  </r>
  <r>
    <x v="5"/>
    <x v="123"/>
    <x v="4"/>
    <x v="4"/>
    <n v="2"/>
  </r>
  <r>
    <x v="2"/>
    <x v="123"/>
    <x v="4"/>
    <x v="4"/>
    <n v="3"/>
  </r>
  <r>
    <x v="4"/>
    <x v="123"/>
    <x v="4"/>
    <x v="4"/>
    <n v="3"/>
  </r>
  <r>
    <x v="0"/>
    <x v="123"/>
    <x v="4"/>
    <x v="4"/>
    <n v="1"/>
  </r>
  <r>
    <x v="3"/>
    <x v="124"/>
    <x v="4"/>
    <x v="4"/>
    <n v="3"/>
  </r>
  <r>
    <x v="1"/>
    <x v="125"/>
    <x v="4"/>
    <x v="4"/>
    <n v="1"/>
  </r>
  <r>
    <x v="2"/>
    <x v="126"/>
    <x v="4"/>
    <x v="4"/>
    <n v="3"/>
  </r>
  <r>
    <x v="5"/>
    <x v="126"/>
    <x v="4"/>
    <x v="4"/>
    <n v="3"/>
  </r>
  <r>
    <x v="0"/>
    <x v="126"/>
    <x v="4"/>
    <x v="4"/>
    <n v="1"/>
  </r>
  <r>
    <x v="4"/>
    <x v="126"/>
    <x v="4"/>
    <x v="4"/>
    <n v="1"/>
  </r>
  <r>
    <x v="5"/>
    <x v="126"/>
    <x v="4"/>
    <x v="4"/>
    <n v="1"/>
  </r>
  <r>
    <x v="0"/>
    <x v="126"/>
    <x v="4"/>
    <x v="4"/>
    <n v="1"/>
  </r>
  <r>
    <x v="5"/>
    <x v="127"/>
    <x v="4"/>
    <x v="4"/>
    <n v="2"/>
  </r>
  <r>
    <x v="3"/>
    <x v="128"/>
    <x v="4"/>
    <x v="4"/>
    <n v="1"/>
  </r>
  <r>
    <x v="1"/>
    <x v="129"/>
    <x v="4"/>
    <x v="4"/>
    <n v="3"/>
  </r>
  <r>
    <x v="0"/>
    <x v="129"/>
    <x v="4"/>
    <x v="4"/>
    <n v="2"/>
  </r>
  <r>
    <x v="0"/>
    <x v="129"/>
    <x v="4"/>
    <x v="4"/>
    <n v="3"/>
  </r>
  <r>
    <x v="0"/>
    <x v="130"/>
    <x v="4"/>
    <x v="4"/>
    <n v="2"/>
  </r>
  <r>
    <x v="5"/>
    <x v="130"/>
    <x v="4"/>
    <x v="4"/>
    <n v="2"/>
  </r>
  <r>
    <x v="0"/>
    <x v="130"/>
    <x v="4"/>
    <x v="4"/>
    <n v="2"/>
  </r>
  <r>
    <x v="5"/>
    <x v="131"/>
    <x v="4"/>
    <x v="4"/>
    <n v="3"/>
  </r>
  <r>
    <x v="5"/>
    <x v="131"/>
    <x v="4"/>
    <x v="4"/>
    <n v="2"/>
  </r>
  <r>
    <x v="0"/>
    <x v="132"/>
    <x v="4"/>
    <x v="4"/>
    <n v="2"/>
  </r>
  <r>
    <x v="3"/>
    <x v="132"/>
    <x v="4"/>
    <x v="4"/>
    <n v="1"/>
  </r>
  <r>
    <x v="2"/>
    <x v="132"/>
    <x v="4"/>
    <x v="4"/>
    <n v="2"/>
  </r>
  <r>
    <x v="0"/>
    <x v="133"/>
    <x v="4"/>
    <x v="4"/>
    <n v="3"/>
  </r>
  <r>
    <x v="3"/>
    <x v="133"/>
    <x v="4"/>
    <x v="4"/>
    <n v="3"/>
  </r>
  <r>
    <x v="1"/>
    <x v="133"/>
    <x v="4"/>
    <x v="4"/>
    <n v="2"/>
  </r>
  <r>
    <x v="4"/>
    <x v="133"/>
    <x v="4"/>
    <x v="4"/>
    <n v="2"/>
  </r>
  <r>
    <x v="4"/>
    <x v="134"/>
    <x v="4"/>
    <x v="4"/>
    <n v="1"/>
  </r>
  <r>
    <x v="3"/>
    <x v="134"/>
    <x v="4"/>
    <x v="4"/>
    <n v="2"/>
  </r>
  <r>
    <x v="0"/>
    <x v="135"/>
    <x v="4"/>
    <x v="4"/>
    <n v="2"/>
  </r>
  <r>
    <x v="3"/>
    <x v="135"/>
    <x v="4"/>
    <x v="4"/>
    <n v="2"/>
  </r>
  <r>
    <x v="3"/>
    <x v="135"/>
    <x v="4"/>
    <x v="4"/>
    <n v="3"/>
  </r>
  <r>
    <x v="1"/>
    <x v="136"/>
    <x v="4"/>
    <x v="4"/>
    <n v="1"/>
  </r>
  <r>
    <x v="0"/>
    <x v="136"/>
    <x v="4"/>
    <x v="4"/>
    <n v="3"/>
  </r>
  <r>
    <x v="1"/>
    <x v="136"/>
    <x v="4"/>
    <x v="4"/>
    <n v="1"/>
  </r>
  <r>
    <x v="5"/>
    <x v="137"/>
    <x v="4"/>
    <x v="4"/>
    <n v="3"/>
  </r>
  <r>
    <x v="5"/>
    <x v="137"/>
    <x v="4"/>
    <x v="4"/>
    <n v="1"/>
  </r>
  <r>
    <x v="2"/>
    <x v="138"/>
    <x v="5"/>
    <x v="5"/>
    <n v="3"/>
  </r>
  <r>
    <x v="0"/>
    <x v="138"/>
    <x v="5"/>
    <x v="5"/>
    <n v="3"/>
  </r>
  <r>
    <x v="4"/>
    <x v="138"/>
    <x v="5"/>
    <x v="5"/>
    <n v="1"/>
  </r>
  <r>
    <x v="4"/>
    <x v="138"/>
    <x v="5"/>
    <x v="5"/>
    <n v="3"/>
  </r>
  <r>
    <x v="1"/>
    <x v="139"/>
    <x v="5"/>
    <x v="5"/>
    <n v="1"/>
  </r>
  <r>
    <x v="5"/>
    <x v="140"/>
    <x v="5"/>
    <x v="5"/>
    <n v="3"/>
  </r>
  <r>
    <x v="5"/>
    <x v="140"/>
    <x v="5"/>
    <x v="5"/>
    <n v="1"/>
  </r>
  <r>
    <x v="4"/>
    <x v="140"/>
    <x v="5"/>
    <x v="5"/>
    <n v="1"/>
  </r>
  <r>
    <x v="0"/>
    <x v="141"/>
    <x v="5"/>
    <x v="5"/>
    <n v="2"/>
  </r>
  <r>
    <x v="4"/>
    <x v="141"/>
    <x v="5"/>
    <x v="5"/>
    <n v="3"/>
  </r>
  <r>
    <x v="3"/>
    <x v="141"/>
    <x v="5"/>
    <x v="5"/>
    <n v="2"/>
  </r>
  <r>
    <x v="2"/>
    <x v="142"/>
    <x v="5"/>
    <x v="5"/>
    <n v="1"/>
  </r>
  <r>
    <x v="2"/>
    <x v="142"/>
    <x v="5"/>
    <x v="5"/>
    <n v="2"/>
  </r>
  <r>
    <x v="5"/>
    <x v="143"/>
    <x v="5"/>
    <x v="5"/>
    <n v="1"/>
  </r>
  <r>
    <x v="5"/>
    <x v="143"/>
    <x v="5"/>
    <x v="5"/>
    <n v="1"/>
  </r>
  <r>
    <x v="1"/>
    <x v="144"/>
    <x v="5"/>
    <x v="5"/>
    <n v="2"/>
  </r>
  <r>
    <x v="1"/>
    <x v="145"/>
    <x v="5"/>
    <x v="5"/>
    <n v="2"/>
  </r>
  <r>
    <x v="5"/>
    <x v="145"/>
    <x v="5"/>
    <x v="5"/>
    <n v="2"/>
  </r>
  <r>
    <x v="1"/>
    <x v="145"/>
    <x v="5"/>
    <x v="5"/>
    <n v="3"/>
  </r>
  <r>
    <x v="4"/>
    <x v="145"/>
    <x v="5"/>
    <x v="5"/>
    <n v="1"/>
  </r>
  <r>
    <x v="1"/>
    <x v="146"/>
    <x v="5"/>
    <x v="5"/>
    <n v="2"/>
  </r>
  <r>
    <x v="0"/>
    <x v="146"/>
    <x v="5"/>
    <x v="5"/>
    <n v="1"/>
  </r>
  <r>
    <x v="3"/>
    <x v="146"/>
    <x v="5"/>
    <x v="5"/>
    <n v="3"/>
  </r>
  <r>
    <x v="2"/>
    <x v="147"/>
    <x v="5"/>
    <x v="5"/>
    <n v="1"/>
  </r>
  <r>
    <x v="3"/>
    <x v="147"/>
    <x v="5"/>
    <x v="5"/>
    <n v="3"/>
  </r>
  <r>
    <x v="5"/>
    <x v="147"/>
    <x v="5"/>
    <x v="5"/>
    <n v="2"/>
  </r>
  <r>
    <x v="0"/>
    <x v="148"/>
    <x v="5"/>
    <x v="5"/>
    <n v="3"/>
  </r>
  <r>
    <x v="4"/>
    <x v="148"/>
    <x v="5"/>
    <x v="5"/>
    <n v="3"/>
  </r>
  <r>
    <x v="0"/>
    <x v="148"/>
    <x v="5"/>
    <x v="5"/>
    <n v="3"/>
  </r>
  <r>
    <x v="1"/>
    <x v="148"/>
    <x v="5"/>
    <x v="5"/>
    <n v="2"/>
  </r>
  <r>
    <x v="3"/>
    <x v="149"/>
    <x v="5"/>
    <x v="5"/>
    <n v="3"/>
  </r>
  <r>
    <x v="5"/>
    <x v="149"/>
    <x v="5"/>
    <x v="5"/>
    <n v="2"/>
  </r>
  <r>
    <x v="4"/>
    <x v="149"/>
    <x v="5"/>
    <x v="5"/>
    <n v="3"/>
  </r>
  <r>
    <x v="0"/>
    <x v="149"/>
    <x v="5"/>
    <x v="5"/>
    <n v="3"/>
  </r>
  <r>
    <x v="2"/>
    <x v="150"/>
    <x v="5"/>
    <x v="5"/>
    <n v="2"/>
  </r>
  <r>
    <x v="1"/>
    <x v="150"/>
    <x v="5"/>
    <x v="5"/>
    <n v="3"/>
  </r>
  <r>
    <x v="2"/>
    <x v="151"/>
    <x v="5"/>
    <x v="5"/>
    <n v="2"/>
  </r>
  <r>
    <x v="2"/>
    <x v="151"/>
    <x v="5"/>
    <x v="5"/>
    <n v="2"/>
  </r>
  <r>
    <x v="1"/>
    <x v="151"/>
    <x v="5"/>
    <x v="5"/>
    <n v="3"/>
  </r>
  <r>
    <x v="0"/>
    <x v="151"/>
    <x v="5"/>
    <x v="5"/>
    <n v="1"/>
  </r>
  <r>
    <x v="4"/>
    <x v="152"/>
    <x v="5"/>
    <x v="5"/>
    <n v="1"/>
  </r>
  <r>
    <x v="0"/>
    <x v="152"/>
    <x v="5"/>
    <x v="5"/>
    <n v="1"/>
  </r>
  <r>
    <x v="2"/>
    <x v="153"/>
    <x v="5"/>
    <x v="5"/>
    <n v="2"/>
  </r>
  <r>
    <x v="2"/>
    <x v="153"/>
    <x v="5"/>
    <x v="5"/>
    <n v="1"/>
  </r>
  <r>
    <x v="4"/>
    <x v="153"/>
    <x v="5"/>
    <x v="5"/>
    <n v="2"/>
  </r>
  <r>
    <x v="0"/>
    <x v="154"/>
    <x v="5"/>
    <x v="5"/>
    <n v="1"/>
  </r>
  <r>
    <x v="4"/>
    <x v="155"/>
    <x v="5"/>
    <x v="5"/>
    <n v="2"/>
  </r>
  <r>
    <x v="1"/>
    <x v="155"/>
    <x v="5"/>
    <x v="5"/>
    <n v="2"/>
  </r>
  <r>
    <x v="0"/>
    <x v="155"/>
    <x v="5"/>
    <x v="5"/>
    <n v="3"/>
  </r>
  <r>
    <x v="0"/>
    <x v="155"/>
    <x v="5"/>
    <x v="5"/>
    <n v="2"/>
  </r>
  <r>
    <x v="5"/>
    <x v="155"/>
    <x v="5"/>
    <x v="5"/>
    <n v="3"/>
  </r>
  <r>
    <x v="3"/>
    <x v="155"/>
    <x v="5"/>
    <x v="5"/>
    <n v="2"/>
  </r>
  <r>
    <x v="3"/>
    <x v="156"/>
    <x v="5"/>
    <x v="5"/>
    <n v="1"/>
  </r>
  <r>
    <x v="5"/>
    <x v="156"/>
    <x v="5"/>
    <x v="5"/>
    <n v="1"/>
  </r>
  <r>
    <x v="3"/>
    <x v="156"/>
    <x v="5"/>
    <x v="5"/>
    <n v="3"/>
  </r>
  <r>
    <x v="0"/>
    <x v="157"/>
    <x v="5"/>
    <x v="5"/>
    <n v="2"/>
  </r>
  <r>
    <x v="2"/>
    <x v="157"/>
    <x v="5"/>
    <x v="5"/>
    <n v="3"/>
  </r>
  <r>
    <x v="3"/>
    <x v="157"/>
    <x v="5"/>
    <x v="5"/>
    <n v="1"/>
  </r>
  <r>
    <x v="0"/>
    <x v="158"/>
    <x v="5"/>
    <x v="5"/>
    <n v="3"/>
  </r>
  <r>
    <x v="1"/>
    <x v="158"/>
    <x v="5"/>
    <x v="5"/>
    <n v="2"/>
  </r>
  <r>
    <x v="2"/>
    <x v="159"/>
    <x v="5"/>
    <x v="5"/>
    <n v="1"/>
  </r>
  <r>
    <x v="0"/>
    <x v="159"/>
    <x v="5"/>
    <x v="5"/>
    <n v="1"/>
  </r>
  <r>
    <x v="1"/>
    <x v="160"/>
    <x v="5"/>
    <x v="5"/>
    <n v="1"/>
  </r>
  <r>
    <x v="0"/>
    <x v="160"/>
    <x v="5"/>
    <x v="5"/>
    <n v="3"/>
  </r>
  <r>
    <x v="1"/>
    <x v="161"/>
    <x v="5"/>
    <x v="5"/>
    <n v="2"/>
  </r>
  <r>
    <x v="1"/>
    <x v="161"/>
    <x v="5"/>
    <x v="5"/>
    <n v="1"/>
  </r>
  <r>
    <x v="4"/>
    <x v="161"/>
    <x v="5"/>
    <x v="5"/>
    <n v="2"/>
  </r>
  <r>
    <x v="0"/>
    <x v="161"/>
    <x v="5"/>
    <x v="5"/>
    <n v="1"/>
  </r>
  <r>
    <x v="4"/>
    <x v="162"/>
    <x v="5"/>
    <x v="5"/>
    <n v="3"/>
  </r>
  <r>
    <x v="0"/>
    <x v="162"/>
    <x v="5"/>
    <x v="5"/>
    <n v="3"/>
  </r>
  <r>
    <x v="0"/>
    <x v="162"/>
    <x v="5"/>
    <x v="5"/>
    <n v="1"/>
  </r>
  <r>
    <x v="2"/>
    <x v="162"/>
    <x v="5"/>
    <x v="5"/>
    <n v="2"/>
  </r>
  <r>
    <x v="1"/>
    <x v="162"/>
    <x v="5"/>
    <x v="5"/>
    <n v="2"/>
  </r>
  <r>
    <x v="2"/>
    <x v="163"/>
    <x v="5"/>
    <x v="5"/>
    <n v="2"/>
  </r>
  <r>
    <x v="5"/>
    <x v="163"/>
    <x v="5"/>
    <x v="5"/>
    <n v="2"/>
  </r>
  <r>
    <x v="0"/>
    <x v="163"/>
    <x v="5"/>
    <x v="5"/>
    <n v="1"/>
  </r>
  <r>
    <x v="3"/>
    <x v="164"/>
    <x v="5"/>
    <x v="5"/>
    <n v="3"/>
  </r>
  <r>
    <x v="1"/>
    <x v="164"/>
    <x v="5"/>
    <x v="5"/>
    <n v="3"/>
  </r>
  <r>
    <x v="5"/>
    <x v="164"/>
    <x v="5"/>
    <x v="5"/>
    <n v="3"/>
  </r>
  <r>
    <x v="0"/>
    <x v="164"/>
    <x v="5"/>
    <x v="5"/>
    <n v="3"/>
  </r>
  <r>
    <x v="4"/>
    <x v="165"/>
    <x v="5"/>
    <x v="5"/>
    <n v="3"/>
  </r>
  <r>
    <x v="1"/>
    <x v="166"/>
    <x v="5"/>
    <x v="5"/>
    <n v="2"/>
  </r>
  <r>
    <x v="5"/>
    <x v="167"/>
    <x v="6"/>
    <x v="6"/>
    <n v="3"/>
  </r>
  <r>
    <x v="0"/>
    <x v="167"/>
    <x v="6"/>
    <x v="6"/>
    <n v="2"/>
  </r>
  <r>
    <x v="1"/>
    <x v="167"/>
    <x v="6"/>
    <x v="6"/>
    <n v="2"/>
  </r>
  <r>
    <x v="5"/>
    <x v="168"/>
    <x v="6"/>
    <x v="6"/>
    <n v="1"/>
  </r>
  <r>
    <x v="0"/>
    <x v="168"/>
    <x v="6"/>
    <x v="6"/>
    <n v="2"/>
  </r>
  <r>
    <x v="0"/>
    <x v="168"/>
    <x v="6"/>
    <x v="6"/>
    <n v="1"/>
  </r>
  <r>
    <x v="0"/>
    <x v="169"/>
    <x v="6"/>
    <x v="6"/>
    <n v="1"/>
  </r>
  <r>
    <x v="0"/>
    <x v="169"/>
    <x v="6"/>
    <x v="6"/>
    <n v="2"/>
  </r>
  <r>
    <x v="5"/>
    <x v="169"/>
    <x v="6"/>
    <x v="6"/>
    <n v="3"/>
  </r>
  <r>
    <x v="2"/>
    <x v="169"/>
    <x v="6"/>
    <x v="6"/>
    <n v="3"/>
  </r>
  <r>
    <x v="2"/>
    <x v="169"/>
    <x v="6"/>
    <x v="6"/>
    <n v="3"/>
  </r>
  <r>
    <x v="0"/>
    <x v="169"/>
    <x v="6"/>
    <x v="6"/>
    <n v="3"/>
  </r>
  <r>
    <x v="4"/>
    <x v="170"/>
    <x v="6"/>
    <x v="6"/>
    <n v="1"/>
  </r>
  <r>
    <x v="3"/>
    <x v="171"/>
    <x v="6"/>
    <x v="6"/>
    <n v="3"/>
  </r>
  <r>
    <x v="3"/>
    <x v="171"/>
    <x v="6"/>
    <x v="6"/>
    <n v="3"/>
  </r>
  <r>
    <x v="0"/>
    <x v="172"/>
    <x v="6"/>
    <x v="6"/>
    <n v="1"/>
  </r>
  <r>
    <x v="1"/>
    <x v="173"/>
    <x v="6"/>
    <x v="6"/>
    <n v="1"/>
  </r>
  <r>
    <x v="1"/>
    <x v="173"/>
    <x v="6"/>
    <x v="6"/>
    <n v="3"/>
  </r>
  <r>
    <x v="2"/>
    <x v="173"/>
    <x v="6"/>
    <x v="6"/>
    <n v="1"/>
  </r>
  <r>
    <x v="4"/>
    <x v="174"/>
    <x v="6"/>
    <x v="6"/>
    <n v="3"/>
  </r>
  <r>
    <x v="2"/>
    <x v="174"/>
    <x v="6"/>
    <x v="6"/>
    <n v="2"/>
  </r>
  <r>
    <x v="5"/>
    <x v="175"/>
    <x v="6"/>
    <x v="6"/>
    <n v="1"/>
  </r>
  <r>
    <x v="2"/>
    <x v="175"/>
    <x v="6"/>
    <x v="6"/>
    <n v="2"/>
  </r>
  <r>
    <x v="2"/>
    <x v="175"/>
    <x v="6"/>
    <x v="6"/>
    <n v="3"/>
  </r>
  <r>
    <x v="3"/>
    <x v="175"/>
    <x v="6"/>
    <x v="6"/>
    <n v="3"/>
  </r>
  <r>
    <x v="1"/>
    <x v="176"/>
    <x v="6"/>
    <x v="6"/>
    <n v="1"/>
  </r>
  <r>
    <x v="3"/>
    <x v="176"/>
    <x v="6"/>
    <x v="6"/>
    <n v="2"/>
  </r>
  <r>
    <x v="2"/>
    <x v="176"/>
    <x v="6"/>
    <x v="6"/>
    <n v="2"/>
  </r>
  <r>
    <x v="4"/>
    <x v="177"/>
    <x v="6"/>
    <x v="6"/>
    <n v="1"/>
  </r>
  <r>
    <x v="2"/>
    <x v="177"/>
    <x v="6"/>
    <x v="6"/>
    <n v="3"/>
  </r>
  <r>
    <x v="0"/>
    <x v="177"/>
    <x v="6"/>
    <x v="6"/>
    <n v="1"/>
  </r>
  <r>
    <x v="5"/>
    <x v="177"/>
    <x v="6"/>
    <x v="6"/>
    <n v="2"/>
  </r>
  <r>
    <x v="4"/>
    <x v="178"/>
    <x v="6"/>
    <x v="6"/>
    <n v="1"/>
  </r>
  <r>
    <x v="0"/>
    <x v="178"/>
    <x v="6"/>
    <x v="6"/>
    <n v="3"/>
  </r>
  <r>
    <x v="0"/>
    <x v="178"/>
    <x v="6"/>
    <x v="6"/>
    <n v="2"/>
  </r>
  <r>
    <x v="4"/>
    <x v="179"/>
    <x v="6"/>
    <x v="6"/>
    <n v="2"/>
  </r>
  <r>
    <x v="0"/>
    <x v="179"/>
    <x v="6"/>
    <x v="6"/>
    <n v="2"/>
  </r>
  <r>
    <x v="0"/>
    <x v="180"/>
    <x v="6"/>
    <x v="6"/>
    <n v="2"/>
  </r>
  <r>
    <x v="0"/>
    <x v="180"/>
    <x v="6"/>
    <x v="6"/>
    <n v="1"/>
  </r>
  <r>
    <x v="0"/>
    <x v="180"/>
    <x v="6"/>
    <x v="6"/>
    <n v="1"/>
  </r>
  <r>
    <x v="0"/>
    <x v="181"/>
    <x v="6"/>
    <x v="6"/>
    <n v="3"/>
  </r>
  <r>
    <x v="0"/>
    <x v="181"/>
    <x v="6"/>
    <x v="6"/>
    <n v="2"/>
  </r>
  <r>
    <x v="5"/>
    <x v="182"/>
    <x v="6"/>
    <x v="6"/>
    <n v="2"/>
  </r>
  <r>
    <x v="5"/>
    <x v="182"/>
    <x v="6"/>
    <x v="6"/>
    <n v="2"/>
  </r>
  <r>
    <x v="0"/>
    <x v="182"/>
    <x v="6"/>
    <x v="6"/>
    <n v="1"/>
  </r>
  <r>
    <x v="2"/>
    <x v="183"/>
    <x v="6"/>
    <x v="6"/>
    <n v="3"/>
  </r>
  <r>
    <x v="1"/>
    <x v="183"/>
    <x v="6"/>
    <x v="6"/>
    <n v="3"/>
  </r>
  <r>
    <x v="3"/>
    <x v="183"/>
    <x v="6"/>
    <x v="6"/>
    <n v="1"/>
  </r>
  <r>
    <x v="3"/>
    <x v="183"/>
    <x v="6"/>
    <x v="6"/>
    <n v="1"/>
  </r>
  <r>
    <x v="2"/>
    <x v="183"/>
    <x v="6"/>
    <x v="6"/>
    <n v="3"/>
  </r>
  <r>
    <x v="2"/>
    <x v="183"/>
    <x v="6"/>
    <x v="6"/>
    <n v="1"/>
  </r>
  <r>
    <x v="1"/>
    <x v="184"/>
    <x v="6"/>
    <x v="6"/>
    <n v="1"/>
  </r>
  <r>
    <x v="0"/>
    <x v="184"/>
    <x v="6"/>
    <x v="6"/>
    <n v="1"/>
  </r>
  <r>
    <x v="0"/>
    <x v="185"/>
    <x v="6"/>
    <x v="6"/>
    <n v="3"/>
  </r>
  <r>
    <x v="4"/>
    <x v="185"/>
    <x v="6"/>
    <x v="6"/>
    <n v="3"/>
  </r>
  <r>
    <x v="4"/>
    <x v="186"/>
    <x v="6"/>
    <x v="6"/>
    <n v="2"/>
  </r>
  <r>
    <x v="4"/>
    <x v="187"/>
    <x v="6"/>
    <x v="6"/>
    <n v="1"/>
  </r>
  <r>
    <x v="1"/>
    <x v="187"/>
    <x v="6"/>
    <x v="6"/>
    <n v="3"/>
  </r>
  <r>
    <x v="1"/>
    <x v="187"/>
    <x v="6"/>
    <x v="6"/>
    <n v="3"/>
  </r>
  <r>
    <x v="3"/>
    <x v="187"/>
    <x v="6"/>
    <x v="6"/>
    <n v="2"/>
  </r>
  <r>
    <x v="4"/>
    <x v="188"/>
    <x v="6"/>
    <x v="6"/>
    <n v="2"/>
  </r>
  <r>
    <x v="0"/>
    <x v="188"/>
    <x v="6"/>
    <x v="6"/>
    <n v="3"/>
  </r>
  <r>
    <x v="1"/>
    <x v="188"/>
    <x v="6"/>
    <x v="6"/>
    <n v="1"/>
  </r>
  <r>
    <x v="5"/>
    <x v="189"/>
    <x v="6"/>
    <x v="6"/>
    <n v="1"/>
  </r>
  <r>
    <x v="3"/>
    <x v="189"/>
    <x v="6"/>
    <x v="6"/>
    <n v="2"/>
  </r>
  <r>
    <x v="5"/>
    <x v="189"/>
    <x v="6"/>
    <x v="6"/>
    <n v="2"/>
  </r>
  <r>
    <x v="0"/>
    <x v="189"/>
    <x v="6"/>
    <x v="6"/>
    <n v="1"/>
  </r>
  <r>
    <x v="5"/>
    <x v="190"/>
    <x v="6"/>
    <x v="6"/>
    <n v="3"/>
  </r>
  <r>
    <x v="4"/>
    <x v="190"/>
    <x v="6"/>
    <x v="6"/>
    <n v="3"/>
  </r>
  <r>
    <x v="4"/>
    <x v="190"/>
    <x v="6"/>
    <x v="6"/>
    <n v="3"/>
  </r>
  <r>
    <x v="4"/>
    <x v="191"/>
    <x v="6"/>
    <x v="6"/>
    <n v="3"/>
  </r>
  <r>
    <x v="0"/>
    <x v="191"/>
    <x v="6"/>
    <x v="6"/>
    <n v="1"/>
  </r>
  <r>
    <x v="5"/>
    <x v="191"/>
    <x v="6"/>
    <x v="6"/>
    <n v="2"/>
  </r>
  <r>
    <x v="5"/>
    <x v="191"/>
    <x v="6"/>
    <x v="6"/>
    <n v="1"/>
  </r>
  <r>
    <x v="2"/>
    <x v="192"/>
    <x v="6"/>
    <x v="6"/>
    <n v="3"/>
  </r>
  <r>
    <x v="1"/>
    <x v="192"/>
    <x v="6"/>
    <x v="6"/>
    <n v="2"/>
  </r>
  <r>
    <x v="4"/>
    <x v="192"/>
    <x v="6"/>
    <x v="6"/>
    <n v="2"/>
  </r>
  <r>
    <x v="3"/>
    <x v="193"/>
    <x v="6"/>
    <x v="6"/>
    <n v="2"/>
  </r>
  <r>
    <x v="2"/>
    <x v="193"/>
    <x v="6"/>
    <x v="6"/>
    <n v="3"/>
  </r>
  <r>
    <x v="1"/>
    <x v="194"/>
    <x v="6"/>
    <x v="6"/>
    <n v="2"/>
  </r>
  <r>
    <x v="1"/>
    <x v="194"/>
    <x v="6"/>
    <x v="6"/>
    <n v="1"/>
  </r>
  <r>
    <x v="2"/>
    <x v="194"/>
    <x v="6"/>
    <x v="6"/>
    <n v="1"/>
  </r>
  <r>
    <x v="0"/>
    <x v="194"/>
    <x v="6"/>
    <x v="6"/>
    <n v="1"/>
  </r>
  <r>
    <x v="1"/>
    <x v="194"/>
    <x v="6"/>
    <x v="6"/>
    <n v="1"/>
  </r>
  <r>
    <x v="4"/>
    <x v="195"/>
    <x v="6"/>
    <x v="6"/>
    <n v="1"/>
  </r>
  <r>
    <x v="5"/>
    <x v="195"/>
    <x v="6"/>
    <x v="6"/>
    <n v="3"/>
  </r>
  <r>
    <x v="5"/>
    <x v="195"/>
    <x v="6"/>
    <x v="6"/>
    <n v="2"/>
  </r>
  <r>
    <x v="5"/>
    <x v="196"/>
    <x v="7"/>
    <x v="7"/>
    <n v="2"/>
  </r>
  <r>
    <x v="3"/>
    <x v="196"/>
    <x v="7"/>
    <x v="7"/>
    <n v="2"/>
  </r>
  <r>
    <x v="2"/>
    <x v="196"/>
    <x v="7"/>
    <x v="7"/>
    <n v="2"/>
  </r>
  <r>
    <x v="3"/>
    <x v="196"/>
    <x v="7"/>
    <x v="7"/>
    <n v="3"/>
  </r>
  <r>
    <x v="1"/>
    <x v="196"/>
    <x v="7"/>
    <x v="7"/>
    <n v="3"/>
  </r>
  <r>
    <x v="5"/>
    <x v="196"/>
    <x v="7"/>
    <x v="7"/>
    <n v="2"/>
  </r>
  <r>
    <x v="0"/>
    <x v="196"/>
    <x v="7"/>
    <x v="7"/>
    <n v="1"/>
  </r>
  <r>
    <x v="0"/>
    <x v="197"/>
    <x v="7"/>
    <x v="7"/>
    <n v="3"/>
  </r>
  <r>
    <x v="1"/>
    <x v="197"/>
    <x v="7"/>
    <x v="7"/>
    <n v="1"/>
  </r>
  <r>
    <x v="4"/>
    <x v="197"/>
    <x v="7"/>
    <x v="7"/>
    <n v="3"/>
  </r>
  <r>
    <x v="5"/>
    <x v="198"/>
    <x v="7"/>
    <x v="7"/>
    <n v="1"/>
  </r>
  <r>
    <x v="5"/>
    <x v="198"/>
    <x v="7"/>
    <x v="7"/>
    <n v="2"/>
  </r>
  <r>
    <x v="3"/>
    <x v="198"/>
    <x v="7"/>
    <x v="7"/>
    <n v="1"/>
  </r>
  <r>
    <x v="5"/>
    <x v="199"/>
    <x v="7"/>
    <x v="7"/>
    <n v="3"/>
  </r>
  <r>
    <x v="4"/>
    <x v="200"/>
    <x v="7"/>
    <x v="7"/>
    <n v="2"/>
  </r>
  <r>
    <x v="4"/>
    <x v="200"/>
    <x v="7"/>
    <x v="7"/>
    <n v="2"/>
  </r>
  <r>
    <x v="2"/>
    <x v="200"/>
    <x v="7"/>
    <x v="7"/>
    <n v="2"/>
  </r>
  <r>
    <x v="1"/>
    <x v="201"/>
    <x v="7"/>
    <x v="7"/>
    <n v="1"/>
  </r>
  <r>
    <x v="5"/>
    <x v="201"/>
    <x v="7"/>
    <x v="7"/>
    <n v="3"/>
  </r>
  <r>
    <x v="1"/>
    <x v="201"/>
    <x v="7"/>
    <x v="7"/>
    <n v="1"/>
  </r>
  <r>
    <x v="4"/>
    <x v="201"/>
    <x v="7"/>
    <x v="7"/>
    <n v="3"/>
  </r>
  <r>
    <x v="2"/>
    <x v="201"/>
    <x v="7"/>
    <x v="7"/>
    <n v="2"/>
  </r>
  <r>
    <x v="3"/>
    <x v="202"/>
    <x v="7"/>
    <x v="7"/>
    <n v="1"/>
  </r>
  <r>
    <x v="3"/>
    <x v="203"/>
    <x v="7"/>
    <x v="7"/>
    <n v="3"/>
  </r>
  <r>
    <x v="5"/>
    <x v="204"/>
    <x v="7"/>
    <x v="7"/>
    <n v="3"/>
  </r>
  <r>
    <x v="5"/>
    <x v="204"/>
    <x v="7"/>
    <x v="7"/>
    <n v="3"/>
  </r>
  <r>
    <x v="0"/>
    <x v="204"/>
    <x v="7"/>
    <x v="7"/>
    <n v="2"/>
  </r>
  <r>
    <x v="0"/>
    <x v="205"/>
    <x v="7"/>
    <x v="7"/>
    <n v="3"/>
  </r>
  <r>
    <x v="2"/>
    <x v="205"/>
    <x v="7"/>
    <x v="7"/>
    <n v="3"/>
  </r>
  <r>
    <x v="1"/>
    <x v="205"/>
    <x v="7"/>
    <x v="7"/>
    <n v="2"/>
  </r>
  <r>
    <x v="5"/>
    <x v="206"/>
    <x v="7"/>
    <x v="7"/>
    <n v="2"/>
  </r>
  <r>
    <x v="0"/>
    <x v="206"/>
    <x v="7"/>
    <x v="7"/>
    <n v="2"/>
  </r>
  <r>
    <x v="3"/>
    <x v="206"/>
    <x v="7"/>
    <x v="7"/>
    <n v="2"/>
  </r>
  <r>
    <x v="5"/>
    <x v="207"/>
    <x v="7"/>
    <x v="7"/>
    <n v="3"/>
  </r>
  <r>
    <x v="3"/>
    <x v="207"/>
    <x v="7"/>
    <x v="7"/>
    <n v="1"/>
  </r>
  <r>
    <x v="2"/>
    <x v="207"/>
    <x v="7"/>
    <x v="7"/>
    <n v="3"/>
  </r>
  <r>
    <x v="4"/>
    <x v="208"/>
    <x v="7"/>
    <x v="7"/>
    <n v="3"/>
  </r>
  <r>
    <x v="4"/>
    <x v="208"/>
    <x v="7"/>
    <x v="7"/>
    <n v="2"/>
  </r>
  <r>
    <x v="5"/>
    <x v="208"/>
    <x v="7"/>
    <x v="7"/>
    <n v="2"/>
  </r>
  <r>
    <x v="1"/>
    <x v="208"/>
    <x v="7"/>
    <x v="7"/>
    <n v="2"/>
  </r>
  <r>
    <x v="1"/>
    <x v="208"/>
    <x v="7"/>
    <x v="7"/>
    <n v="2"/>
  </r>
  <r>
    <x v="4"/>
    <x v="208"/>
    <x v="7"/>
    <x v="7"/>
    <n v="2"/>
  </r>
  <r>
    <x v="2"/>
    <x v="209"/>
    <x v="7"/>
    <x v="7"/>
    <n v="2"/>
  </r>
  <r>
    <x v="5"/>
    <x v="209"/>
    <x v="7"/>
    <x v="7"/>
    <n v="2"/>
  </r>
  <r>
    <x v="0"/>
    <x v="209"/>
    <x v="7"/>
    <x v="7"/>
    <n v="3"/>
  </r>
  <r>
    <x v="0"/>
    <x v="209"/>
    <x v="7"/>
    <x v="7"/>
    <n v="1"/>
  </r>
  <r>
    <x v="0"/>
    <x v="210"/>
    <x v="7"/>
    <x v="7"/>
    <n v="1"/>
  </r>
  <r>
    <x v="5"/>
    <x v="210"/>
    <x v="7"/>
    <x v="7"/>
    <n v="2"/>
  </r>
  <r>
    <x v="1"/>
    <x v="210"/>
    <x v="7"/>
    <x v="7"/>
    <n v="3"/>
  </r>
  <r>
    <x v="4"/>
    <x v="210"/>
    <x v="7"/>
    <x v="7"/>
    <n v="1"/>
  </r>
  <r>
    <x v="2"/>
    <x v="211"/>
    <x v="7"/>
    <x v="7"/>
    <n v="2"/>
  </r>
  <r>
    <x v="1"/>
    <x v="211"/>
    <x v="7"/>
    <x v="7"/>
    <n v="1"/>
  </r>
  <r>
    <x v="2"/>
    <x v="212"/>
    <x v="7"/>
    <x v="7"/>
    <n v="1"/>
  </r>
  <r>
    <x v="0"/>
    <x v="213"/>
    <x v="7"/>
    <x v="7"/>
    <n v="2"/>
  </r>
  <r>
    <x v="1"/>
    <x v="213"/>
    <x v="7"/>
    <x v="7"/>
    <n v="1"/>
  </r>
  <r>
    <x v="0"/>
    <x v="213"/>
    <x v="7"/>
    <x v="7"/>
    <n v="2"/>
  </r>
  <r>
    <x v="5"/>
    <x v="214"/>
    <x v="7"/>
    <x v="7"/>
    <n v="2"/>
  </r>
  <r>
    <x v="5"/>
    <x v="214"/>
    <x v="7"/>
    <x v="7"/>
    <n v="2"/>
  </r>
  <r>
    <x v="1"/>
    <x v="214"/>
    <x v="7"/>
    <x v="7"/>
    <n v="2"/>
  </r>
  <r>
    <x v="0"/>
    <x v="215"/>
    <x v="7"/>
    <x v="7"/>
    <n v="1"/>
  </r>
  <r>
    <x v="0"/>
    <x v="215"/>
    <x v="7"/>
    <x v="7"/>
    <n v="3"/>
  </r>
  <r>
    <x v="2"/>
    <x v="215"/>
    <x v="7"/>
    <x v="7"/>
    <n v="2"/>
  </r>
  <r>
    <x v="4"/>
    <x v="215"/>
    <x v="7"/>
    <x v="7"/>
    <n v="1"/>
  </r>
  <r>
    <x v="5"/>
    <x v="215"/>
    <x v="7"/>
    <x v="7"/>
    <n v="1"/>
  </r>
  <r>
    <x v="3"/>
    <x v="216"/>
    <x v="7"/>
    <x v="7"/>
    <n v="2"/>
  </r>
  <r>
    <x v="0"/>
    <x v="217"/>
    <x v="7"/>
    <x v="7"/>
    <n v="1"/>
  </r>
  <r>
    <x v="0"/>
    <x v="218"/>
    <x v="7"/>
    <x v="7"/>
    <n v="2"/>
  </r>
  <r>
    <x v="4"/>
    <x v="218"/>
    <x v="7"/>
    <x v="7"/>
    <n v="1"/>
  </r>
  <r>
    <x v="0"/>
    <x v="218"/>
    <x v="7"/>
    <x v="7"/>
    <n v="1"/>
  </r>
  <r>
    <x v="0"/>
    <x v="218"/>
    <x v="7"/>
    <x v="7"/>
    <n v="2"/>
  </r>
  <r>
    <x v="3"/>
    <x v="218"/>
    <x v="7"/>
    <x v="7"/>
    <n v="3"/>
  </r>
  <r>
    <x v="3"/>
    <x v="218"/>
    <x v="7"/>
    <x v="7"/>
    <n v="1"/>
  </r>
  <r>
    <x v="0"/>
    <x v="219"/>
    <x v="7"/>
    <x v="7"/>
    <n v="2"/>
  </r>
  <r>
    <x v="0"/>
    <x v="219"/>
    <x v="7"/>
    <x v="7"/>
    <n v="1"/>
  </r>
  <r>
    <x v="0"/>
    <x v="219"/>
    <x v="7"/>
    <x v="7"/>
    <n v="2"/>
  </r>
  <r>
    <x v="4"/>
    <x v="219"/>
    <x v="7"/>
    <x v="7"/>
    <n v="2"/>
  </r>
  <r>
    <x v="1"/>
    <x v="219"/>
    <x v="7"/>
    <x v="7"/>
    <n v="3"/>
  </r>
  <r>
    <x v="0"/>
    <x v="219"/>
    <x v="7"/>
    <x v="7"/>
    <n v="2"/>
  </r>
  <r>
    <x v="2"/>
    <x v="219"/>
    <x v="7"/>
    <x v="7"/>
    <n v="1"/>
  </r>
  <r>
    <x v="0"/>
    <x v="220"/>
    <x v="7"/>
    <x v="7"/>
    <n v="2"/>
  </r>
  <r>
    <x v="3"/>
    <x v="220"/>
    <x v="7"/>
    <x v="7"/>
    <n v="1"/>
  </r>
  <r>
    <x v="1"/>
    <x v="220"/>
    <x v="7"/>
    <x v="7"/>
    <n v="3"/>
  </r>
  <r>
    <x v="3"/>
    <x v="220"/>
    <x v="7"/>
    <x v="7"/>
    <n v="3"/>
  </r>
  <r>
    <x v="0"/>
    <x v="220"/>
    <x v="7"/>
    <x v="7"/>
    <n v="2"/>
  </r>
  <r>
    <x v="2"/>
    <x v="221"/>
    <x v="7"/>
    <x v="7"/>
    <n v="3"/>
  </r>
  <r>
    <x v="3"/>
    <x v="221"/>
    <x v="7"/>
    <x v="7"/>
    <n v="2"/>
  </r>
  <r>
    <x v="5"/>
    <x v="221"/>
    <x v="7"/>
    <x v="7"/>
    <n v="3"/>
  </r>
  <r>
    <x v="1"/>
    <x v="221"/>
    <x v="7"/>
    <x v="7"/>
    <n v="3"/>
  </r>
  <r>
    <x v="5"/>
    <x v="221"/>
    <x v="7"/>
    <x v="7"/>
    <n v="3"/>
  </r>
  <r>
    <x v="1"/>
    <x v="222"/>
    <x v="7"/>
    <x v="7"/>
    <n v="1"/>
  </r>
  <r>
    <x v="1"/>
    <x v="223"/>
    <x v="7"/>
    <x v="7"/>
    <n v="2"/>
  </r>
  <r>
    <x v="1"/>
    <x v="223"/>
    <x v="7"/>
    <x v="7"/>
    <n v="2"/>
  </r>
  <r>
    <x v="3"/>
    <x v="224"/>
    <x v="7"/>
    <x v="7"/>
    <n v="2"/>
  </r>
  <r>
    <x v="0"/>
    <x v="225"/>
    <x v="7"/>
    <x v="7"/>
    <n v="3"/>
  </r>
  <r>
    <x v="2"/>
    <x v="225"/>
    <x v="7"/>
    <x v="7"/>
    <n v="2"/>
  </r>
  <r>
    <x v="0"/>
    <x v="225"/>
    <x v="7"/>
    <x v="7"/>
    <n v="1"/>
  </r>
  <r>
    <x v="0"/>
    <x v="225"/>
    <x v="7"/>
    <x v="7"/>
    <n v="3"/>
  </r>
  <r>
    <x v="5"/>
    <x v="226"/>
    <x v="8"/>
    <x v="8"/>
    <n v="2"/>
  </r>
  <r>
    <x v="3"/>
    <x v="226"/>
    <x v="8"/>
    <x v="8"/>
    <n v="3"/>
  </r>
  <r>
    <x v="4"/>
    <x v="227"/>
    <x v="8"/>
    <x v="8"/>
    <n v="3"/>
  </r>
  <r>
    <x v="1"/>
    <x v="227"/>
    <x v="8"/>
    <x v="8"/>
    <n v="2"/>
  </r>
  <r>
    <x v="3"/>
    <x v="228"/>
    <x v="8"/>
    <x v="8"/>
    <n v="3"/>
  </r>
  <r>
    <x v="0"/>
    <x v="229"/>
    <x v="8"/>
    <x v="8"/>
    <n v="1"/>
  </r>
  <r>
    <x v="3"/>
    <x v="229"/>
    <x v="8"/>
    <x v="8"/>
    <n v="1"/>
  </r>
  <r>
    <x v="1"/>
    <x v="229"/>
    <x v="8"/>
    <x v="8"/>
    <n v="3"/>
  </r>
  <r>
    <x v="3"/>
    <x v="230"/>
    <x v="8"/>
    <x v="8"/>
    <n v="3"/>
  </r>
  <r>
    <x v="5"/>
    <x v="230"/>
    <x v="8"/>
    <x v="8"/>
    <n v="1"/>
  </r>
  <r>
    <x v="2"/>
    <x v="230"/>
    <x v="8"/>
    <x v="8"/>
    <n v="3"/>
  </r>
  <r>
    <x v="3"/>
    <x v="230"/>
    <x v="8"/>
    <x v="8"/>
    <n v="3"/>
  </r>
  <r>
    <x v="0"/>
    <x v="231"/>
    <x v="8"/>
    <x v="8"/>
    <n v="2"/>
  </r>
  <r>
    <x v="3"/>
    <x v="231"/>
    <x v="8"/>
    <x v="8"/>
    <n v="1"/>
  </r>
  <r>
    <x v="5"/>
    <x v="231"/>
    <x v="8"/>
    <x v="8"/>
    <n v="2"/>
  </r>
  <r>
    <x v="1"/>
    <x v="231"/>
    <x v="8"/>
    <x v="8"/>
    <n v="3"/>
  </r>
  <r>
    <x v="0"/>
    <x v="232"/>
    <x v="8"/>
    <x v="8"/>
    <n v="1"/>
  </r>
  <r>
    <x v="4"/>
    <x v="233"/>
    <x v="8"/>
    <x v="8"/>
    <n v="3"/>
  </r>
  <r>
    <x v="0"/>
    <x v="233"/>
    <x v="8"/>
    <x v="8"/>
    <n v="2"/>
  </r>
  <r>
    <x v="5"/>
    <x v="233"/>
    <x v="8"/>
    <x v="8"/>
    <n v="2"/>
  </r>
  <r>
    <x v="3"/>
    <x v="233"/>
    <x v="8"/>
    <x v="8"/>
    <n v="3"/>
  </r>
  <r>
    <x v="3"/>
    <x v="234"/>
    <x v="8"/>
    <x v="8"/>
    <n v="2"/>
  </r>
  <r>
    <x v="0"/>
    <x v="235"/>
    <x v="8"/>
    <x v="8"/>
    <n v="3"/>
  </r>
  <r>
    <x v="1"/>
    <x v="235"/>
    <x v="8"/>
    <x v="8"/>
    <n v="2"/>
  </r>
  <r>
    <x v="2"/>
    <x v="235"/>
    <x v="8"/>
    <x v="8"/>
    <n v="2"/>
  </r>
  <r>
    <x v="0"/>
    <x v="236"/>
    <x v="8"/>
    <x v="8"/>
    <n v="2"/>
  </r>
  <r>
    <x v="5"/>
    <x v="236"/>
    <x v="8"/>
    <x v="8"/>
    <n v="2"/>
  </r>
  <r>
    <x v="0"/>
    <x v="236"/>
    <x v="8"/>
    <x v="8"/>
    <n v="2"/>
  </r>
  <r>
    <x v="2"/>
    <x v="236"/>
    <x v="8"/>
    <x v="8"/>
    <n v="1"/>
  </r>
  <r>
    <x v="1"/>
    <x v="237"/>
    <x v="8"/>
    <x v="8"/>
    <n v="3"/>
  </r>
  <r>
    <x v="4"/>
    <x v="238"/>
    <x v="8"/>
    <x v="8"/>
    <n v="1"/>
  </r>
  <r>
    <x v="0"/>
    <x v="238"/>
    <x v="8"/>
    <x v="8"/>
    <n v="2"/>
  </r>
  <r>
    <x v="0"/>
    <x v="239"/>
    <x v="8"/>
    <x v="8"/>
    <n v="1"/>
  </r>
  <r>
    <x v="2"/>
    <x v="239"/>
    <x v="8"/>
    <x v="8"/>
    <n v="1"/>
  </r>
  <r>
    <x v="4"/>
    <x v="240"/>
    <x v="8"/>
    <x v="8"/>
    <n v="2"/>
  </r>
  <r>
    <x v="0"/>
    <x v="240"/>
    <x v="8"/>
    <x v="8"/>
    <n v="2"/>
  </r>
  <r>
    <x v="0"/>
    <x v="240"/>
    <x v="8"/>
    <x v="8"/>
    <n v="3"/>
  </r>
  <r>
    <x v="2"/>
    <x v="240"/>
    <x v="8"/>
    <x v="8"/>
    <n v="1"/>
  </r>
  <r>
    <x v="5"/>
    <x v="240"/>
    <x v="8"/>
    <x v="8"/>
    <n v="1"/>
  </r>
  <r>
    <x v="4"/>
    <x v="241"/>
    <x v="8"/>
    <x v="8"/>
    <n v="3"/>
  </r>
  <r>
    <x v="0"/>
    <x v="241"/>
    <x v="8"/>
    <x v="8"/>
    <n v="3"/>
  </r>
  <r>
    <x v="4"/>
    <x v="241"/>
    <x v="8"/>
    <x v="8"/>
    <n v="1"/>
  </r>
  <r>
    <x v="5"/>
    <x v="241"/>
    <x v="8"/>
    <x v="8"/>
    <n v="1"/>
  </r>
  <r>
    <x v="0"/>
    <x v="241"/>
    <x v="8"/>
    <x v="8"/>
    <n v="1"/>
  </r>
  <r>
    <x v="3"/>
    <x v="242"/>
    <x v="8"/>
    <x v="8"/>
    <n v="1"/>
  </r>
  <r>
    <x v="3"/>
    <x v="242"/>
    <x v="8"/>
    <x v="8"/>
    <n v="2"/>
  </r>
  <r>
    <x v="4"/>
    <x v="242"/>
    <x v="8"/>
    <x v="8"/>
    <n v="3"/>
  </r>
  <r>
    <x v="0"/>
    <x v="242"/>
    <x v="8"/>
    <x v="8"/>
    <n v="2"/>
  </r>
  <r>
    <x v="4"/>
    <x v="243"/>
    <x v="8"/>
    <x v="8"/>
    <n v="2"/>
  </r>
  <r>
    <x v="0"/>
    <x v="244"/>
    <x v="8"/>
    <x v="8"/>
    <n v="3"/>
  </r>
  <r>
    <x v="4"/>
    <x v="244"/>
    <x v="8"/>
    <x v="8"/>
    <n v="3"/>
  </r>
  <r>
    <x v="1"/>
    <x v="244"/>
    <x v="8"/>
    <x v="8"/>
    <n v="3"/>
  </r>
  <r>
    <x v="2"/>
    <x v="244"/>
    <x v="8"/>
    <x v="8"/>
    <n v="3"/>
  </r>
  <r>
    <x v="1"/>
    <x v="245"/>
    <x v="8"/>
    <x v="8"/>
    <n v="3"/>
  </r>
  <r>
    <x v="0"/>
    <x v="246"/>
    <x v="8"/>
    <x v="8"/>
    <n v="3"/>
  </r>
  <r>
    <x v="5"/>
    <x v="246"/>
    <x v="8"/>
    <x v="8"/>
    <n v="1"/>
  </r>
  <r>
    <x v="0"/>
    <x v="246"/>
    <x v="8"/>
    <x v="8"/>
    <n v="2"/>
  </r>
  <r>
    <x v="4"/>
    <x v="246"/>
    <x v="8"/>
    <x v="8"/>
    <n v="3"/>
  </r>
  <r>
    <x v="5"/>
    <x v="246"/>
    <x v="8"/>
    <x v="8"/>
    <n v="1"/>
  </r>
  <r>
    <x v="2"/>
    <x v="246"/>
    <x v="8"/>
    <x v="8"/>
    <n v="1"/>
  </r>
  <r>
    <x v="2"/>
    <x v="247"/>
    <x v="8"/>
    <x v="8"/>
    <n v="3"/>
  </r>
  <r>
    <x v="3"/>
    <x v="247"/>
    <x v="8"/>
    <x v="8"/>
    <n v="3"/>
  </r>
  <r>
    <x v="1"/>
    <x v="248"/>
    <x v="8"/>
    <x v="8"/>
    <n v="1"/>
  </r>
  <r>
    <x v="1"/>
    <x v="248"/>
    <x v="8"/>
    <x v="8"/>
    <n v="1"/>
  </r>
  <r>
    <x v="3"/>
    <x v="248"/>
    <x v="8"/>
    <x v="8"/>
    <n v="2"/>
  </r>
  <r>
    <x v="3"/>
    <x v="249"/>
    <x v="8"/>
    <x v="8"/>
    <n v="3"/>
  </r>
  <r>
    <x v="0"/>
    <x v="249"/>
    <x v="8"/>
    <x v="8"/>
    <n v="3"/>
  </r>
  <r>
    <x v="4"/>
    <x v="249"/>
    <x v="8"/>
    <x v="8"/>
    <n v="3"/>
  </r>
  <r>
    <x v="0"/>
    <x v="249"/>
    <x v="8"/>
    <x v="8"/>
    <n v="2"/>
  </r>
  <r>
    <x v="0"/>
    <x v="250"/>
    <x v="8"/>
    <x v="8"/>
    <n v="2"/>
  </r>
  <r>
    <x v="4"/>
    <x v="250"/>
    <x v="8"/>
    <x v="8"/>
    <n v="3"/>
  </r>
  <r>
    <x v="2"/>
    <x v="250"/>
    <x v="8"/>
    <x v="8"/>
    <n v="2"/>
  </r>
  <r>
    <x v="5"/>
    <x v="250"/>
    <x v="8"/>
    <x v="8"/>
    <n v="1"/>
  </r>
  <r>
    <x v="3"/>
    <x v="250"/>
    <x v="8"/>
    <x v="8"/>
    <n v="1"/>
  </r>
  <r>
    <x v="3"/>
    <x v="251"/>
    <x v="8"/>
    <x v="8"/>
    <n v="2"/>
  </r>
  <r>
    <x v="2"/>
    <x v="251"/>
    <x v="8"/>
    <x v="8"/>
    <n v="2"/>
  </r>
  <r>
    <x v="0"/>
    <x v="252"/>
    <x v="8"/>
    <x v="8"/>
    <n v="2"/>
  </r>
  <r>
    <x v="2"/>
    <x v="252"/>
    <x v="8"/>
    <x v="8"/>
    <n v="1"/>
  </r>
  <r>
    <x v="1"/>
    <x v="252"/>
    <x v="8"/>
    <x v="8"/>
    <n v="2"/>
  </r>
  <r>
    <x v="0"/>
    <x v="252"/>
    <x v="8"/>
    <x v="8"/>
    <n v="2"/>
  </r>
  <r>
    <x v="0"/>
    <x v="253"/>
    <x v="8"/>
    <x v="8"/>
    <n v="1"/>
  </r>
  <r>
    <x v="2"/>
    <x v="253"/>
    <x v="8"/>
    <x v="8"/>
    <n v="1"/>
  </r>
  <r>
    <x v="0"/>
    <x v="253"/>
    <x v="8"/>
    <x v="8"/>
    <n v="3"/>
  </r>
  <r>
    <x v="4"/>
    <x v="254"/>
    <x v="9"/>
    <x v="9"/>
    <n v="3"/>
  </r>
  <r>
    <x v="2"/>
    <x v="255"/>
    <x v="9"/>
    <x v="9"/>
    <n v="1"/>
  </r>
  <r>
    <x v="0"/>
    <x v="255"/>
    <x v="9"/>
    <x v="9"/>
    <n v="2"/>
  </r>
  <r>
    <x v="0"/>
    <x v="256"/>
    <x v="9"/>
    <x v="9"/>
    <n v="2"/>
  </r>
  <r>
    <x v="5"/>
    <x v="256"/>
    <x v="9"/>
    <x v="9"/>
    <n v="2"/>
  </r>
  <r>
    <x v="4"/>
    <x v="257"/>
    <x v="9"/>
    <x v="9"/>
    <n v="1"/>
  </r>
  <r>
    <x v="0"/>
    <x v="257"/>
    <x v="9"/>
    <x v="9"/>
    <n v="3"/>
  </r>
  <r>
    <x v="1"/>
    <x v="258"/>
    <x v="9"/>
    <x v="9"/>
    <n v="3"/>
  </r>
  <r>
    <x v="0"/>
    <x v="258"/>
    <x v="9"/>
    <x v="9"/>
    <n v="1"/>
  </r>
  <r>
    <x v="0"/>
    <x v="259"/>
    <x v="9"/>
    <x v="9"/>
    <n v="1"/>
  </r>
  <r>
    <x v="2"/>
    <x v="259"/>
    <x v="9"/>
    <x v="9"/>
    <n v="3"/>
  </r>
  <r>
    <x v="0"/>
    <x v="259"/>
    <x v="9"/>
    <x v="9"/>
    <n v="3"/>
  </r>
  <r>
    <x v="1"/>
    <x v="259"/>
    <x v="9"/>
    <x v="9"/>
    <n v="3"/>
  </r>
  <r>
    <x v="0"/>
    <x v="260"/>
    <x v="9"/>
    <x v="9"/>
    <n v="1"/>
  </r>
  <r>
    <x v="5"/>
    <x v="260"/>
    <x v="9"/>
    <x v="9"/>
    <n v="3"/>
  </r>
  <r>
    <x v="3"/>
    <x v="260"/>
    <x v="9"/>
    <x v="9"/>
    <n v="1"/>
  </r>
  <r>
    <x v="3"/>
    <x v="260"/>
    <x v="9"/>
    <x v="9"/>
    <n v="3"/>
  </r>
  <r>
    <x v="0"/>
    <x v="261"/>
    <x v="9"/>
    <x v="9"/>
    <n v="2"/>
  </r>
  <r>
    <x v="3"/>
    <x v="262"/>
    <x v="9"/>
    <x v="9"/>
    <n v="3"/>
  </r>
  <r>
    <x v="0"/>
    <x v="262"/>
    <x v="9"/>
    <x v="9"/>
    <n v="1"/>
  </r>
  <r>
    <x v="0"/>
    <x v="262"/>
    <x v="9"/>
    <x v="9"/>
    <n v="2"/>
  </r>
  <r>
    <x v="5"/>
    <x v="262"/>
    <x v="9"/>
    <x v="9"/>
    <n v="2"/>
  </r>
  <r>
    <x v="1"/>
    <x v="263"/>
    <x v="9"/>
    <x v="9"/>
    <n v="1"/>
  </r>
  <r>
    <x v="4"/>
    <x v="263"/>
    <x v="9"/>
    <x v="9"/>
    <n v="1"/>
  </r>
  <r>
    <x v="4"/>
    <x v="263"/>
    <x v="9"/>
    <x v="9"/>
    <n v="3"/>
  </r>
  <r>
    <x v="0"/>
    <x v="264"/>
    <x v="9"/>
    <x v="9"/>
    <n v="3"/>
  </r>
  <r>
    <x v="0"/>
    <x v="264"/>
    <x v="9"/>
    <x v="9"/>
    <n v="1"/>
  </r>
  <r>
    <x v="3"/>
    <x v="264"/>
    <x v="9"/>
    <x v="9"/>
    <n v="2"/>
  </r>
  <r>
    <x v="2"/>
    <x v="264"/>
    <x v="9"/>
    <x v="9"/>
    <n v="3"/>
  </r>
  <r>
    <x v="1"/>
    <x v="264"/>
    <x v="9"/>
    <x v="9"/>
    <n v="3"/>
  </r>
  <r>
    <x v="4"/>
    <x v="265"/>
    <x v="9"/>
    <x v="9"/>
    <n v="2"/>
  </r>
  <r>
    <x v="5"/>
    <x v="265"/>
    <x v="9"/>
    <x v="9"/>
    <n v="1"/>
  </r>
  <r>
    <x v="5"/>
    <x v="265"/>
    <x v="9"/>
    <x v="9"/>
    <n v="2"/>
  </r>
  <r>
    <x v="5"/>
    <x v="266"/>
    <x v="9"/>
    <x v="9"/>
    <n v="3"/>
  </r>
  <r>
    <x v="4"/>
    <x v="267"/>
    <x v="9"/>
    <x v="9"/>
    <n v="2"/>
  </r>
  <r>
    <x v="4"/>
    <x v="268"/>
    <x v="9"/>
    <x v="9"/>
    <n v="3"/>
  </r>
  <r>
    <x v="2"/>
    <x v="269"/>
    <x v="9"/>
    <x v="9"/>
    <n v="3"/>
  </r>
  <r>
    <x v="2"/>
    <x v="269"/>
    <x v="9"/>
    <x v="9"/>
    <n v="3"/>
  </r>
  <r>
    <x v="3"/>
    <x v="269"/>
    <x v="9"/>
    <x v="9"/>
    <n v="2"/>
  </r>
  <r>
    <x v="0"/>
    <x v="270"/>
    <x v="9"/>
    <x v="9"/>
    <n v="3"/>
  </r>
  <r>
    <x v="5"/>
    <x v="270"/>
    <x v="9"/>
    <x v="9"/>
    <n v="2"/>
  </r>
  <r>
    <x v="0"/>
    <x v="271"/>
    <x v="9"/>
    <x v="9"/>
    <n v="2"/>
  </r>
  <r>
    <x v="0"/>
    <x v="272"/>
    <x v="9"/>
    <x v="9"/>
    <n v="3"/>
  </r>
  <r>
    <x v="5"/>
    <x v="273"/>
    <x v="9"/>
    <x v="9"/>
    <n v="1"/>
  </r>
  <r>
    <x v="3"/>
    <x v="273"/>
    <x v="9"/>
    <x v="9"/>
    <n v="2"/>
  </r>
  <r>
    <x v="2"/>
    <x v="273"/>
    <x v="9"/>
    <x v="9"/>
    <n v="3"/>
  </r>
  <r>
    <x v="0"/>
    <x v="273"/>
    <x v="9"/>
    <x v="9"/>
    <n v="1"/>
  </r>
  <r>
    <x v="4"/>
    <x v="274"/>
    <x v="9"/>
    <x v="9"/>
    <n v="2"/>
  </r>
  <r>
    <x v="4"/>
    <x v="274"/>
    <x v="9"/>
    <x v="9"/>
    <n v="2"/>
  </r>
  <r>
    <x v="4"/>
    <x v="275"/>
    <x v="9"/>
    <x v="9"/>
    <n v="1"/>
  </r>
  <r>
    <x v="4"/>
    <x v="275"/>
    <x v="9"/>
    <x v="9"/>
    <n v="3"/>
  </r>
  <r>
    <x v="3"/>
    <x v="275"/>
    <x v="9"/>
    <x v="9"/>
    <n v="1"/>
  </r>
  <r>
    <x v="1"/>
    <x v="276"/>
    <x v="9"/>
    <x v="9"/>
    <n v="2"/>
  </r>
  <r>
    <x v="0"/>
    <x v="276"/>
    <x v="9"/>
    <x v="9"/>
    <n v="1"/>
  </r>
  <r>
    <x v="2"/>
    <x v="276"/>
    <x v="9"/>
    <x v="9"/>
    <n v="3"/>
  </r>
  <r>
    <x v="0"/>
    <x v="276"/>
    <x v="9"/>
    <x v="9"/>
    <n v="2"/>
  </r>
  <r>
    <x v="0"/>
    <x v="276"/>
    <x v="9"/>
    <x v="9"/>
    <n v="3"/>
  </r>
  <r>
    <x v="3"/>
    <x v="277"/>
    <x v="9"/>
    <x v="9"/>
    <n v="3"/>
  </r>
  <r>
    <x v="4"/>
    <x v="277"/>
    <x v="9"/>
    <x v="9"/>
    <n v="1"/>
  </r>
  <r>
    <x v="2"/>
    <x v="278"/>
    <x v="9"/>
    <x v="9"/>
    <n v="2"/>
  </r>
  <r>
    <x v="2"/>
    <x v="278"/>
    <x v="9"/>
    <x v="9"/>
    <n v="3"/>
  </r>
  <r>
    <x v="2"/>
    <x v="278"/>
    <x v="9"/>
    <x v="9"/>
    <n v="3"/>
  </r>
  <r>
    <x v="0"/>
    <x v="278"/>
    <x v="9"/>
    <x v="9"/>
    <n v="2"/>
  </r>
  <r>
    <x v="2"/>
    <x v="278"/>
    <x v="9"/>
    <x v="9"/>
    <n v="3"/>
  </r>
  <r>
    <x v="5"/>
    <x v="278"/>
    <x v="9"/>
    <x v="9"/>
    <n v="3"/>
  </r>
  <r>
    <x v="5"/>
    <x v="278"/>
    <x v="9"/>
    <x v="9"/>
    <n v="1"/>
  </r>
  <r>
    <x v="0"/>
    <x v="278"/>
    <x v="9"/>
    <x v="9"/>
    <n v="2"/>
  </r>
  <r>
    <x v="1"/>
    <x v="278"/>
    <x v="9"/>
    <x v="9"/>
    <n v="3"/>
  </r>
  <r>
    <x v="5"/>
    <x v="279"/>
    <x v="9"/>
    <x v="9"/>
    <n v="2"/>
  </r>
  <r>
    <x v="5"/>
    <x v="279"/>
    <x v="9"/>
    <x v="9"/>
    <n v="3"/>
  </r>
  <r>
    <x v="5"/>
    <x v="279"/>
    <x v="9"/>
    <x v="9"/>
    <n v="3"/>
  </r>
  <r>
    <x v="4"/>
    <x v="279"/>
    <x v="9"/>
    <x v="9"/>
    <n v="1"/>
  </r>
  <r>
    <x v="1"/>
    <x v="280"/>
    <x v="9"/>
    <x v="9"/>
    <n v="2"/>
  </r>
  <r>
    <x v="0"/>
    <x v="281"/>
    <x v="9"/>
    <x v="9"/>
    <n v="3"/>
  </r>
  <r>
    <x v="1"/>
    <x v="281"/>
    <x v="9"/>
    <x v="9"/>
    <n v="3"/>
  </r>
  <r>
    <x v="4"/>
    <x v="281"/>
    <x v="9"/>
    <x v="9"/>
    <n v="1"/>
  </r>
  <r>
    <x v="5"/>
    <x v="282"/>
    <x v="9"/>
    <x v="9"/>
    <n v="2"/>
  </r>
  <r>
    <x v="0"/>
    <x v="283"/>
    <x v="9"/>
    <x v="9"/>
    <n v="2"/>
  </r>
  <r>
    <x v="0"/>
    <x v="283"/>
    <x v="9"/>
    <x v="9"/>
    <n v="1"/>
  </r>
  <r>
    <x v="3"/>
    <x v="283"/>
    <x v="9"/>
    <x v="9"/>
    <n v="2"/>
  </r>
  <r>
    <x v="3"/>
    <x v="284"/>
    <x v="10"/>
    <x v="10"/>
    <n v="2"/>
  </r>
  <r>
    <x v="5"/>
    <x v="284"/>
    <x v="10"/>
    <x v="10"/>
    <n v="3"/>
  </r>
  <r>
    <x v="1"/>
    <x v="284"/>
    <x v="10"/>
    <x v="10"/>
    <n v="2"/>
  </r>
  <r>
    <x v="2"/>
    <x v="285"/>
    <x v="10"/>
    <x v="10"/>
    <n v="1"/>
  </r>
  <r>
    <x v="4"/>
    <x v="286"/>
    <x v="10"/>
    <x v="10"/>
    <n v="3"/>
  </r>
  <r>
    <x v="3"/>
    <x v="286"/>
    <x v="10"/>
    <x v="10"/>
    <n v="1"/>
  </r>
  <r>
    <x v="1"/>
    <x v="286"/>
    <x v="10"/>
    <x v="10"/>
    <n v="3"/>
  </r>
  <r>
    <x v="0"/>
    <x v="286"/>
    <x v="10"/>
    <x v="10"/>
    <n v="2"/>
  </r>
  <r>
    <x v="0"/>
    <x v="286"/>
    <x v="10"/>
    <x v="10"/>
    <n v="1"/>
  </r>
  <r>
    <x v="1"/>
    <x v="287"/>
    <x v="10"/>
    <x v="10"/>
    <n v="1"/>
  </r>
  <r>
    <x v="0"/>
    <x v="288"/>
    <x v="10"/>
    <x v="10"/>
    <n v="3"/>
  </r>
  <r>
    <x v="0"/>
    <x v="289"/>
    <x v="10"/>
    <x v="10"/>
    <n v="1"/>
  </r>
  <r>
    <x v="0"/>
    <x v="290"/>
    <x v="10"/>
    <x v="10"/>
    <n v="1"/>
  </r>
  <r>
    <x v="3"/>
    <x v="291"/>
    <x v="10"/>
    <x v="10"/>
    <n v="3"/>
  </r>
  <r>
    <x v="4"/>
    <x v="291"/>
    <x v="10"/>
    <x v="10"/>
    <n v="2"/>
  </r>
  <r>
    <x v="2"/>
    <x v="291"/>
    <x v="10"/>
    <x v="10"/>
    <n v="1"/>
  </r>
  <r>
    <x v="0"/>
    <x v="292"/>
    <x v="10"/>
    <x v="10"/>
    <n v="1"/>
  </r>
  <r>
    <x v="0"/>
    <x v="292"/>
    <x v="10"/>
    <x v="10"/>
    <n v="3"/>
  </r>
  <r>
    <x v="5"/>
    <x v="292"/>
    <x v="10"/>
    <x v="10"/>
    <n v="2"/>
  </r>
  <r>
    <x v="0"/>
    <x v="292"/>
    <x v="10"/>
    <x v="10"/>
    <n v="2"/>
  </r>
  <r>
    <x v="0"/>
    <x v="292"/>
    <x v="10"/>
    <x v="10"/>
    <n v="2"/>
  </r>
  <r>
    <x v="1"/>
    <x v="293"/>
    <x v="10"/>
    <x v="10"/>
    <n v="2"/>
  </r>
  <r>
    <x v="2"/>
    <x v="293"/>
    <x v="10"/>
    <x v="10"/>
    <n v="2"/>
  </r>
  <r>
    <x v="5"/>
    <x v="293"/>
    <x v="10"/>
    <x v="10"/>
    <n v="2"/>
  </r>
  <r>
    <x v="4"/>
    <x v="294"/>
    <x v="10"/>
    <x v="10"/>
    <n v="1"/>
  </r>
  <r>
    <x v="5"/>
    <x v="294"/>
    <x v="10"/>
    <x v="10"/>
    <n v="3"/>
  </r>
  <r>
    <x v="0"/>
    <x v="294"/>
    <x v="10"/>
    <x v="10"/>
    <n v="3"/>
  </r>
  <r>
    <x v="0"/>
    <x v="294"/>
    <x v="10"/>
    <x v="10"/>
    <n v="2"/>
  </r>
  <r>
    <x v="3"/>
    <x v="294"/>
    <x v="10"/>
    <x v="10"/>
    <n v="1"/>
  </r>
  <r>
    <x v="0"/>
    <x v="295"/>
    <x v="10"/>
    <x v="10"/>
    <n v="1"/>
  </r>
  <r>
    <x v="3"/>
    <x v="296"/>
    <x v="10"/>
    <x v="10"/>
    <n v="1"/>
  </r>
  <r>
    <x v="5"/>
    <x v="296"/>
    <x v="10"/>
    <x v="10"/>
    <n v="1"/>
  </r>
  <r>
    <x v="2"/>
    <x v="296"/>
    <x v="10"/>
    <x v="10"/>
    <n v="3"/>
  </r>
  <r>
    <x v="2"/>
    <x v="297"/>
    <x v="10"/>
    <x v="10"/>
    <n v="1"/>
  </r>
  <r>
    <x v="2"/>
    <x v="297"/>
    <x v="10"/>
    <x v="10"/>
    <n v="1"/>
  </r>
  <r>
    <x v="0"/>
    <x v="298"/>
    <x v="10"/>
    <x v="10"/>
    <n v="1"/>
  </r>
  <r>
    <x v="4"/>
    <x v="298"/>
    <x v="10"/>
    <x v="10"/>
    <n v="3"/>
  </r>
  <r>
    <x v="3"/>
    <x v="298"/>
    <x v="10"/>
    <x v="10"/>
    <n v="1"/>
  </r>
  <r>
    <x v="0"/>
    <x v="298"/>
    <x v="10"/>
    <x v="10"/>
    <n v="2"/>
  </r>
  <r>
    <x v="4"/>
    <x v="298"/>
    <x v="10"/>
    <x v="10"/>
    <n v="2"/>
  </r>
  <r>
    <x v="2"/>
    <x v="298"/>
    <x v="10"/>
    <x v="10"/>
    <n v="1"/>
  </r>
  <r>
    <x v="0"/>
    <x v="299"/>
    <x v="10"/>
    <x v="10"/>
    <n v="1"/>
  </r>
  <r>
    <x v="0"/>
    <x v="299"/>
    <x v="10"/>
    <x v="10"/>
    <n v="3"/>
  </r>
  <r>
    <x v="3"/>
    <x v="299"/>
    <x v="10"/>
    <x v="10"/>
    <n v="1"/>
  </r>
  <r>
    <x v="1"/>
    <x v="299"/>
    <x v="10"/>
    <x v="10"/>
    <n v="2"/>
  </r>
  <r>
    <x v="3"/>
    <x v="299"/>
    <x v="10"/>
    <x v="10"/>
    <n v="2"/>
  </r>
  <r>
    <x v="0"/>
    <x v="299"/>
    <x v="10"/>
    <x v="10"/>
    <n v="3"/>
  </r>
  <r>
    <x v="2"/>
    <x v="299"/>
    <x v="10"/>
    <x v="10"/>
    <n v="3"/>
  </r>
  <r>
    <x v="0"/>
    <x v="300"/>
    <x v="10"/>
    <x v="10"/>
    <n v="2"/>
  </r>
  <r>
    <x v="1"/>
    <x v="300"/>
    <x v="10"/>
    <x v="10"/>
    <n v="2"/>
  </r>
  <r>
    <x v="4"/>
    <x v="300"/>
    <x v="10"/>
    <x v="10"/>
    <n v="3"/>
  </r>
  <r>
    <x v="0"/>
    <x v="301"/>
    <x v="10"/>
    <x v="10"/>
    <n v="2"/>
  </r>
  <r>
    <x v="0"/>
    <x v="301"/>
    <x v="10"/>
    <x v="10"/>
    <n v="3"/>
  </r>
  <r>
    <x v="5"/>
    <x v="301"/>
    <x v="10"/>
    <x v="10"/>
    <n v="1"/>
  </r>
  <r>
    <x v="5"/>
    <x v="301"/>
    <x v="10"/>
    <x v="10"/>
    <n v="1"/>
  </r>
  <r>
    <x v="0"/>
    <x v="301"/>
    <x v="10"/>
    <x v="10"/>
    <n v="2"/>
  </r>
  <r>
    <x v="4"/>
    <x v="301"/>
    <x v="10"/>
    <x v="10"/>
    <n v="2"/>
  </r>
  <r>
    <x v="3"/>
    <x v="302"/>
    <x v="10"/>
    <x v="10"/>
    <n v="3"/>
  </r>
  <r>
    <x v="5"/>
    <x v="302"/>
    <x v="10"/>
    <x v="10"/>
    <n v="2"/>
  </r>
  <r>
    <x v="4"/>
    <x v="302"/>
    <x v="10"/>
    <x v="10"/>
    <n v="3"/>
  </r>
  <r>
    <x v="4"/>
    <x v="302"/>
    <x v="10"/>
    <x v="10"/>
    <n v="2"/>
  </r>
  <r>
    <x v="4"/>
    <x v="302"/>
    <x v="10"/>
    <x v="10"/>
    <n v="2"/>
  </r>
  <r>
    <x v="5"/>
    <x v="302"/>
    <x v="10"/>
    <x v="10"/>
    <n v="3"/>
  </r>
  <r>
    <x v="4"/>
    <x v="303"/>
    <x v="10"/>
    <x v="10"/>
    <n v="2"/>
  </r>
  <r>
    <x v="4"/>
    <x v="303"/>
    <x v="10"/>
    <x v="10"/>
    <n v="3"/>
  </r>
  <r>
    <x v="3"/>
    <x v="304"/>
    <x v="10"/>
    <x v="10"/>
    <n v="1"/>
  </r>
  <r>
    <x v="3"/>
    <x v="304"/>
    <x v="10"/>
    <x v="10"/>
    <n v="2"/>
  </r>
  <r>
    <x v="2"/>
    <x v="304"/>
    <x v="10"/>
    <x v="10"/>
    <n v="3"/>
  </r>
  <r>
    <x v="2"/>
    <x v="304"/>
    <x v="10"/>
    <x v="10"/>
    <n v="1"/>
  </r>
  <r>
    <x v="4"/>
    <x v="305"/>
    <x v="10"/>
    <x v="10"/>
    <n v="2"/>
  </r>
  <r>
    <x v="3"/>
    <x v="305"/>
    <x v="10"/>
    <x v="10"/>
    <n v="2"/>
  </r>
  <r>
    <x v="4"/>
    <x v="305"/>
    <x v="10"/>
    <x v="10"/>
    <n v="2"/>
  </r>
  <r>
    <x v="0"/>
    <x v="306"/>
    <x v="10"/>
    <x v="10"/>
    <n v="2"/>
  </r>
  <r>
    <x v="5"/>
    <x v="306"/>
    <x v="10"/>
    <x v="10"/>
    <n v="2"/>
  </r>
  <r>
    <x v="1"/>
    <x v="306"/>
    <x v="10"/>
    <x v="10"/>
    <n v="3"/>
  </r>
  <r>
    <x v="5"/>
    <x v="306"/>
    <x v="10"/>
    <x v="10"/>
    <n v="1"/>
  </r>
  <r>
    <x v="4"/>
    <x v="307"/>
    <x v="10"/>
    <x v="10"/>
    <n v="3"/>
  </r>
  <r>
    <x v="4"/>
    <x v="307"/>
    <x v="10"/>
    <x v="10"/>
    <n v="2"/>
  </r>
  <r>
    <x v="1"/>
    <x v="307"/>
    <x v="10"/>
    <x v="10"/>
    <n v="1"/>
  </r>
  <r>
    <x v="0"/>
    <x v="307"/>
    <x v="10"/>
    <x v="10"/>
    <n v="3"/>
  </r>
  <r>
    <x v="4"/>
    <x v="308"/>
    <x v="10"/>
    <x v="10"/>
    <n v="3"/>
  </r>
  <r>
    <x v="4"/>
    <x v="308"/>
    <x v="10"/>
    <x v="10"/>
    <n v="2"/>
  </r>
  <r>
    <x v="1"/>
    <x v="309"/>
    <x v="10"/>
    <x v="10"/>
    <n v="2"/>
  </r>
  <r>
    <x v="5"/>
    <x v="309"/>
    <x v="10"/>
    <x v="10"/>
    <n v="2"/>
  </r>
  <r>
    <x v="1"/>
    <x v="309"/>
    <x v="10"/>
    <x v="10"/>
    <n v="1"/>
  </r>
  <r>
    <x v="2"/>
    <x v="309"/>
    <x v="10"/>
    <x v="10"/>
    <n v="2"/>
  </r>
  <r>
    <x v="4"/>
    <x v="309"/>
    <x v="10"/>
    <x v="10"/>
    <n v="2"/>
  </r>
  <r>
    <x v="0"/>
    <x v="310"/>
    <x v="10"/>
    <x v="10"/>
    <n v="3"/>
  </r>
  <r>
    <x v="5"/>
    <x v="311"/>
    <x v="10"/>
    <x v="10"/>
    <n v="2"/>
  </r>
  <r>
    <x v="2"/>
    <x v="312"/>
    <x v="10"/>
    <x v="10"/>
    <n v="1"/>
  </r>
  <r>
    <x v="1"/>
    <x v="312"/>
    <x v="10"/>
    <x v="10"/>
    <n v="2"/>
  </r>
  <r>
    <x v="0"/>
    <x v="312"/>
    <x v="10"/>
    <x v="10"/>
    <n v="2"/>
  </r>
  <r>
    <x v="1"/>
    <x v="313"/>
    <x v="10"/>
    <x v="10"/>
    <n v="1"/>
  </r>
  <r>
    <x v="4"/>
    <x v="313"/>
    <x v="10"/>
    <x v="10"/>
    <n v="1"/>
  </r>
  <r>
    <x v="4"/>
    <x v="314"/>
    <x v="11"/>
    <x v="11"/>
    <n v="2"/>
  </r>
  <r>
    <x v="3"/>
    <x v="315"/>
    <x v="11"/>
    <x v="11"/>
    <n v="2"/>
  </r>
  <r>
    <x v="0"/>
    <x v="315"/>
    <x v="11"/>
    <x v="11"/>
    <n v="3"/>
  </r>
  <r>
    <x v="1"/>
    <x v="316"/>
    <x v="11"/>
    <x v="11"/>
    <n v="2"/>
  </r>
  <r>
    <x v="0"/>
    <x v="317"/>
    <x v="11"/>
    <x v="11"/>
    <n v="3"/>
  </r>
  <r>
    <x v="3"/>
    <x v="317"/>
    <x v="11"/>
    <x v="11"/>
    <n v="1"/>
  </r>
  <r>
    <x v="4"/>
    <x v="318"/>
    <x v="11"/>
    <x v="11"/>
    <n v="2"/>
  </r>
  <r>
    <x v="2"/>
    <x v="318"/>
    <x v="11"/>
    <x v="11"/>
    <n v="1"/>
  </r>
  <r>
    <x v="0"/>
    <x v="318"/>
    <x v="11"/>
    <x v="11"/>
    <n v="2"/>
  </r>
  <r>
    <x v="5"/>
    <x v="318"/>
    <x v="11"/>
    <x v="11"/>
    <n v="1"/>
  </r>
  <r>
    <x v="4"/>
    <x v="319"/>
    <x v="11"/>
    <x v="11"/>
    <n v="1"/>
  </r>
  <r>
    <x v="3"/>
    <x v="320"/>
    <x v="11"/>
    <x v="11"/>
    <n v="1"/>
  </r>
  <r>
    <x v="2"/>
    <x v="320"/>
    <x v="11"/>
    <x v="11"/>
    <n v="3"/>
  </r>
  <r>
    <x v="0"/>
    <x v="320"/>
    <x v="11"/>
    <x v="11"/>
    <n v="1"/>
  </r>
  <r>
    <x v="1"/>
    <x v="320"/>
    <x v="11"/>
    <x v="11"/>
    <n v="1"/>
  </r>
  <r>
    <x v="0"/>
    <x v="321"/>
    <x v="11"/>
    <x v="11"/>
    <n v="2"/>
  </r>
  <r>
    <x v="2"/>
    <x v="322"/>
    <x v="11"/>
    <x v="11"/>
    <n v="2"/>
  </r>
  <r>
    <x v="0"/>
    <x v="323"/>
    <x v="11"/>
    <x v="11"/>
    <n v="3"/>
  </r>
  <r>
    <x v="5"/>
    <x v="323"/>
    <x v="11"/>
    <x v="11"/>
    <n v="2"/>
  </r>
  <r>
    <x v="1"/>
    <x v="323"/>
    <x v="11"/>
    <x v="11"/>
    <n v="1"/>
  </r>
  <r>
    <x v="0"/>
    <x v="324"/>
    <x v="11"/>
    <x v="11"/>
    <n v="3"/>
  </r>
  <r>
    <x v="5"/>
    <x v="324"/>
    <x v="11"/>
    <x v="11"/>
    <n v="2"/>
  </r>
  <r>
    <x v="0"/>
    <x v="324"/>
    <x v="11"/>
    <x v="11"/>
    <n v="3"/>
  </r>
  <r>
    <x v="5"/>
    <x v="324"/>
    <x v="11"/>
    <x v="11"/>
    <n v="1"/>
  </r>
  <r>
    <x v="0"/>
    <x v="325"/>
    <x v="11"/>
    <x v="11"/>
    <n v="2"/>
  </r>
  <r>
    <x v="3"/>
    <x v="325"/>
    <x v="11"/>
    <x v="11"/>
    <n v="2"/>
  </r>
  <r>
    <x v="4"/>
    <x v="325"/>
    <x v="11"/>
    <x v="11"/>
    <n v="3"/>
  </r>
  <r>
    <x v="0"/>
    <x v="325"/>
    <x v="11"/>
    <x v="11"/>
    <n v="3"/>
  </r>
  <r>
    <x v="4"/>
    <x v="326"/>
    <x v="11"/>
    <x v="11"/>
    <n v="2"/>
  </r>
  <r>
    <x v="3"/>
    <x v="326"/>
    <x v="11"/>
    <x v="11"/>
    <n v="3"/>
  </r>
  <r>
    <x v="0"/>
    <x v="326"/>
    <x v="11"/>
    <x v="11"/>
    <n v="3"/>
  </r>
  <r>
    <x v="1"/>
    <x v="326"/>
    <x v="11"/>
    <x v="11"/>
    <n v="2"/>
  </r>
  <r>
    <x v="5"/>
    <x v="326"/>
    <x v="11"/>
    <x v="11"/>
    <n v="2"/>
  </r>
  <r>
    <x v="0"/>
    <x v="326"/>
    <x v="11"/>
    <x v="11"/>
    <n v="3"/>
  </r>
  <r>
    <x v="0"/>
    <x v="327"/>
    <x v="11"/>
    <x v="11"/>
    <n v="2"/>
  </r>
  <r>
    <x v="5"/>
    <x v="328"/>
    <x v="11"/>
    <x v="11"/>
    <n v="2"/>
  </r>
  <r>
    <x v="2"/>
    <x v="328"/>
    <x v="11"/>
    <x v="11"/>
    <n v="2"/>
  </r>
  <r>
    <x v="3"/>
    <x v="328"/>
    <x v="11"/>
    <x v="11"/>
    <n v="2"/>
  </r>
  <r>
    <x v="0"/>
    <x v="328"/>
    <x v="11"/>
    <x v="11"/>
    <n v="3"/>
  </r>
  <r>
    <x v="3"/>
    <x v="328"/>
    <x v="11"/>
    <x v="11"/>
    <n v="2"/>
  </r>
  <r>
    <x v="2"/>
    <x v="328"/>
    <x v="11"/>
    <x v="11"/>
    <n v="1"/>
  </r>
  <r>
    <x v="1"/>
    <x v="328"/>
    <x v="11"/>
    <x v="11"/>
    <n v="3"/>
  </r>
  <r>
    <x v="5"/>
    <x v="328"/>
    <x v="11"/>
    <x v="11"/>
    <n v="2"/>
  </r>
  <r>
    <x v="3"/>
    <x v="329"/>
    <x v="11"/>
    <x v="11"/>
    <n v="2"/>
  </r>
  <r>
    <x v="0"/>
    <x v="330"/>
    <x v="11"/>
    <x v="11"/>
    <n v="3"/>
  </r>
  <r>
    <x v="5"/>
    <x v="330"/>
    <x v="11"/>
    <x v="11"/>
    <n v="3"/>
  </r>
  <r>
    <x v="1"/>
    <x v="331"/>
    <x v="11"/>
    <x v="11"/>
    <n v="1"/>
  </r>
  <r>
    <x v="0"/>
    <x v="331"/>
    <x v="11"/>
    <x v="11"/>
    <n v="2"/>
  </r>
  <r>
    <x v="4"/>
    <x v="331"/>
    <x v="11"/>
    <x v="11"/>
    <n v="3"/>
  </r>
  <r>
    <x v="2"/>
    <x v="332"/>
    <x v="11"/>
    <x v="11"/>
    <n v="2"/>
  </r>
  <r>
    <x v="4"/>
    <x v="332"/>
    <x v="11"/>
    <x v="11"/>
    <n v="1"/>
  </r>
  <r>
    <x v="0"/>
    <x v="332"/>
    <x v="11"/>
    <x v="11"/>
    <n v="1"/>
  </r>
  <r>
    <x v="0"/>
    <x v="332"/>
    <x v="11"/>
    <x v="11"/>
    <n v="2"/>
  </r>
  <r>
    <x v="4"/>
    <x v="333"/>
    <x v="11"/>
    <x v="11"/>
    <n v="3"/>
  </r>
  <r>
    <x v="3"/>
    <x v="333"/>
    <x v="11"/>
    <x v="11"/>
    <n v="3"/>
  </r>
  <r>
    <x v="1"/>
    <x v="333"/>
    <x v="11"/>
    <x v="11"/>
    <n v="3"/>
  </r>
  <r>
    <x v="0"/>
    <x v="334"/>
    <x v="11"/>
    <x v="11"/>
    <n v="1"/>
  </r>
  <r>
    <x v="4"/>
    <x v="334"/>
    <x v="11"/>
    <x v="11"/>
    <n v="1"/>
  </r>
  <r>
    <x v="0"/>
    <x v="334"/>
    <x v="11"/>
    <x v="11"/>
    <n v="3"/>
  </r>
  <r>
    <x v="2"/>
    <x v="334"/>
    <x v="11"/>
    <x v="11"/>
    <n v="1"/>
  </r>
  <r>
    <x v="1"/>
    <x v="334"/>
    <x v="11"/>
    <x v="11"/>
    <n v="2"/>
  </r>
  <r>
    <x v="3"/>
    <x v="335"/>
    <x v="11"/>
    <x v="11"/>
    <n v="2"/>
  </r>
  <r>
    <x v="3"/>
    <x v="336"/>
    <x v="11"/>
    <x v="11"/>
    <n v="3"/>
  </r>
  <r>
    <x v="0"/>
    <x v="336"/>
    <x v="11"/>
    <x v="11"/>
    <n v="3"/>
  </r>
  <r>
    <x v="3"/>
    <x v="337"/>
    <x v="11"/>
    <x v="11"/>
    <n v="1"/>
  </r>
  <r>
    <x v="5"/>
    <x v="337"/>
    <x v="11"/>
    <x v="11"/>
    <n v="3"/>
  </r>
  <r>
    <x v="5"/>
    <x v="337"/>
    <x v="11"/>
    <x v="11"/>
    <n v="3"/>
  </r>
  <r>
    <x v="2"/>
    <x v="337"/>
    <x v="11"/>
    <x v="11"/>
    <n v="2"/>
  </r>
  <r>
    <x v="0"/>
    <x v="338"/>
    <x v="11"/>
    <x v="11"/>
    <n v="2"/>
  </r>
  <r>
    <x v="2"/>
    <x v="339"/>
    <x v="11"/>
    <x v="11"/>
    <n v="2"/>
  </r>
  <r>
    <x v="1"/>
    <x v="339"/>
    <x v="11"/>
    <x v="11"/>
    <n v="3"/>
  </r>
  <r>
    <x v="0"/>
    <x v="339"/>
    <x v="11"/>
    <x v="11"/>
    <n v="3"/>
  </r>
  <r>
    <x v="4"/>
    <x v="340"/>
    <x v="11"/>
    <x v="11"/>
    <n v="3"/>
  </r>
  <r>
    <x v="3"/>
    <x v="340"/>
    <x v="11"/>
    <x v="11"/>
    <n v="2"/>
  </r>
  <r>
    <x v="4"/>
    <x v="341"/>
    <x v="11"/>
    <x v="11"/>
    <n v="1"/>
  </r>
  <r>
    <x v="3"/>
    <x v="342"/>
    <x v="11"/>
    <x v="11"/>
    <n v="3"/>
  </r>
  <r>
    <x v="4"/>
    <x v="342"/>
    <x v="11"/>
    <x v="11"/>
    <n v="3"/>
  </r>
  <r>
    <x v="3"/>
    <x v="343"/>
    <x v="11"/>
    <x v="11"/>
    <n v="1"/>
  </r>
  <r>
    <x v="2"/>
    <x v="343"/>
    <x v="11"/>
    <x v="11"/>
    <n v="2"/>
  </r>
  <r>
    <x v="5"/>
    <x v="343"/>
    <x v="11"/>
    <x v="11"/>
    <n v="1"/>
  </r>
  <r>
    <x v="2"/>
    <x v="343"/>
    <x v="11"/>
    <x v="11"/>
    <n v="2"/>
  </r>
  <r>
    <x v="5"/>
    <x v="343"/>
    <x v="11"/>
    <x v="11"/>
    <n v="3"/>
  </r>
  <r>
    <x v="6"/>
    <x v="344"/>
    <x v="12"/>
    <x v="12"/>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1">
  <r>
    <s v="Holloway Raven"/>
    <s v="Mentoring program"/>
    <d v="2024-01-01T00:00:00"/>
    <x v="0"/>
    <n v="3"/>
    <s v="Gold"/>
    <s v="Service Booked"/>
    <n v="75058"/>
    <x v="0"/>
    <s v="King Street"/>
    <s v="Whyalla"/>
    <n v="5600"/>
    <n v="1200"/>
    <n v="3600"/>
  </r>
  <r>
    <s v="Sexton Meadow"/>
    <s v="Interview Prep"/>
    <d v="2024-01-01T00:00:00"/>
    <x v="0"/>
    <n v="3"/>
    <s v="Gold"/>
    <s v="Delivered"/>
    <n v="46175"/>
    <x v="1"/>
    <s v="Park Avenue"/>
    <s v="Newcastle"/>
    <n v="2300"/>
    <n v="250"/>
    <n v="750"/>
  </r>
  <r>
    <s v="Delacruz Zayne"/>
    <s v="Resume + LinkedIn Profile"/>
    <d v="2024-01-01T00:00:00"/>
    <x v="0"/>
    <n v="3"/>
    <s v="Gold"/>
    <s v="Delivered"/>
    <n v="20166"/>
    <x v="2"/>
    <s v="Park Avenue"/>
    <s v="Brisbane"/>
    <n v="4000"/>
    <n v="800"/>
    <n v="2400"/>
  </r>
  <r>
    <s v="Ellison Frederick"/>
    <s v="Interview Prep"/>
    <d v="2024-01-01T00:00:00"/>
    <x v="0"/>
    <n v="2"/>
    <s v="Silver"/>
    <s v="Delivered"/>
    <n v="88100"/>
    <x v="3"/>
    <s v="Park Avenue"/>
    <s v="Broome"/>
    <n v="6725"/>
    <n v="250"/>
    <n v="500"/>
  </r>
  <r>
    <s v="Savage Marlee"/>
    <s v="Interview Prep"/>
    <d v="2024-01-01T00:00:00"/>
    <x v="0"/>
    <n v="3"/>
    <s v="Gold"/>
    <s v="Delivered"/>
    <n v="34956"/>
    <x v="2"/>
    <s v="Main Street"/>
    <s v="Cairns"/>
    <n v="4870"/>
    <n v="250"/>
    <n v="750"/>
  </r>
  <r>
    <s v="Lewis Frank"/>
    <s v="Resume (service fee)"/>
    <d v="2024-01-02T00:00:00"/>
    <x v="0"/>
    <n v="3"/>
    <s v="Gold"/>
    <s v="In Progress"/>
    <n v="94598"/>
    <x v="0"/>
    <s v="Main Street"/>
    <s v="Mount Gambier"/>
    <n v="5290"/>
    <n v="600"/>
    <n v="1800"/>
  </r>
  <r>
    <s v="Serrano Laura"/>
    <s v="Mentoring program"/>
    <d v="2024-01-02T00:00:00"/>
    <x v="0"/>
    <n v="3"/>
    <s v="Gold"/>
    <s v="In Progress"/>
    <n v="12802"/>
    <x v="0"/>
    <s v="Elizabeth Street"/>
    <s v="Adelaide"/>
    <n v="5000"/>
    <n v="1200"/>
    <n v="3600"/>
  </r>
  <r>
    <s v="Jimenez Kamila"/>
    <s v="Interview Prep"/>
    <d v="2024-01-03T00:00:00"/>
    <x v="0"/>
    <n v="3"/>
    <s v="Gold"/>
    <s v="Service Booked"/>
    <n v="26641"/>
    <x v="4"/>
    <s v="Elizabeth Street"/>
    <s v="Canberra"/>
    <n v="2600"/>
    <n v="250"/>
    <n v="750"/>
  </r>
  <r>
    <s v="Daugherty Samara"/>
    <s v="Resume + LinkedIn Profile"/>
    <d v="2024-01-03T00:00:00"/>
    <x v="0"/>
    <n v="2"/>
    <s v="Silver"/>
    <s v="In Progress"/>
    <n v="43305"/>
    <x v="5"/>
    <s v="Main Street"/>
    <s v="Ballarat"/>
    <n v="3350"/>
    <n v="800"/>
    <n v="1600"/>
  </r>
  <r>
    <s v="Chung Remi"/>
    <s v="Resume + LinkedIn Profile"/>
    <d v="2024-01-03T00:00:00"/>
    <x v="0"/>
    <n v="2"/>
    <s v="Silver"/>
    <s v="Service Booked"/>
    <n v="17812"/>
    <x v="2"/>
    <s v="King Street"/>
    <s v="Gold Coast"/>
    <n v="4217"/>
    <n v="800"/>
    <n v="1600"/>
  </r>
  <r>
    <s v="Russell Elle"/>
    <s v="Mentoring program"/>
    <d v="2024-01-04T00:00:00"/>
    <x v="0"/>
    <n v="3"/>
    <s v="Gold"/>
    <s v="Delivered"/>
    <n v="86925"/>
    <x v="2"/>
    <s v="Elizabeth Street"/>
    <s v="Gold Coast"/>
    <n v="4217"/>
    <n v="1200"/>
    <n v="3600"/>
  </r>
  <r>
    <s v="O’Brien Donovan"/>
    <s v="Resume + LinkedIn Profile"/>
    <d v="2024-01-04T00:00:00"/>
    <x v="0"/>
    <n v="3"/>
    <s v="Gold"/>
    <s v="Delivered"/>
    <n v="83346"/>
    <x v="1"/>
    <s v="King Street"/>
    <s v="Wollongong"/>
    <n v="2500"/>
    <n v="800"/>
    <n v="2400"/>
  </r>
  <r>
    <s v="Palacios Vivian"/>
    <s v="Mentoring program"/>
    <d v="2024-01-04T00:00:00"/>
    <x v="0"/>
    <n v="2"/>
    <s v="Silver"/>
    <s v="Delivered"/>
    <n v="97105"/>
    <x v="6"/>
    <s v="Park Avenue"/>
    <s v="Launceston"/>
    <n v="7250"/>
    <n v="1200"/>
    <n v="2400"/>
  </r>
  <r>
    <s v="Harrison Alison"/>
    <s v="Interview Prep"/>
    <d v="2024-01-05T00:00:00"/>
    <x v="0"/>
    <n v="1"/>
    <s v="Bronze"/>
    <s v="Service Booked"/>
    <n v="15952"/>
    <x v="2"/>
    <s v="George Street"/>
    <s v="Brisbane"/>
    <n v="4000"/>
    <n v="250"/>
    <n v="250"/>
  </r>
  <r>
    <s v="Avery Aspen"/>
    <s v="Mentoring program"/>
    <d v="2024-01-06T00:00:00"/>
    <x v="0"/>
    <n v="2"/>
    <s v="Silver"/>
    <s v="Service Booked"/>
    <n v="40586"/>
    <x v="1"/>
    <s v="Park Avenue"/>
    <s v="Wollongong"/>
    <n v="2500"/>
    <n v="1200"/>
    <n v="2400"/>
  </r>
  <r>
    <s v="Nash Hayden"/>
    <s v="Resume (service fee)"/>
    <d v="2024-01-06T00:00:00"/>
    <x v="0"/>
    <n v="1"/>
    <s v="Bronze"/>
    <s v="Delivered"/>
    <n v="65163"/>
    <x v="5"/>
    <s v="King Street"/>
    <s v="Geelong"/>
    <n v="3220"/>
    <n v="600"/>
    <n v="600"/>
  </r>
  <r>
    <s v="Velazquez Dawson"/>
    <s v="Interview Prep"/>
    <d v="2024-01-06T00:00:00"/>
    <x v="0"/>
    <n v="3"/>
    <s v="Gold"/>
    <s v="Delivered"/>
    <n v="4389"/>
    <x v="5"/>
    <s v="Main Street"/>
    <s v="Geelong"/>
    <n v="3220"/>
    <n v="250"/>
    <n v="750"/>
  </r>
  <r>
    <s v="Crosby Alayna"/>
    <s v="Resume + LinkedIn Profile"/>
    <d v="2024-01-06T00:00:00"/>
    <x v="0"/>
    <n v="1"/>
    <s v="Bronze"/>
    <s v="Service Booked"/>
    <n v="70394"/>
    <x v="5"/>
    <s v="George Street"/>
    <s v="Geelong"/>
    <n v="3220"/>
    <n v="800"/>
    <n v="800"/>
  </r>
  <r>
    <s v="Greer Armani"/>
    <s v="Resume + LinkedIn Profile"/>
    <d v="2024-01-06T00:00:00"/>
    <x v="0"/>
    <n v="3"/>
    <s v="Gold"/>
    <s v="Service Booked"/>
    <n v="12472"/>
    <x v="4"/>
    <s v="Park Avenue"/>
    <s v="Canberra"/>
    <n v="2600"/>
    <n v="800"/>
    <n v="2400"/>
  </r>
  <r>
    <s v="Carpenter Jordan"/>
    <s v="Interview Prep"/>
    <d v="2024-01-07T00:00:00"/>
    <x v="0"/>
    <n v="2"/>
    <s v="Silver"/>
    <s v="Cancelled"/>
    <n v="82683"/>
    <x v="4"/>
    <s v="King Street"/>
    <s v="Canberra"/>
    <n v="2600"/>
    <n v="250"/>
    <n v="500"/>
  </r>
  <r>
    <s v="Sanders Lukas"/>
    <s v="Resume (service fee)"/>
    <d v="2024-01-07T00:00:00"/>
    <x v="0"/>
    <n v="1"/>
    <s v="Bronze"/>
    <s v="Service Booked"/>
    <n v="14286"/>
    <x v="2"/>
    <s v="George Street"/>
    <s v="Brisbane"/>
    <n v="4000"/>
    <n v="600"/>
    <n v="600"/>
  </r>
  <r>
    <s v="Strickland Stephanie"/>
    <s v="LinkedIn profile"/>
    <d v="2024-01-07T00:00:00"/>
    <x v="0"/>
    <n v="3"/>
    <s v="Gold"/>
    <s v="Delivered"/>
    <n v="62768"/>
    <x v="4"/>
    <s v="Park Avenue"/>
    <s v="Canberra"/>
    <n v="2600"/>
    <n v="300"/>
    <n v="900"/>
  </r>
  <r>
    <s v="Tucker Patrick"/>
    <s v="Networking Strategy"/>
    <d v="2024-01-07T00:00:00"/>
    <x v="0"/>
    <n v="2"/>
    <s v="Silver"/>
    <s v="Service Booked"/>
    <n v="7676"/>
    <x v="7"/>
    <s v="Elizabeth Street"/>
    <s v="Darwin"/>
    <n v="800"/>
    <n v="250"/>
    <n v="500"/>
  </r>
  <r>
    <s v="Carson Sullivan"/>
    <s v="Mentoring program"/>
    <d v="2024-01-08T00:00:00"/>
    <x v="0"/>
    <n v="3"/>
    <s v="Gold"/>
    <s v="Cancelled"/>
    <n v="93002"/>
    <x v="3"/>
    <s v="Park Avenue"/>
    <s v="Fremantle"/>
    <n v="6160"/>
    <n v="1200"/>
    <n v="3600"/>
  </r>
  <r>
    <s v="Kerr Adelaide"/>
    <s v="Networking Strategy"/>
    <d v="2024-01-08T00:00:00"/>
    <x v="0"/>
    <n v="2"/>
    <s v="Silver"/>
    <s v="Delivered"/>
    <n v="11180"/>
    <x v="1"/>
    <s v="Main Street"/>
    <s v="Wollongong"/>
    <n v="2500"/>
    <n v="250"/>
    <n v="500"/>
  </r>
  <r>
    <s v="Brewer Aubrey"/>
    <s v="Networking Strategy"/>
    <d v="2024-01-09T00:00:00"/>
    <x v="0"/>
    <n v="1"/>
    <s v="Bronze"/>
    <s v="Cancelled"/>
    <n v="75427"/>
    <x v="1"/>
    <s v="Elizabeth Street"/>
    <s v="Wollongong"/>
    <n v="2500"/>
    <n v="250"/>
    <n v="250"/>
  </r>
  <r>
    <s v="Burgess Dominic"/>
    <s v="Mentoring program"/>
    <d v="2024-01-09T00:00:00"/>
    <x v="0"/>
    <n v="1"/>
    <s v="Bronze"/>
    <s v="Delivered"/>
    <n v="92618"/>
    <x v="6"/>
    <s v="King Street"/>
    <s v="Launceston"/>
    <n v="7250"/>
    <n v="1200"/>
    <n v="1200"/>
  </r>
  <r>
    <s v="Dominguez Justin"/>
    <s v="Resume + LinkedIn Profile"/>
    <d v="2024-01-09T00:00:00"/>
    <x v="0"/>
    <n v="1"/>
    <s v="Bronze"/>
    <s v="Delivered"/>
    <n v="24147"/>
    <x v="0"/>
    <s v="Elizabeth Street"/>
    <s v="Mount Gambier"/>
    <n v="5290"/>
    <n v="800"/>
    <n v="800"/>
  </r>
  <r>
    <s v="Compton Dallas"/>
    <s v="Networking Strategy"/>
    <d v="2024-01-09T00:00:00"/>
    <x v="0"/>
    <n v="1"/>
    <s v="Bronze"/>
    <s v="Delivered"/>
    <n v="1339"/>
    <x v="0"/>
    <s v="Elizabeth Street"/>
    <s v="Mount Gambier"/>
    <n v="5290"/>
    <n v="250"/>
    <n v="250"/>
  </r>
  <r>
    <s v="Thompson Kane"/>
    <s v="Mentoring program"/>
    <d v="2024-01-10T00:00:00"/>
    <x v="0"/>
    <n v="3"/>
    <s v="Gold"/>
    <s v="Delivered"/>
    <n v="91039"/>
    <x v="2"/>
    <s v="Park Avenue"/>
    <s v="Brisbane"/>
    <n v="4000"/>
    <n v="1200"/>
    <n v="3600"/>
  </r>
  <r>
    <s v="Singh Paxton"/>
    <s v="Networking Strategy"/>
    <d v="2024-01-10T00:00:00"/>
    <x v="0"/>
    <n v="1"/>
    <s v="Bronze"/>
    <s v="Delivered"/>
    <n v="71340"/>
    <x v="2"/>
    <s v="Elizabeth Street"/>
    <s v="Cairns"/>
    <n v="4870"/>
    <n v="250"/>
    <n v="250"/>
  </r>
  <r>
    <s v="Frederick Oakley"/>
    <s v="LinkedIn profile"/>
    <d v="2024-01-12T00:00:00"/>
    <x v="0"/>
    <n v="2"/>
    <s v="Silver"/>
    <s v="Delivered"/>
    <n v="55442"/>
    <x v="6"/>
    <s v="King Street"/>
    <s v="Hobart"/>
    <n v="7000"/>
    <n v="300"/>
    <n v="600"/>
  </r>
  <r>
    <s v="Gallagher Kate"/>
    <s v="Resume + LinkedIn Profile"/>
    <d v="2024-01-14T00:00:00"/>
    <x v="0"/>
    <n v="1"/>
    <s v="Bronze"/>
    <s v="Service Booked"/>
    <n v="70259"/>
    <x v="0"/>
    <s v="Main Street"/>
    <s v="Adelaide"/>
    <n v="5000"/>
    <n v="800"/>
    <n v="800"/>
  </r>
  <r>
    <s v="Sexton Stella"/>
    <s v="Networking Strategy"/>
    <d v="2024-01-14T00:00:00"/>
    <x v="0"/>
    <n v="3"/>
    <s v="Gold"/>
    <s v="Delivered"/>
    <n v="35914"/>
    <x v="1"/>
    <s v="Elizabeth Street"/>
    <s v="Sydney"/>
    <n v="2000"/>
    <n v="250"/>
    <n v="750"/>
  </r>
  <r>
    <s v="Dorsey Callen"/>
    <s v="Mentoring program"/>
    <d v="2024-01-15T00:00:00"/>
    <x v="0"/>
    <n v="3"/>
    <s v="Gold"/>
    <s v="Delivered"/>
    <n v="57226"/>
    <x v="5"/>
    <s v="Main Street"/>
    <s v="Geelong"/>
    <n v="3220"/>
    <n v="1200"/>
    <n v="3600"/>
  </r>
  <r>
    <s v="Mathews Kendall"/>
    <s v="Mentoring program"/>
    <d v="2024-01-15T00:00:00"/>
    <x v="0"/>
    <n v="3"/>
    <s v="Gold"/>
    <s v="In Progress"/>
    <n v="59008"/>
    <x v="0"/>
    <s v="King Street"/>
    <s v="Mount Gambier"/>
    <n v="5290"/>
    <n v="1200"/>
    <n v="3600"/>
  </r>
  <r>
    <s v="Adkins Sullivan"/>
    <s v="Mentoring program"/>
    <d v="2024-01-15T00:00:00"/>
    <x v="0"/>
    <n v="3"/>
    <s v="Gold"/>
    <s v="Delivered"/>
    <n v="85495"/>
    <x v="1"/>
    <s v="Elizabeth Street"/>
    <s v="Newcastle"/>
    <n v="2300"/>
    <n v="1200"/>
    <n v="3600"/>
  </r>
  <r>
    <s v="Harding Walter"/>
    <s v="Resume + LinkedIn Profile"/>
    <d v="2024-01-16T00:00:00"/>
    <x v="0"/>
    <n v="3"/>
    <s v="Gold"/>
    <s v="Delivered"/>
    <n v="99787"/>
    <x v="3"/>
    <s v="Main Street"/>
    <s v="Fremantle"/>
    <n v="6160"/>
    <n v="800"/>
    <n v="2400"/>
  </r>
  <r>
    <s v="Matthews Stetson"/>
    <s v="Resume + LinkedIn Profile"/>
    <d v="2024-01-16T00:00:00"/>
    <x v="0"/>
    <n v="3"/>
    <s v="Gold"/>
    <s v="Delivered"/>
    <n v="9406"/>
    <x v="6"/>
    <s v="George Street"/>
    <s v="Launceston"/>
    <n v="7250"/>
    <n v="800"/>
    <n v="2400"/>
  </r>
  <r>
    <s v="Armstrong King"/>
    <s v="Mentoring program"/>
    <d v="2024-01-16T00:00:00"/>
    <x v="0"/>
    <n v="2"/>
    <s v="Silver"/>
    <s v="Cancelled"/>
    <n v="81100"/>
    <x v="7"/>
    <s v="King Street"/>
    <s v="Darwin"/>
    <n v="800"/>
    <n v="1200"/>
    <n v="2400"/>
  </r>
  <r>
    <s v="Landry Edward"/>
    <s v="Resume + LinkedIn Profile"/>
    <d v="2024-01-17T00:00:00"/>
    <x v="0"/>
    <n v="3"/>
    <s v="Gold"/>
    <s v="Delivered"/>
    <n v="50269"/>
    <x v="0"/>
    <s v="Elizabeth Street"/>
    <s v="Adelaide"/>
    <n v="5000"/>
    <n v="800"/>
    <n v="2400"/>
  </r>
  <r>
    <s v="Tucker Jaylen"/>
    <s v="LinkedIn profile"/>
    <d v="2024-01-17T00:00:00"/>
    <x v="0"/>
    <n v="3"/>
    <s v="Gold"/>
    <s v="Service Booked"/>
    <n v="38755"/>
    <x v="5"/>
    <s v="Main Street"/>
    <s v="Geelong"/>
    <n v="3220"/>
    <n v="300"/>
    <n v="900"/>
  </r>
  <r>
    <s v="Walter Callie"/>
    <s v="Interview Prep"/>
    <d v="2024-01-18T00:00:00"/>
    <x v="0"/>
    <n v="3"/>
    <s v="Gold"/>
    <s v="Service Booked"/>
    <n v="40071"/>
    <x v="5"/>
    <s v="King Street"/>
    <s v="Ballarat"/>
    <n v="3350"/>
    <n v="250"/>
    <n v="750"/>
  </r>
  <r>
    <s v="Kirby Malik"/>
    <s v="LinkedIn profile"/>
    <d v="2024-01-19T00:00:00"/>
    <x v="0"/>
    <n v="3"/>
    <s v="Gold"/>
    <s v="Service Booked"/>
    <n v="9218"/>
    <x v="4"/>
    <s v="Elizabeth Street"/>
    <s v="Canberra"/>
    <n v="2600"/>
    <n v="300"/>
    <n v="900"/>
  </r>
  <r>
    <s v="Espinosa Myla"/>
    <s v="Resume (service fee)"/>
    <d v="2024-01-19T00:00:00"/>
    <x v="0"/>
    <n v="2"/>
    <s v="Silver"/>
    <s v="Service Booked"/>
    <n v="84382"/>
    <x v="3"/>
    <s v="King Street"/>
    <s v="Perth"/>
    <n v="6000"/>
    <n v="600"/>
    <n v="1200"/>
  </r>
  <r>
    <s v="Black Kimberly"/>
    <s v="Interview Prep"/>
    <d v="2024-01-19T00:00:00"/>
    <x v="0"/>
    <n v="1"/>
    <s v="Bronze"/>
    <s v="Delivered"/>
    <n v="36432"/>
    <x v="7"/>
    <s v="Main Street"/>
    <s v="Darwin"/>
    <n v="800"/>
    <n v="250"/>
    <n v="250"/>
  </r>
  <r>
    <s v="Wong Zyaire"/>
    <s v="Interview Prep"/>
    <d v="2024-01-20T00:00:00"/>
    <x v="0"/>
    <n v="2"/>
    <s v="Silver"/>
    <s v="Service Booked"/>
    <n v="50650"/>
    <x v="0"/>
    <s v="Elizabeth Street"/>
    <s v="Mount Gambier"/>
    <n v="5290"/>
    <n v="250"/>
    <n v="500"/>
  </r>
  <r>
    <s v="Barnes Naomi"/>
    <s v="Networking Strategy"/>
    <d v="2024-01-20T00:00:00"/>
    <x v="0"/>
    <n v="2"/>
    <s v="Silver"/>
    <s v="Service Booked"/>
    <n v="28524"/>
    <x v="5"/>
    <s v="Main Street"/>
    <s v="Melbourne"/>
    <n v="3000"/>
    <n v="250"/>
    <n v="500"/>
  </r>
  <r>
    <s v="Mayo Octavia"/>
    <s v="Interview Prep"/>
    <d v="2024-01-21T00:00:00"/>
    <x v="0"/>
    <n v="2"/>
    <s v="Silver"/>
    <s v="Delivered"/>
    <n v="12774"/>
    <x v="4"/>
    <s v="George Street"/>
    <s v="Canberra"/>
    <n v="2600"/>
    <n v="250"/>
    <n v="500"/>
  </r>
  <r>
    <s v="Fleming Kayden"/>
    <s v="Mentoring program"/>
    <d v="2024-01-22T00:00:00"/>
    <x v="0"/>
    <n v="3"/>
    <s v="Gold"/>
    <s v="Service Booked"/>
    <n v="23176"/>
    <x v="6"/>
    <s v="Park Avenue"/>
    <s v="Launceston"/>
    <n v="7250"/>
    <n v="1200"/>
    <n v="3600"/>
  </r>
  <r>
    <s v="Fox Kamari"/>
    <s v="Interview Prep"/>
    <d v="2024-01-22T00:00:00"/>
    <x v="0"/>
    <n v="1"/>
    <s v="Bronze"/>
    <s v="In Progress"/>
    <n v="14561"/>
    <x v="0"/>
    <s v="George Street"/>
    <s v="Adelaide"/>
    <n v="5000"/>
    <n v="250"/>
    <n v="250"/>
  </r>
  <r>
    <s v="Kennedy Georgia"/>
    <s v="Networking Strategy"/>
    <d v="2024-01-22T00:00:00"/>
    <x v="0"/>
    <n v="3"/>
    <s v="Gold"/>
    <s v="Delivered"/>
    <n v="57883"/>
    <x v="3"/>
    <s v="Elizabeth Street"/>
    <s v="Perth"/>
    <n v="6000"/>
    <n v="250"/>
    <n v="750"/>
  </r>
  <r>
    <s v="Harmon Camille"/>
    <s v="Mentoring program"/>
    <d v="2024-01-22T00:00:00"/>
    <x v="0"/>
    <n v="2"/>
    <s v="Silver"/>
    <s v="In Progress"/>
    <n v="97748"/>
    <x v="2"/>
    <s v="Park Avenue"/>
    <s v="Gold Coast"/>
    <n v="4217"/>
    <n v="1200"/>
    <n v="2400"/>
  </r>
  <r>
    <s v="Combs Raphael"/>
    <s v="Networking Strategy"/>
    <d v="2024-01-22T00:00:00"/>
    <x v="0"/>
    <n v="3"/>
    <s v="Gold"/>
    <s v="In Progress"/>
    <n v="22479"/>
    <x v="1"/>
    <s v="Main Street"/>
    <s v="Newcastle"/>
    <n v="2300"/>
    <n v="250"/>
    <n v="750"/>
  </r>
  <r>
    <s v="Saunders Freya"/>
    <s v="Resume (service fee)"/>
    <d v="2024-01-23T00:00:00"/>
    <x v="0"/>
    <n v="1"/>
    <s v="Bronze"/>
    <s v="In Progress"/>
    <n v="64778"/>
    <x v="7"/>
    <s v="Elizabeth Street"/>
    <s v="Alice Springs"/>
    <n v="870"/>
    <n v="600"/>
    <n v="600"/>
  </r>
  <r>
    <s v="Benson Victor"/>
    <s v="Interview Prep"/>
    <d v="2024-01-23T00:00:00"/>
    <x v="0"/>
    <n v="2"/>
    <s v="Silver"/>
    <s v="Service Booked"/>
    <n v="18703"/>
    <x v="2"/>
    <s v="George Street"/>
    <s v="Cairns"/>
    <n v="4870"/>
    <n v="250"/>
    <n v="500"/>
  </r>
  <r>
    <s v="Sims Selena"/>
    <s v="LinkedIn profile"/>
    <d v="2024-01-24T00:00:00"/>
    <x v="0"/>
    <n v="1"/>
    <s v="Bronze"/>
    <s v="Delivered"/>
    <n v="68775"/>
    <x v="4"/>
    <s v="Park Avenue"/>
    <s v="Canberra"/>
    <n v="2600"/>
    <n v="300"/>
    <n v="300"/>
  </r>
  <r>
    <s v="Glass Timothy"/>
    <s v="Resume + LinkedIn Profile"/>
    <d v="2024-01-24T00:00:00"/>
    <x v="0"/>
    <n v="3"/>
    <s v="Gold"/>
    <s v="In Progress"/>
    <n v="15180"/>
    <x v="7"/>
    <s v="King Street"/>
    <s v="Alice Springs"/>
    <n v="870"/>
    <n v="800"/>
    <n v="2400"/>
  </r>
  <r>
    <s v="Malone Nayeli"/>
    <s v="LinkedIn profile"/>
    <d v="2024-01-25T00:00:00"/>
    <x v="0"/>
    <n v="1"/>
    <s v="Bronze"/>
    <s v="Cancelled"/>
    <n v="64128"/>
    <x v="0"/>
    <s v="Main Street"/>
    <s v="Adelaide"/>
    <n v="5000"/>
    <n v="300"/>
    <n v="300"/>
  </r>
  <r>
    <s v="Barker Richard"/>
    <s v="Resume + LinkedIn Profile"/>
    <d v="2024-01-25T00:00:00"/>
    <x v="0"/>
    <n v="2"/>
    <s v="Silver"/>
    <s v="Service Booked"/>
    <n v="59994"/>
    <x v="0"/>
    <s v="Elizabeth Street"/>
    <s v="Mount Gambier"/>
    <n v="5290"/>
    <n v="800"/>
    <n v="1600"/>
  </r>
  <r>
    <s v="Briggs Devin"/>
    <s v="Mentoring program"/>
    <d v="2024-01-26T00:00:00"/>
    <x v="0"/>
    <n v="3"/>
    <s v="Gold"/>
    <s v="Delivered"/>
    <n v="27685"/>
    <x v="5"/>
    <s v="George Street"/>
    <s v="Melbourne"/>
    <n v="3000"/>
    <n v="1200"/>
    <n v="3600"/>
  </r>
  <r>
    <s v="Vega Blake"/>
    <s v="LinkedIn profile"/>
    <d v="2024-01-26T00:00:00"/>
    <x v="0"/>
    <n v="2"/>
    <s v="Silver"/>
    <s v="Service Booked"/>
    <n v="49060"/>
    <x v="2"/>
    <s v="Elizabeth Street"/>
    <s v="Brisbane"/>
    <n v="4000"/>
    <n v="300"/>
    <n v="600"/>
  </r>
  <r>
    <s v="Herrera Olive"/>
    <s v="Interview Prep"/>
    <d v="2024-01-28T00:00:00"/>
    <x v="0"/>
    <n v="3"/>
    <s v="Gold"/>
    <s v="Cancelled"/>
    <n v="79707"/>
    <x v="4"/>
    <s v="Elizabeth Street"/>
    <s v="Canberra"/>
    <n v="2600"/>
    <n v="250"/>
    <n v="750"/>
  </r>
  <r>
    <s v="Green Ezra"/>
    <s v="Resume (service fee)"/>
    <d v="2024-01-28T00:00:00"/>
    <x v="0"/>
    <n v="1"/>
    <s v="Bronze"/>
    <s v="Delivered"/>
    <n v="97707"/>
    <x v="1"/>
    <s v="King Street"/>
    <s v="Wollongong"/>
    <n v="2500"/>
    <n v="600"/>
    <n v="600"/>
  </r>
  <r>
    <s v="Harvey Greyson"/>
    <s v="Interview Prep"/>
    <d v="2024-01-30T00:00:00"/>
    <x v="0"/>
    <n v="3"/>
    <s v="Gold"/>
    <s v="Service Booked"/>
    <n v="3616"/>
    <x v="1"/>
    <s v="Main Street"/>
    <s v="Newcastle"/>
    <n v="2300"/>
    <n v="250"/>
    <n v="750"/>
  </r>
  <r>
    <s v="Burke Charles"/>
    <s v="Resume + LinkedIn Profile"/>
    <d v="2024-01-30T00:00:00"/>
    <x v="0"/>
    <n v="2"/>
    <s v="Silver"/>
    <s v="In Progress"/>
    <n v="31375"/>
    <x v="7"/>
    <s v="George Street"/>
    <s v="Darwin"/>
    <n v="800"/>
    <n v="800"/>
    <n v="1600"/>
  </r>
  <r>
    <s v="Rodriguez August"/>
    <s v="Resume (service fee)"/>
    <d v="2024-01-30T00:00:00"/>
    <x v="0"/>
    <n v="2"/>
    <s v="Silver"/>
    <s v="Service Booked"/>
    <n v="88807"/>
    <x v="4"/>
    <s v="Main Street"/>
    <s v="Canberra"/>
    <n v="2600"/>
    <n v="600"/>
    <n v="1200"/>
  </r>
  <r>
    <s v="Duncan Bailey"/>
    <s v="Networking Strategy"/>
    <d v="2024-01-30T00:00:00"/>
    <x v="0"/>
    <n v="3"/>
    <s v="Gold"/>
    <s v="Delivered"/>
    <n v="66392"/>
    <x v="4"/>
    <s v="George Street"/>
    <s v="Canberra"/>
    <n v="2600"/>
    <n v="250"/>
    <n v="750"/>
  </r>
  <r>
    <s v="Perez Aylin"/>
    <s v="Interview Prep"/>
    <d v="2024-01-31T00:00:00"/>
    <x v="0"/>
    <n v="3"/>
    <s v="Gold"/>
    <s v="In Progress"/>
    <n v="6116"/>
    <x v="5"/>
    <s v="King Street"/>
    <s v="Geelong"/>
    <n v="3220"/>
    <n v="250"/>
    <n v="750"/>
  </r>
  <r>
    <s v="Odom Xander"/>
    <s v="Interview Prep"/>
    <d v="2024-01-31T00:00:00"/>
    <x v="0"/>
    <n v="1"/>
    <s v="Bronze"/>
    <s v="Delivered"/>
    <n v="34886"/>
    <x v="5"/>
    <s v="George Street"/>
    <s v="Geelong"/>
    <n v="3220"/>
    <n v="250"/>
    <n v="250"/>
  </r>
  <r>
    <s v="Cardenas Michelle"/>
    <s v="Mentoring program"/>
    <d v="2024-01-31T00:00:00"/>
    <x v="0"/>
    <n v="2"/>
    <s v="Silver"/>
    <s v="Service Booked"/>
    <n v="2296"/>
    <x v="2"/>
    <s v="Elizabeth Street"/>
    <s v="Gold Coast"/>
    <n v="4217"/>
    <n v="1200"/>
    <n v="2400"/>
  </r>
  <r>
    <s v="Nixon Eleanor"/>
    <s v="Mentoring program"/>
    <d v="2024-01-31T00:00:00"/>
    <x v="0"/>
    <n v="1"/>
    <s v="Bronze"/>
    <s v="Delivered"/>
    <n v="80427"/>
    <x v="4"/>
    <s v="Elizabeth Street"/>
    <s v="Canberra"/>
    <n v="2600"/>
    <n v="1200"/>
    <n v="1200"/>
  </r>
  <r>
    <s v="Suarez Kate"/>
    <s v="Resume (service fee)"/>
    <d v="2024-01-31T00:00:00"/>
    <x v="0"/>
    <n v="1"/>
    <s v="Bronze"/>
    <s v="Cancelled"/>
    <n v="42015"/>
    <x v="1"/>
    <s v="Main Street"/>
    <s v="Sydney"/>
    <n v="2000"/>
    <n v="600"/>
    <n v="600"/>
  </r>
  <r>
    <s v="Livingston Annie"/>
    <s v="LinkedIn profile"/>
    <d v="2024-02-01T00:00:00"/>
    <x v="1"/>
    <n v="1"/>
    <s v="Bronze"/>
    <s v="Delivered"/>
    <n v="36514"/>
    <x v="1"/>
    <s v="King Street"/>
    <s v="Wollongong"/>
    <n v="2500"/>
    <n v="300"/>
    <n v="300"/>
  </r>
  <r>
    <s v="Frazier Atticus"/>
    <s v="LinkedIn profile"/>
    <d v="2024-02-01T00:00:00"/>
    <x v="1"/>
    <n v="1"/>
    <s v="Bronze"/>
    <s v="Delivered"/>
    <n v="40519"/>
    <x v="1"/>
    <s v="Elizabeth Street"/>
    <s v="Newcastle"/>
    <n v="2300"/>
    <n v="300"/>
    <n v="300"/>
  </r>
  <r>
    <s v="Carroll Braxton"/>
    <s v="Networking Strategy"/>
    <d v="2024-02-01T00:00:00"/>
    <x v="1"/>
    <n v="1"/>
    <s v="Bronze"/>
    <s v="Service Booked"/>
    <n v="76344"/>
    <x v="5"/>
    <s v="Main Street"/>
    <s v="Melbourne"/>
    <n v="3000"/>
    <n v="250"/>
    <n v="250"/>
  </r>
  <r>
    <s v="Novak Wade"/>
    <s v="Networking Strategy"/>
    <d v="2024-02-01T00:00:00"/>
    <x v="1"/>
    <n v="2"/>
    <s v="Silver"/>
    <s v="Service Booked"/>
    <n v="99129"/>
    <x v="3"/>
    <s v="King Street"/>
    <s v="Fremantle"/>
    <n v="6160"/>
    <n v="250"/>
    <n v="500"/>
  </r>
  <r>
    <s v="Doyle Messiah"/>
    <s v="Interview Prep"/>
    <d v="2024-02-01T00:00:00"/>
    <x v="1"/>
    <n v="2"/>
    <s v="Silver"/>
    <s v="Service Booked"/>
    <n v="38322"/>
    <x v="6"/>
    <s v="Park Avenue"/>
    <s v="Hobart"/>
    <n v="7000"/>
    <n v="250"/>
    <n v="500"/>
  </r>
  <r>
    <s v="Leblanc Quinn"/>
    <s v="Networking Strategy"/>
    <d v="2024-02-01T00:00:00"/>
    <x v="1"/>
    <n v="3"/>
    <s v="Gold"/>
    <s v="Cancelled"/>
    <n v="77203"/>
    <x v="1"/>
    <s v="King Street"/>
    <s v="Wollongong"/>
    <n v="2500"/>
    <n v="250"/>
    <n v="750"/>
  </r>
  <r>
    <s v="Collier Abigail"/>
    <s v="Resume + LinkedIn Profile"/>
    <d v="2024-02-02T00:00:00"/>
    <x v="1"/>
    <n v="2"/>
    <s v="Silver"/>
    <s v="Delivered"/>
    <n v="30245"/>
    <x v="5"/>
    <s v="Main Street"/>
    <s v="Ballarat"/>
    <n v="3350"/>
    <n v="800"/>
    <n v="1600"/>
  </r>
  <r>
    <s v="Rivers Devin"/>
    <s v="Resume + LinkedIn Profile"/>
    <d v="2024-02-02T00:00:00"/>
    <x v="1"/>
    <n v="2"/>
    <s v="Silver"/>
    <s v="Service Booked"/>
    <n v="95668"/>
    <x v="5"/>
    <s v="Main Street"/>
    <s v="Ballarat"/>
    <n v="3350"/>
    <n v="800"/>
    <n v="1600"/>
  </r>
  <r>
    <s v="Peña Malachi"/>
    <s v="LinkedIn profile"/>
    <d v="2024-02-02T00:00:00"/>
    <x v="1"/>
    <n v="2"/>
    <s v="Silver"/>
    <s v="Delivered"/>
    <n v="67041"/>
    <x v="4"/>
    <s v="Park Avenue"/>
    <s v="Canberra"/>
    <n v="2600"/>
    <n v="300"/>
    <n v="600"/>
  </r>
  <r>
    <s v="Torres Karson"/>
    <s v="Networking Strategy"/>
    <d v="2024-02-02T00:00:00"/>
    <x v="1"/>
    <n v="2"/>
    <s v="Silver"/>
    <s v="Service Booked"/>
    <n v="41795"/>
    <x v="5"/>
    <s v="George Street"/>
    <s v="Geelong"/>
    <n v="3220"/>
    <n v="250"/>
    <n v="500"/>
  </r>
  <r>
    <s v="Sexton Penelope"/>
    <s v="Mentoring program"/>
    <d v="2024-02-02T00:00:00"/>
    <x v="1"/>
    <n v="2"/>
    <s v="Silver"/>
    <s v="Service Booked"/>
    <n v="15364"/>
    <x v="7"/>
    <s v="King Street"/>
    <s v="Darwin"/>
    <n v="800"/>
    <n v="1200"/>
    <n v="2400"/>
  </r>
  <r>
    <s v="Moran Bentley"/>
    <s v="Mentoring program"/>
    <d v="2024-02-02T00:00:00"/>
    <x v="1"/>
    <n v="2"/>
    <s v="Silver"/>
    <s v="Cancelled"/>
    <n v="43394"/>
    <x v="4"/>
    <s v="Park Avenue"/>
    <s v="Canberra"/>
    <n v="2600"/>
    <n v="1200"/>
    <n v="2400"/>
  </r>
  <r>
    <s v="Chandler Gideon"/>
    <s v="LinkedIn profile"/>
    <d v="2024-02-03T00:00:00"/>
    <x v="1"/>
    <n v="1"/>
    <s v="Bronze"/>
    <s v="Cancelled"/>
    <n v="15242"/>
    <x v="4"/>
    <s v="Park Avenue"/>
    <s v="Canberra"/>
    <n v="2600"/>
    <n v="300"/>
    <n v="300"/>
  </r>
  <r>
    <s v="Orozco Judah"/>
    <s v="LinkedIn profile"/>
    <d v="2024-02-03T00:00:00"/>
    <x v="1"/>
    <n v="2"/>
    <s v="Silver"/>
    <s v="Cancelled"/>
    <n v="16202"/>
    <x v="1"/>
    <s v="Elizabeth Street"/>
    <s v="Wollongong"/>
    <n v="2500"/>
    <n v="300"/>
    <n v="600"/>
  </r>
  <r>
    <s v="Atkins Molly"/>
    <s v="Mentoring program"/>
    <d v="2024-02-04T00:00:00"/>
    <x v="1"/>
    <n v="2"/>
    <s v="Silver"/>
    <s v="Service Booked"/>
    <n v="98776"/>
    <x v="1"/>
    <s v="King Street"/>
    <s v="Wollongong"/>
    <n v="2500"/>
    <n v="1200"/>
    <n v="2400"/>
  </r>
  <r>
    <s v="Stanton Piper"/>
    <s v="Resume (service fee)"/>
    <d v="2024-02-04T00:00:00"/>
    <x v="1"/>
    <n v="2"/>
    <s v="Silver"/>
    <s v="Delivered"/>
    <n v="20758"/>
    <x v="4"/>
    <s v="Park Avenue"/>
    <s v="Canberra"/>
    <n v="2600"/>
    <n v="600"/>
    <n v="1200"/>
  </r>
  <r>
    <s v="Montgomery Eden"/>
    <s v="Networking Strategy"/>
    <d v="2024-02-04T00:00:00"/>
    <x v="1"/>
    <n v="2"/>
    <s v="Silver"/>
    <s v="Cancelled"/>
    <n v="66685"/>
    <x v="3"/>
    <s v="King Street"/>
    <s v="Broome"/>
    <n v="6725"/>
    <n v="250"/>
    <n v="500"/>
  </r>
  <r>
    <s v="Middleton Jesse"/>
    <s v="Resume + LinkedIn Profile"/>
    <d v="2024-02-04T00:00:00"/>
    <x v="1"/>
    <n v="2"/>
    <s v="Silver"/>
    <s v="Cancelled"/>
    <n v="82381"/>
    <x v="3"/>
    <s v="Main Street"/>
    <s v="Broome"/>
    <n v="6725"/>
    <n v="800"/>
    <n v="1600"/>
  </r>
  <r>
    <s v="Holt Rebecca"/>
    <s v="Mentoring program"/>
    <d v="2024-02-04T00:00:00"/>
    <x v="1"/>
    <n v="2"/>
    <s v="Silver"/>
    <s v="Service Booked"/>
    <n v="86447"/>
    <x v="5"/>
    <s v="Elizabeth Street"/>
    <s v="Melbourne"/>
    <n v="3000"/>
    <n v="1200"/>
    <n v="2400"/>
  </r>
  <r>
    <s v="Stokes Maddox"/>
    <s v="Resume (service fee)"/>
    <d v="2024-02-05T00:00:00"/>
    <x v="1"/>
    <n v="2"/>
    <s v="Silver"/>
    <s v="Delivered"/>
    <n v="75501"/>
    <x v="0"/>
    <s v="King Street"/>
    <s v="Mount Gambier"/>
    <n v="5290"/>
    <n v="600"/>
    <n v="1200"/>
  </r>
  <r>
    <s v="Berry Miracle"/>
    <s v="Resume (service fee)"/>
    <d v="2024-02-06T00:00:00"/>
    <x v="1"/>
    <n v="3"/>
    <s v="Gold"/>
    <s v="In Progress"/>
    <n v="58174"/>
    <x v="4"/>
    <s v="King Street"/>
    <s v="Canberra"/>
    <n v="2600"/>
    <n v="600"/>
    <n v="1800"/>
  </r>
  <r>
    <s v="Singh Asa"/>
    <s v="Mentoring program"/>
    <d v="2024-02-06T00:00:00"/>
    <x v="1"/>
    <n v="2"/>
    <s v="Silver"/>
    <s v="Delivered"/>
    <n v="50059"/>
    <x v="3"/>
    <s v="Park Avenue"/>
    <s v="Fremantle"/>
    <n v="6160"/>
    <n v="1200"/>
    <n v="2400"/>
  </r>
  <r>
    <s v="Mora Abigail"/>
    <s v="Mentoring program"/>
    <d v="2024-02-06T00:00:00"/>
    <x v="1"/>
    <n v="1"/>
    <s v="Bronze"/>
    <s v="In Progress"/>
    <n v="32490"/>
    <x v="6"/>
    <s v="Main Street"/>
    <s v="Devonport"/>
    <n v="7310"/>
    <n v="1200"/>
    <n v="1200"/>
  </r>
  <r>
    <s v="Valencia Rosalie"/>
    <s v="LinkedIn profile"/>
    <d v="2024-02-08T00:00:00"/>
    <x v="1"/>
    <n v="3"/>
    <s v="Gold"/>
    <s v="Service Booked"/>
    <n v="67620"/>
    <x v="6"/>
    <s v="Main Street"/>
    <s v="Launceston"/>
    <n v="7250"/>
    <n v="300"/>
    <n v="900"/>
  </r>
  <r>
    <s v="Nuñez Mackenzie"/>
    <s v="Interview Prep"/>
    <d v="2024-02-08T00:00:00"/>
    <x v="1"/>
    <n v="3"/>
    <s v="Gold"/>
    <s v="Delivered"/>
    <n v="40342"/>
    <x v="0"/>
    <s v="Elizabeth Street"/>
    <s v="Whyalla"/>
    <n v="5600"/>
    <n v="250"/>
    <n v="750"/>
  </r>
  <r>
    <s v="Guerra Briella"/>
    <s v="Interview Prep"/>
    <d v="2024-02-08T00:00:00"/>
    <x v="1"/>
    <n v="3"/>
    <s v="Gold"/>
    <s v="In Progress"/>
    <n v="99429"/>
    <x v="1"/>
    <s v="George Street"/>
    <s v="Newcastle"/>
    <n v="2300"/>
    <n v="250"/>
    <n v="750"/>
  </r>
  <r>
    <s v="Rollins Leah"/>
    <s v="Interview Prep"/>
    <d v="2024-02-09T00:00:00"/>
    <x v="1"/>
    <n v="1"/>
    <s v="Bronze"/>
    <s v="Delivered"/>
    <n v="88519"/>
    <x v="5"/>
    <s v="Main Street"/>
    <s v="Ballarat"/>
    <n v="3350"/>
    <n v="250"/>
    <n v="250"/>
  </r>
  <r>
    <s v="Russo Olivia"/>
    <s v="Resume + LinkedIn Profile"/>
    <d v="2024-02-09T00:00:00"/>
    <x v="1"/>
    <n v="2"/>
    <s v="Silver"/>
    <s v="Service Booked"/>
    <n v="95907"/>
    <x v="3"/>
    <s v="George Street"/>
    <s v="Perth"/>
    <n v="6000"/>
    <n v="800"/>
    <n v="1600"/>
  </r>
  <r>
    <s v="Berger Avianna"/>
    <s v="LinkedIn profile"/>
    <d v="2024-02-10T00:00:00"/>
    <x v="1"/>
    <n v="3"/>
    <s v="Gold"/>
    <s v="In Progress"/>
    <n v="79205"/>
    <x v="5"/>
    <s v="King Street"/>
    <s v="Ballarat"/>
    <n v="3350"/>
    <n v="300"/>
    <n v="900"/>
  </r>
  <r>
    <s v="Miles Lewis"/>
    <s v="Networking Strategy"/>
    <d v="2024-02-11T00:00:00"/>
    <x v="1"/>
    <n v="3"/>
    <s v="Gold"/>
    <s v="In Progress"/>
    <n v="40604"/>
    <x v="0"/>
    <s v="King Street"/>
    <s v="Mount Gambier"/>
    <n v="5290"/>
    <n v="250"/>
    <n v="750"/>
  </r>
  <r>
    <s v="Stephenson Amari"/>
    <s v="Resume (service fee)"/>
    <d v="2024-02-11T00:00:00"/>
    <x v="1"/>
    <n v="2"/>
    <s v="Silver"/>
    <s v="Delivered"/>
    <n v="39827"/>
    <x v="3"/>
    <s v="Main Street"/>
    <s v="Broome"/>
    <n v="6725"/>
    <n v="600"/>
    <n v="1200"/>
  </r>
  <r>
    <s v="Estes Genesis"/>
    <s v="Resume + LinkedIn Profile"/>
    <d v="2024-02-12T00:00:00"/>
    <x v="1"/>
    <n v="3"/>
    <s v="Gold"/>
    <s v="Delivered"/>
    <n v="112"/>
    <x v="4"/>
    <s v="Elizabeth Street"/>
    <s v="Canberra"/>
    <n v="2600"/>
    <n v="800"/>
    <n v="2400"/>
  </r>
  <r>
    <s v="Small Ada"/>
    <s v="Networking Strategy"/>
    <d v="2024-02-12T00:00:00"/>
    <x v="1"/>
    <n v="3"/>
    <s v="Gold"/>
    <s v="Delivered"/>
    <n v="29457"/>
    <x v="2"/>
    <s v="George Street"/>
    <s v="Gold Coast"/>
    <n v="4217"/>
    <n v="250"/>
    <n v="750"/>
  </r>
  <r>
    <s v="Hubbard Kyle"/>
    <s v="Resume + LinkedIn Profile"/>
    <d v="2024-02-12T00:00:00"/>
    <x v="1"/>
    <n v="1"/>
    <s v="Bronze"/>
    <s v="Delivered"/>
    <n v="88383"/>
    <x v="0"/>
    <s v="George Street"/>
    <s v="Whyalla"/>
    <n v="5600"/>
    <n v="800"/>
    <n v="800"/>
  </r>
  <r>
    <s v="Klein Brody"/>
    <s v="LinkedIn profile"/>
    <d v="2024-02-12T00:00:00"/>
    <x v="1"/>
    <n v="2"/>
    <s v="Silver"/>
    <s v="Delivered"/>
    <n v="31117"/>
    <x v="6"/>
    <s v="King Street"/>
    <s v="Launceston"/>
    <n v="7250"/>
    <n v="300"/>
    <n v="600"/>
  </r>
  <r>
    <s v="Leal Enzo"/>
    <s v="LinkedIn profile"/>
    <d v="2024-02-13T00:00:00"/>
    <x v="1"/>
    <n v="2"/>
    <s v="Silver"/>
    <s v="Delivered"/>
    <n v="32118"/>
    <x v="3"/>
    <s v="Main Street"/>
    <s v="Perth"/>
    <n v="6000"/>
    <n v="300"/>
    <n v="600"/>
  </r>
  <r>
    <s v="Wheeler Sullivan"/>
    <s v="Networking Strategy"/>
    <d v="2024-02-13T00:00:00"/>
    <x v="1"/>
    <n v="1"/>
    <s v="Bronze"/>
    <s v="Delivered"/>
    <n v="96462"/>
    <x v="0"/>
    <s v="King Street"/>
    <s v="Mount Gambier"/>
    <n v="5290"/>
    <n v="250"/>
    <n v="250"/>
  </r>
  <r>
    <s v="Rogers Phoebe"/>
    <s v="Interview Prep"/>
    <d v="2024-02-13T00:00:00"/>
    <x v="1"/>
    <n v="3"/>
    <s v="Gold"/>
    <s v="In Progress"/>
    <n v="10602"/>
    <x v="3"/>
    <s v="Park Avenue"/>
    <s v="Broome"/>
    <n v="6725"/>
    <n v="250"/>
    <n v="750"/>
  </r>
  <r>
    <s v="Alvarado Zayn"/>
    <s v="Interview Prep"/>
    <d v="2024-02-15T00:00:00"/>
    <x v="1"/>
    <n v="3"/>
    <s v="Gold"/>
    <s v="Delivered"/>
    <n v="44704"/>
    <x v="5"/>
    <s v="Park Avenue"/>
    <s v="Geelong"/>
    <n v="3220"/>
    <n v="250"/>
    <n v="750"/>
  </r>
  <r>
    <s v="Coleman Ruby"/>
    <s v="LinkedIn profile"/>
    <d v="2024-02-15T00:00:00"/>
    <x v="1"/>
    <n v="2"/>
    <s v="Silver"/>
    <s v="Delivered"/>
    <n v="75889"/>
    <x v="3"/>
    <s v="Park Avenue"/>
    <s v="Broome"/>
    <n v="6725"/>
    <n v="300"/>
    <n v="600"/>
  </r>
  <r>
    <s v="Hahn Stevie"/>
    <s v="Networking Strategy"/>
    <d v="2024-02-15T00:00:00"/>
    <x v="1"/>
    <n v="3"/>
    <s v="Gold"/>
    <s v="Cancelled"/>
    <n v="24225"/>
    <x v="5"/>
    <s v="George Street"/>
    <s v="Melbourne"/>
    <n v="3000"/>
    <n v="250"/>
    <n v="750"/>
  </r>
  <r>
    <s v="Aguilar Veronica"/>
    <s v="Mentoring program"/>
    <d v="2024-02-16T00:00:00"/>
    <x v="1"/>
    <n v="1"/>
    <s v="Bronze"/>
    <s v="Service Booked"/>
    <n v="58578"/>
    <x v="7"/>
    <s v="George Street"/>
    <s v="Darwin"/>
    <n v="800"/>
    <n v="1200"/>
    <n v="1200"/>
  </r>
  <r>
    <s v="Bean Cataleya"/>
    <s v="Interview Prep"/>
    <d v="2024-02-16T00:00:00"/>
    <x v="1"/>
    <n v="2"/>
    <s v="Silver"/>
    <s v="Service Booked"/>
    <n v="66601"/>
    <x v="0"/>
    <s v="Park Avenue"/>
    <s v="Whyalla"/>
    <n v="5600"/>
    <n v="250"/>
    <n v="500"/>
  </r>
  <r>
    <s v="Cantrell Sophia"/>
    <s v="Resume (service fee)"/>
    <d v="2024-02-16T00:00:00"/>
    <x v="1"/>
    <n v="3"/>
    <s v="Gold"/>
    <s v="In Progress"/>
    <n v="60192"/>
    <x v="6"/>
    <s v="Park Avenue"/>
    <s v="Devonport"/>
    <n v="7310"/>
    <n v="600"/>
    <n v="1800"/>
  </r>
  <r>
    <s v="Zimmerman Kaleb"/>
    <s v="Resume + LinkedIn Profile"/>
    <d v="2024-02-17T00:00:00"/>
    <x v="1"/>
    <n v="1"/>
    <s v="Bronze"/>
    <s v="In Progress"/>
    <n v="44251"/>
    <x v="4"/>
    <s v="Park Avenue"/>
    <s v="Canberra"/>
    <n v="2600"/>
    <n v="800"/>
    <n v="800"/>
  </r>
  <r>
    <s v="Rocha Londyn"/>
    <s v="Mentoring program"/>
    <d v="2024-02-17T00:00:00"/>
    <x v="1"/>
    <n v="3"/>
    <s v="Gold"/>
    <s v="Delivered"/>
    <n v="52732"/>
    <x v="6"/>
    <s v="Elizabeth Street"/>
    <s v="Hobart"/>
    <n v="7000"/>
    <n v="1200"/>
    <n v="3600"/>
  </r>
  <r>
    <s v="Parsons Jared"/>
    <s v="Resume (service fee)"/>
    <d v="2024-02-18T00:00:00"/>
    <x v="1"/>
    <n v="3"/>
    <s v="Gold"/>
    <s v="Delivered"/>
    <n v="91009"/>
    <x v="0"/>
    <s v="Park Avenue"/>
    <s v="Whyalla"/>
    <n v="5600"/>
    <n v="600"/>
    <n v="1800"/>
  </r>
  <r>
    <s v="Carpenter Sloane"/>
    <s v="Networking Strategy"/>
    <d v="2024-02-18T00:00:00"/>
    <x v="1"/>
    <n v="3"/>
    <s v="Gold"/>
    <s v="Service Booked"/>
    <n v="4523"/>
    <x v="5"/>
    <s v="George Street"/>
    <s v="Melbourne"/>
    <n v="3000"/>
    <n v="250"/>
    <n v="750"/>
  </r>
  <r>
    <s v="Williams Alessandra"/>
    <s v="Resume (service fee)"/>
    <d v="2024-02-18T00:00:00"/>
    <x v="1"/>
    <n v="2"/>
    <s v="Silver"/>
    <s v="Delivered"/>
    <n v="36982"/>
    <x v="5"/>
    <s v="George Street"/>
    <s v="Ballarat"/>
    <n v="3350"/>
    <n v="600"/>
    <n v="1200"/>
  </r>
  <r>
    <s v="Gross Gianna"/>
    <s v="Interview Prep"/>
    <d v="2024-02-18T00:00:00"/>
    <x v="1"/>
    <n v="2"/>
    <s v="Silver"/>
    <s v="Service Booked"/>
    <n v="52675"/>
    <x v="7"/>
    <s v="George Street"/>
    <s v="Alice Springs"/>
    <n v="870"/>
    <n v="250"/>
    <n v="500"/>
  </r>
  <r>
    <s v="Rocha Alicia"/>
    <s v="Mentoring program"/>
    <d v="2024-02-18T00:00:00"/>
    <x v="1"/>
    <n v="3"/>
    <s v="Gold"/>
    <s v="Delivered"/>
    <n v="56256"/>
    <x v="0"/>
    <s v="Park Avenue"/>
    <s v="Mount Gambier"/>
    <n v="5290"/>
    <n v="1200"/>
    <n v="3600"/>
  </r>
  <r>
    <s v="Flowers Briella"/>
    <s v="LinkedIn profile"/>
    <d v="2024-02-18T00:00:00"/>
    <x v="1"/>
    <n v="2"/>
    <s v="Silver"/>
    <s v="Delivered"/>
    <n v="59717"/>
    <x v="0"/>
    <s v="King Street"/>
    <s v="Adelaide"/>
    <n v="5000"/>
    <n v="300"/>
    <n v="600"/>
  </r>
  <r>
    <s v="Stevenson Kyler"/>
    <s v="Interview Prep"/>
    <d v="2024-02-18T00:00:00"/>
    <x v="1"/>
    <n v="3"/>
    <s v="Gold"/>
    <s v="In Progress"/>
    <n v="53905"/>
    <x v="0"/>
    <s v="King Street"/>
    <s v="Whyalla"/>
    <n v="5600"/>
    <n v="250"/>
    <n v="750"/>
  </r>
  <r>
    <s v="Clayton Camille"/>
    <s v="Networking Strategy"/>
    <d v="2024-02-18T00:00:00"/>
    <x v="1"/>
    <n v="3"/>
    <s v="Gold"/>
    <s v="Service Booked"/>
    <n v="80664"/>
    <x v="0"/>
    <s v="Main Street"/>
    <s v="Adelaide"/>
    <n v="5000"/>
    <n v="250"/>
    <n v="750"/>
  </r>
  <r>
    <s v="Bentley Abel"/>
    <s v="Mentoring program"/>
    <d v="2024-02-19T00:00:00"/>
    <x v="1"/>
    <n v="3"/>
    <s v="Gold"/>
    <s v="Service Booked"/>
    <n v="44466"/>
    <x v="7"/>
    <s v="Main Street"/>
    <s v="Alice Springs"/>
    <n v="870"/>
    <n v="1200"/>
    <n v="3600"/>
  </r>
  <r>
    <s v="Tanner Noa"/>
    <s v="LinkedIn profile"/>
    <d v="2024-02-19T00:00:00"/>
    <x v="1"/>
    <n v="1"/>
    <s v="Bronze"/>
    <s v="In Progress"/>
    <n v="90527"/>
    <x v="1"/>
    <s v="King Street"/>
    <s v="Newcastle"/>
    <n v="2300"/>
    <n v="300"/>
    <n v="300"/>
  </r>
  <r>
    <s v="Henderson Marley"/>
    <s v="Resume + LinkedIn Profile"/>
    <d v="2024-02-20T00:00:00"/>
    <x v="1"/>
    <n v="3"/>
    <s v="Gold"/>
    <s v="Cancelled"/>
    <n v="63847"/>
    <x v="5"/>
    <s v="Elizabeth Street"/>
    <s v="Ballarat"/>
    <n v="3350"/>
    <n v="800"/>
    <n v="2400"/>
  </r>
  <r>
    <s v="Holt London"/>
    <s v="Resume (service fee)"/>
    <d v="2024-02-20T00:00:00"/>
    <x v="1"/>
    <n v="2"/>
    <s v="Silver"/>
    <s v="Service Booked"/>
    <n v="95431"/>
    <x v="0"/>
    <s v="Main Street"/>
    <s v="Adelaide"/>
    <n v="5000"/>
    <n v="600"/>
    <n v="1200"/>
  </r>
  <r>
    <s v="Fields Adelynn"/>
    <s v="Networking Strategy"/>
    <d v="2024-02-21T00:00:00"/>
    <x v="1"/>
    <n v="3"/>
    <s v="Gold"/>
    <s v="Service Booked"/>
    <n v="82936"/>
    <x v="0"/>
    <s v="Elizabeth Street"/>
    <s v="Adelaide"/>
    <n v="5000"/>
    <n v="250"/>
    <n v="750"/>
  </r>
  <r>
    <s v="Mcconnell Lilah"/>
    <s v="Mentoring program"/>
    <d v="2024-02-21T00:00:00"/>
    <x v="1"/>
    <n v="1"/>
    <s v="Bronze"/>
    <s v="Cancelled"/>
    <n v="99518"/>
    <x v="3"/>
    <s v="Elizabeth Street"/>
    <s v="Perth"/>
    <n v="6000"/>
    <n v="1200"/>
    <n v="1200"/>
  </r>
  <r>
    <s v="Duffy Warren"/>
    <s v="Resume (service fee)"/>
    <d v="2024-02-21T00:00:00"/>
    <x v="1"/>
    <n v="1"/>
    <s v="Bronze"/>
    <s v="Service Booked"/>
    <n v="33105"/>
    <x v="7"/>
    <s v="Elizabeth Street"/>
    <s v="Alice Springs"/>
    <n v="870"/>
    <n v="600"/>
    <n v="600"/>
  </r>
  <r>
    <s v="Cantrell Myles"/>
    <s v="LinkedIn profile"/>
    <d v="2024-02-21T00:00:00"/>
    <x v="1"/>
    <n v="2"/>
    <s v="Silver"/>
    <s v="Service Booked"/>
    <n v="27753"/>
    <x v="2"/>
    <s v="George Street"/>
    <s v="Cairns"/>
    <n v="4870"/>
    <n v="300"/>
    <n v="600"/>
  </r>
  <r>
    <s v="Shepherd Charli"/>
    <s v="Interview Prep"/>
    <d v="2024-02-22T00:00:00"/>
    <x v="1"/>
    <n v="1"/>
    <s v="Bronze"/>
    <s v="In Progress"/>
    <n v="92328"/>
    <x v="4"/>
    <s v="George Street"/>
    <s v="Canberra"/>
    <n v="2600"/>
    <n v="250"/>
    <n v="250"/>
  </r>
  <r>
    <s v="Hail Raymond"/>
    <s v="Networking Strategy"/>
    <d v="2024-02-22T00:00:00"/>
    <x v="1"/>
    <n v="2"/>
    <s v="Silver"/>
    <s v="Delivered"/>
    <n v="72041"/>
    <x v="7"/>
    <s v="King Street"/>
    <s v="Alice Springs"/>
    <n v="870"/>
    <n v="250"/>
    <n v="500"/>
  </r>
  <r>
    <s v="Porter Frances"/>
    <s v="Networking Strategy"/>
    <d v="2024-02-22T00:00:00"/>
    <x v="1"/>
    <n v="1"/>
    <s v="Bronze"/>
    <s v="Service Booked"/>
    <n v="37577"/>
    <x v="1"/>
    <s v="Main Street"/>
    <s v="Wollongong"/>
    <n v="2500"/>
    <n v="250"/>
    <n v="250"/>
  </r>
  <r>
    <s v="Schmidt Spencer"/>
    <s v="LinkedIn profile"/>
    <d v="2024-02-23T00:00:00"/>
    <x v="1"/>
    <n v="2"/>
    <s v="Silver"/>
    <s v="Delivered"/>
    <n v="87107"/>
    <x v="7"/>
    <s v="Main Street"/>
    <s v="Darwin"/>
    <n v="800"/>
    <n v="300"/>
    <n v="600"/>
  </r>
  <r>
    <s v="Ramirez Robert"/>
    <s v="Networking Strategy"/>
    <d v="2024-02-24T00:00:00"/>
    <x v="1"/>
    <n v="2"/>
    <s v="Silver"/>
    <s v="Delivered"/>
    <n v="37481"/>
    <x v="7"/>
    <s v="Main Street"/>
    <s v="Darwin"/>
    <n v="800"/>
    <n v="250"/>
    <n v="500"/>
  </r>
  <r>
    <s v="Mathis Damon"/>
    <s v="LinkedIn profile"/>
    <d v="2024-02-25T00:00:00"/>
    <x v="1"/>
    <n v="3"/>
    <s v="Gold"/>
    <s v="Delivered"/>
    <n v="34387"/>
    <x v="2"/>
    <s v="King Street"/>
    <s v="Gold Coast"/>
    <n v="4217"/>
    <n v="300"/>
    <n v="900"/>
  </r>
  <r>
    <s v="Kane James"/>
    <s v="Mentoring program"/>
    <d v="2024-02-26T00:00:00"/>
    <x v="1"/>
    <n v="1"/>
    <s v="Bronze"/>
    <s v="Service Booked"/>
    <n v="63839"/>
    <x v="7"/>
    <s v="Elizabeth Street"/>
    <s v="Darwin"/>
    <n v="800"/>
    <n v="1200"/>
    <n v="1200"/>
  </r>
  <r>
    <s v="English Holden"/>
    <s v="Interview Prep"/>
    <d v="2024-02-26T00:00:00"/>
    <x v="1"/>
    <n v="1"/>
    <s v="Bronze"/>
    <s v="Service Booked"/>
    <n v="44917"/>
    <x v="3"/>
    <s v="Elizabeth Street"/>
    <s v="Perth"/>
    <n v="6000"/>
    <n v="250"/>
    <n v="250"/>
  </r>
  <r>
    <s v="James Parker"/>
    <s v="Resume (service fee)"/>
    <d v="2024-02-27T00:00:00"/>
    <x v="1"/>
    <n v="2"/>
    <s v="Silver"/>
    <s v="In Progress"/>
    <n v="88447"/>
    <x v="1"/>
    <s v="George Street"/>
    <s v="Newcastle"/>
    <n v="2300"/>
    <n v="600"/>
    <n v="1200"/>
  </r>
  <r>
    <s v="Acevedo King"/>
    <s v="Mentoring program"/>
    <d v="2024-02-28T00:00:00"/>
    <x v="1"/>
    <n v="3"/>
    <s v="Gold"/>
    <s v="Delivered"/>
    <n v="40063"/>
    <x v="2"/>
    <s v="Elizabeth Street"/>
    <s v="Brisbane"/>
    <n v="4000"/>
    <n v="1200"/>
    <n v="3600"/>
  </r>
  <r>
    <s v="Jacobs Marlee"/>
    <s v="Networking Strategy"/>
    <d v="2024-02-28T00:00:00"/>
    <x v="1"/>
    <n v="3"/>
    <s v="Gold"/>
    <s v="Service Booked"/>
    <n v="48526"/>
    <x v="2"/>
    <s v="Main Street"/>
    <s v="Cairns"/>
    <n v="4870"/>
    <n v="250"/>
    <n v="750"/>
  </r>
  <r>
    <s v="Montes Catalina"/>
    <s v="Resume (service fee)"/>
    <d v="2024-02-28T00:00:00"/>
    <x v="1"/>
    <n v="2"/>
    <s v="Silver"/>
    <s v="Service Booked"/>
    <n v="72471"/>
    <x v="5"/>
    <s v="King Street"/>
    <s v="Ballarat"/>
    <n v="3350"/>
    <n v="600"/>
    <n v="1200"/>
  </r>
  <r>
    <s v="Mcbride Kane"/>
    <s v="Mentoring program"/>
    <d v="2024-02-28T00:00:00"/>
    <x v="1"/>
    <n v="2"/>
    <s v="Silver"/>
    <s v="Service Booked"/>
    <n v="80327"/>
    <x v="0"/>
    <s v="Main Street"/>
    <s v="Adelaide"/>
    <n v="5000"/>
    <n v="1200"/>
    <n v="2400"/>
  </r>
  <r>
    <s v="Drake Mckenzie"/>
    <s v="Mentoring program"/>
    <d v="2024-02-28T00:00:00"/>
    <x v="1"/>
    <n v="3"/>
    <s v="Gold"/>
    <s v="Delivered"/>
    <n v="8735"/>
    <x v="3"/>
    <s v="Elizabeth Street"/>
    <s v="Fremantle"/>
    <n v="6160"/>
    <n v="1200"/>
    <n v="3600"/>
  </r>
  <r>
    <s v="Lee Colin"/>
    <s v="LinkedIn profile"/>
    <d v="2024-02-29T00:00:00"/>
    <x v="1"/>
    <n v="2"/>
    <s v="Silver"/>
    <s v="Delivered"/>
    <n v="82249"/>
    <x v="2"/>
    <s v="Park Avenue"/>
    <s v="Brisbane"/>
    <n v="4000"/>
    <n v="300"/>
    <n v="600"/>
  </r>
  <r>
    <s v="Rhodes Angelo"/>
    <s v="Interview Prep"/>
    <d v="2024-02-29T00:00:00"/>
    <x v="1"/>
    <n v="2"/>
    <s v="Silver"/>
    <s v="Service Booked"/>
    <n v="74531"/>
    <x v="5"/>
    <s v="Main Street"/>
    <s v="Melbourne"/>
    <n v="3000"/>
    <n v="250"/>
    <n v="500"/>
  </r>
  <r>
    <s v="Combs Grady"/>
    <s v="Resume (service fee)"/>
    <d v="2024-03-01T00:00:00"/>
    <x v="2"/>
    <n v="3"/>
    <s v="Gold"/>
    <s v="Delivered"/>
    <n v="44421"/>
    <x v="5"/>
    <s v="George Street"/>
    <s v="Melbourne"/>
    <n v="3000"/>
    <n v="600"/>
    <n v="1800"/>
  </r>
  <r>
    <s v="Pearson Isabella"/>
    <s v="Networking Strategy"/>
    <d v="2024-03-01T00:00:00"/>
    <x v="2"/>
    <n v="2"/>
    <s v="Silver"/>
    <s v="Service Booked"/>
    <n v="34467"/>
    <x v="0"/>
    <s v="King Street"/>
    <s v="Mount Gambier"/>
    <n v="5290"/>
    <n v="250"/>
    <n v="500"/>
  </r>
  <r>
    <s v="Kirk Tobias"/>
    <s v="Mentoring program"/>
    <d v="2024-03-01T00:00:00"/>
    <x v="2"/>
    <n v="1"/>
    <s v="Bronze"/>
    <s v="Service Booked"/>
    <n v="64653"/>
    <x v="0"/>
    <s v="Main Street"/>
    <s v="Adelaide"/>
    <n v="5000"/>
    <n v="1200"/>
    <n v="1200"/>
  </r>
  <r>
    <s v="Bernal Koa"/>
    <s v="Mentoring program"/>
    <d v="2024-03-02T00:00:00"/>
    <x v="2"/>
    <n v="3"/>
    <s v="Gold"/>
    <s v="Service Booked"/>
    <n v="55667"/>
    <x v="5"/>
    <s v="George Street"/>
    <s v="Geelong"/>
    <n v="3220"/>
    <n v="1200"/>
    <n v="3600"/>
  </r>
  <r>
    <s v="Pruitt Jax"/>
    <s v="LinkedIn profile"/>
    <d v="2024-03-02T00:00:00"/>
    <x v="2"/>
    <n v="1"/>
    <s v="Bronze"/>
    <s v="Service Booked"/>
    <n v="93441"/>
    <x v="7"/>
    <s v="Main Street"/>
    <s v="Alice Springs"/>
    <n v="870"/>
    <n v="300"/>
    <n v="300"/>
  </r>
  <r>
    <s v="Kerr Summer"/>
    <s v="LinkedIn profile"/>
    <d v="2024-03-02T00:00:00"/>
    <x v="2"/>
    <n v="2"/>
    <s v="Silver"/>
    <s v="Delivered"/>
    <n v="82464"/>
    <x v="6"/>
    <s v="Elizabeth Street"/>
    <s v="Devonport"/>
    <n v="7310"/>
    <n v="300"/>
    <n v="600"/>
  </r>
  <r>
    <s v="Fleming Elaine"/>
    <s v="Mentoring program"/>
    <d v="2024-03-02T00:00:00"/>
    <x v="2"/>
    <n v="1"/>
    <s v="Bronze"/>
    <s v="In Progress"/>
    <n v="29419"/>
    <x v="2"/>
    <s v="George Street"/>
    <s v="Cairns"/>
    <n v="4870"/>
    <n v="1200"/>
    <n v="1200"/>
  </r>
  <r>
    <s v="Mckenzie Ivan"/>
    <s v="Resume (service fee)"/>
    <d v="2024-03-02T00:00:00"/>
    <x v="2"/>
    <n v="2"/>
    <s v="Silver"/>
    <s v="Delivered"/>
    <n v="6696"/>
    <x v="4"/>
    <s v="George Street"/>
    <s v="Canberra"/>
    <n v="2600"/>
    <n v="600"/>
    <n v="1200"/>
  </r>
  <r>
    <s v="Frost Jordan"/>
    <s v="Resume + LinkedIn Profile"/>
    <d v="2024-03-02T00:00:00"/>
    <x v="2"/>
    <n v="1"/>
    <s v="Bronze"/>
    <s v="Service Booked"/>
    <n v="89174"/>
    <x v="0"/>
    <s v="George Street"/>
    <s v="Whyalla"/>
    <n v="5600"/>
    <n v="800"/>
    <n v="800"/>
  </r>
  <r>
    <s v="Guerra Legacy"/>
    <s v="Resume (service fee)"/>
    <d v="2024-03-03T00:00:00"/>
    <x v="2"/>
    <n v="2"/>
    <s v="Silver"/>
    <s v="Delivered"/>
    <n v="56068"/>
    <x v="3"/>
    <s v="Elizabeth Street"/>
    <s v="Broome"/>
    <n v="6725"/>
    <n v="600"/>
    <n v="1200"/>
  </r>
  <r>
    <s v="Schmitt Aliyah"/>
    <s v="Mentoring program"/>
    <d v="2024-03-03T00:00:00"/>
    <x v="2"/>
    <n v="2"/>
    <s v="Silver"/>
    <s v="In Progress"/>
    <n v="94708"/>
    <x v="2"/>
    <s v="Elizabeth Street"/>
    <s v="Cairns"/>
    <n v="4870"/>
    <n v="1200"/>
    <n v="2400"/>
  </r>
  <r>
    <s v="Meyer Evie"/>
    <s v="Interview Prep"/>
    <d v="2024-03-03T00:00:00"/>
    <x v="2"/>
    <n v="2"/>
    <s v="Silver"/>
    <s v="Delivered"/>
    <n v="80522"/>
    <x v="4"/>
    <s v="King Street"/>
    <s v="Canberra"/>
    <n v="2600"/>
    <n v="250"/>
    <n v="500"/>
  </r>
  <r>
    <s v="Gonzales Cairo"/>
    <s v="Interview Prep"/>
    <d v="2024-03-03T00:00:00"/>
    <x v="2"/>
    <n v="3"/>
    <s v="Gold"/>
    <s v="Delivered"/>
    <n v="19685"/>
    <x v="4"/>
    <s v="Park Avenue"/>
    <s v="Canberra"/>
    <n v="2600"/>
    <n v="250"/>
    <n v="750"/>
  </r>
  <r>
    <s v="Pitts Isaiah"/>
    <s v="LinkedIn profile"/>
    <d v="2024-03-03T00:00:00"/>
    <x v="2"/>
    <n v="1"/>
    <s v="Bronze"/>
    <s v="Cancelled"/>
    <n v="14387"/>
    <x v="1"/>
    <s v="George Street"/>
    <s v="Sydney"/>
    <n v="2000"/>
    <n v="300"/>
    <n v="300"/>
  </r>
  <r>
    <s v="Boone Aitana"/>
    <s v="Resume + LinkedIn Profile"/>
    <d v="2024-03-04T00:00:00"/>
    <x v="2"/>
    <n v="2"/>
    <s v="Silver"/>
    <s v="Delivered"/>
    <n v="91971"/>
    <x v="0"/>
    <s v="Park Avenue"/>
    <s v="Whyalla"/>
    <n v="5600"/>
    <n v="800"/>
    <n v="1600"/>
  </r>
  <r>
    <s v="Bowen Ryker"/>
    <s v="Mentoring program"/>
    <d v="2024-03-04T00:00:00"/>
    <x v="2"/>
    <n v="3"/>
    <s v="Gold"/>
    <s v="Delivered"/>
    <n v="21769"/>
    <x v="0"/>
    <s v="Park Avenue"/>
    <s v="Whyalla"/>
    <n v="5600"/>
    <n v="1200"/>
    <n v="3600"/>
  </r>
  <r>
    <s v="Aguirre Baylor"/>
    <s v="Interview Prep"/>
    <d v="2024-03-04T00:00:00"/>
    <x v="2"/>
    <n v="1"/>
    <s v="Bronze"/>
    <s v="Service Booked"/>
    <n v="80300"/>
    <x v="1"/>
    <s v="Elizabeth Street"/>
    <s v="Sydney"/>
    <n v="2000"/>
    <n v="250"/>
    <n v="250"/>
  </r>
  <r>
    <s v="Kane Fatima"/>
    <s v="Mentoring program"/>
    <d v="2024-03-04T00:00:00"/>
    <x v="2"/>
    <n v="3"/>
    <s v="Gold"/>
    <s v="Cancelled"/>
    <n v="4051"/>
    <x v="7"/>
    <s v="Park Avenue"/>
    <s v="Darwin"/>
    <n v="800"/>
    <n v="1200"/>
    <n v="3600"/>
  </r>
  <r>
    <s v="Cunningham Julia"/>
    <s v="Mentoring program"/>
    <d v="2024-03-05T00:00:00"/>
    <x v="2"/>
    <n v="3"/>
    <s v="Gold"/>
    <s v="Delivered"/>
    <n v="56662"/>
    <x v="3"/>
    <s v="King Street"/>
    <s v="Broome"/>
    <n v="6725"/>
    <n v="1200"/>
    <n v="3600"/>
  </r>
  <r>
    <s v="Rodriguez Itzel"/>
    <s v="Mentoring program"/>
    <d v="2024-03-05T00:00:00"/>
    <x v="2"/>
    <n v="2"/>
    <s v="Silver"/>
    <s v="Delivered"/>
    <n v="57574"/>
    <x v="3"/>
    <s v="Elizabeth Street"/>
    <s v="Fremantle"/>
    <n v="6160"/>
    <n v="1200"/>
    <n v="2400"/>
  </r>
  <r>
    <s v="Blankenship Gabriel"/>
    <s v="Resume + LinkedIn Profile"/>
    <d v="2024-03-06T00:00:00"/>
    <x v="2"/>
    <n v="2"/>
    <s v="Silver"/>
    <s v="Delivered"/>
    <n v="74782"/>
    <x v="5"/>
    <s v="King Street"/>
    <s v="Melbourne"/>
    <n v="3000"/>
    <n v="800"/>
    <n v="1600"/>
  </r>
  <r>
    <s v="Thomas Sadie"/>
    <s v="Interview Prep"/>
    <d v="2024-03-06T00:00:00"/>
    <x v="2"/>
    <n v="1"/>
    <s v="Bronze"/>
    <s v="In Progress"/>
    <n v="82123"/>
    <x v="0"/>
    <s v="Elizabeth Street"/>
    <s v="Mount Gambier"/>
    <n v="5290"/>
    <n v="250"/>
    <n v="250"/>
  </r>
  <r>
    <s v="Kerr Garrett"/>
    <s v="Mentoring program"/>
    <d v="2024-03-06T00:00:00"/>
    <x v="2"/>
    <n v="2"/>
    <s v="Silver"/>
    <s v="Service Booked"/>
    <n v="29031"/>
    <x v="1"/>
    <s v="George Street"/>
    <s v="Sydney"/>
    <n v="2000"/>
    <n v="1200"/>
    <n v="2400"/>
  </r>
  <r>
    <s v="Hahn Koda"/>
    <s v="Networking Strategy"/>
    <d v="2024-03-07T00:00:00"/>
    <x v="2"/>
    <n v="3"/>
    <s v="Gold"/>
    <s v="Service Booked"/>
    <n v="90513"/>
    <x v="6"/>
    <s v="George Street"/>
    <s v="Launceston"/>
    <n v="7250"/>
    <n v="250"/>
    <n v="750"/>
  </r>
  <r>
    <s v="Lucas Amanda"/>
    <s v="Mentoring program"/>
    <d v="2024-03-07T00:00:00"/>
    <x v="2"/>
    <n v="3"/>
    <s v="Gold"/>
    <s v="Service Booked"/>
    <n v="15086"/>
    <x v="6"/>
    <s v="Park Avenue"/>
    <s v="Hobart"/>
    <n v="7000"/>
    <n v="1200"/>
    <n v="3600"/>
  </r>
  <r>
    <s v="Curry Nadia"/>
    <s v="Interview Prep"/>
    <d v="2024-03-07T00:00:00"/>
    <x v="2"/>
    <n v="2"/>
    <s v="Silver"/>
    <s v="Service Booked"/>
    <n v="2385"/>
    <x v="3"/>
    <s v="Park Avenue"/>
    <s v="Fremantle"/>
    <n v="6160"/>
    <n v="250"/>
    <n v="500"/>
  </r>
  <r>
    <s v="Gomez Sawyer"/>
    <s v="Mentoring program"/>
    <d v="2024-03-07T00:00:00"/>
    <x v="2"/>
    <n v="2"/>
    <s v="Silver"/>
    <s v="Delivered"/>
    <n v="97383"/>
    <x v="4"/>
    <s v="George Street"/>
    <s v="Canberra"/>
    <n v="2600"/>
    <n v="1200"/>
    <n v="2400"/>
  </r>
  <r>
    <s v="Crawford Ryker"/>
    <s v="Mentoring program"/>
    <d v="2024-03-07T00:00:00"/>
    <x v="2"/>
    <n v="2"/>
    <s v="Silver"/>
    <s v="Delivered"/>
    <n v="96040"/>
    <x v="1"/>
    <s v="Main Street"/>
    <s v="Newcastle"/>
    <n v="2300"/>
    <n v="1200"/>
    <n v="2400"/>
  </r>
  <r>
    <s v="Muñoz Carmen"/>
    <s v="Mentoring program"/>
    <d v="2024-03-07T00:00:00"/>
    <x v="2"/>
    <n v="1"/>
    <s v="Bronze"/>
    <s v="Service Booked"/>
    <n v="12924"/>
    <x v="3"/>
    <s v="King Street"/>
    <s v="Perth"/>
    <n v="6000"/>
    <n v="1200"/>
    <n v="1200"/>
  </r>
  <r>
    <s v="Rosales Legacy"/>
    <s v="Interview Prep"/>
    <d v="2024-03-08T00:00:00"/>
    <x v="2"/>
    <n v="2"/>
    <s v="Silver"/>
    <s v="Service Booked"/>
    <n v="83685"/>
    <x v="0"/>
    <s v="Main Street"/>
    <s v="Adelaide"/>
    <n v="5000"/>
    <n v="250"/>
    <n v="500"/>
  </r>
  <r>
    <s v="Sanchez Maya"/>
    <s v="Mentoring program"/>
    <d v="2024-03-08T00:00:00"/>
    <x v="2"/>
    <n v="1"/>
    <s v="Bronze"/>
    <s v="In Progress"/>
    <n v="40799"/>
    <x v="0"/>
    <s v="Park Avenue"/>
    <s v="Adelaide"/>
    <n v="5000"/>
    <n v="1200"/>
    <n v="1200"/>
  </r>
  <r>
    <s v="Barrera Christian"/>
    <s v="Resume (service fee)"/>
    <d v="2024-03-08T00:00:00"/>
    <x v="2"/>
    <n v="3"/>
    <s v="Gold"/>
    <s v="Delivered"/>
    <n v="10147"/>
    <x v="1"/>
    <s v="George Street"/>
    <s v="Sydney"/>
    <n v="2000"/>
    <n v="600"/>
    <n v="1800"/>
  </r>
  <r>
    <s v="Kelly Kayson"/>
    <s v="Resume + LinkedIn Profile"/>
    <d v="2024-03-08T00:00:00"/>
    <x v="2"/>
    <n v="3"/>
    <s v="Gold"/>
    <s v="In Progress"/>
    <n v="63763"/>
    <x v="5"/>
    <s v="Park Avenue"/>
    <s v="Ballarat"/>
    <n v="3350"/>
    <n v="800"/>
    <n v="2400"/>
  </r>
  <r>
    <s v="Vincent Isabelle"/>
    <s v="Mentoring program"/>
    <d v="2024-03-09T00:00:00"/>
    <x v="2"/>
    <n v="3"/>
    <s v="Gold"/>
    <s v="Delivered"/>
    <n v="7523"/>
    <x v="1"/>
    <s v="George Street"/>
    <s v="Wollongong"/>
    <n v="2500"/>
    <n v="1200"/>
    <n v="3600"/>
  </r>
  <r>
    <s v="Kramer Emersyn"/>
    <s v="Networking Strategy"/>
    <d v="2024-03-09T00:00:00"/>
    <x v="2"/>
    <n v="2"/>
    <s v="Silver"/>
    <s v="Service Booked"/>
    <n v="68505"/>
    <x v="4"/>
    <s v="Elizabeth Street"/>
    <s v="Canberra"/>
    <n v="2600"/>
    <n v="250"/>
    <n v="500"/>
  </r>
  <r>
    <s v="Lucas Rory"/>
    <s v="Mentoring program"/>
    <d v="2024-03-09T00:00:00"/>
    <x v="2"/>
    <n v="2"/>
    <s v="Silver"/>
    <s v="Service Booked"/>
    <n v="51599"/>
    <x v="1"/>
    <s v="Main Street"/>
    <s v="Newcastle"/>
    <n v="2300"/>
    <n v="1200"/>
    <n v="2400"/>
  </r>
  <r>
    <s v="Guevara Princeton"/>
    <s v="Networking Strategy"/>
    <d v="2024-03-09T00:00:00"/>
    <x v="2"/>
    <n v="2"/>
    <s v="Silver"/>
    <s v="Cancelled"/>
    <n v="57959"/>
    <x v="1"/>
    <s v="Elizabeth Street"/>
    <s v="Sydney"/>
    <n v="2000"/>
    <n v="250"/>
    <n v="500"/>
  </r>
  <r>
    <s v="Sanchez Sarai"/>
    <s v="Resume + LinkedIn Profile"/>
    <d v="2024-03-10T00:00:00"/>
    <x v="2"/>
    <n v="1"/>
    <s v="Bronze"/>
    <s v="Delivered"/>
    <n v="78027"/>
    <x v="4"/>
    <s v="Main Street"/>
    <s v="Canberra"/>
    <n v="2600"/>
    <n v="800"/>
    <n v="800"/>
  </r>
  <r>
    <s v="Jensen Trinity"/>
    <s v="Networking Strategy"/>
    <d v="2024-03-10T00:00:00"/>
    <x v="2"/>
    <n v="3"/>
    <s v="Gold"/>
    <s v="Service Booked"/>
    <n v="92251"/>
    <x v="1"/>
    <s v="George Street"/>
    <s v="Newcastle"/>
    <n v="2300"/>
    <n v="250"/>
    <n v="750"/>
  </r>
  <r>
    <s v="Gallagher Lennox"/>
    <s v="Mentoring program"/>
    <d v="2024-03-11T00:00:00"/>
    <x v="2"/>
    <n v="2"/>
    <s v="Silver"/>
    <s v="Delivered"/>
    <n v="68190"/>
    <x v="5"/>
    <s v="George Street"/>
    <s v="Ballarat"/>
    <n v="3350"/>
    <n v="1200"/>
    <n v="2400"/>
  </r>
  <r>
    <s v="Maynard Chloe"/>
    <s v="Networking Strategy"/>
    <d v="2024-03-11T00:00:00"/>
    <x v="2"/>
    <n v="2"/>
    <s v="Silver"/>
    <s v="In Progress"/>
    <n v="23102"/>
    <x v="2"/>
    <s v="George Street"/>
    <s v="Cairns"/>
    <n v="4870"/>
    <n v="250"/>
    <n v="500"/>
  </r>
  <r>
    <s v="Everett Lyra"/>
    <s v="Interview Prep"/>
    <d v="2024-03-12T00:00:00"/>
    <x v="2"/>
    <n v="2"/>
    <s v="Silver"/>
    <s v="Delivered"/>
    <n v="61026"/>
    <x v="2"/>
    <s v="Park Avenue"/>
    <s v="Cairns"/>
    <n v="4870"/>
    <n v="250"/>
    <n v="500"/>
  </r>
  <r>
    <s v="Norris Kobe"/>
    <s v="LinkedIn profile"/>
    <d v="2024-03-12T00:00:00"/>
    <x v="2"/>
    <n v="1"/>
    <s v="Bronze"/>
    <s v="Delivered"/>
    <n v="67405"/>
    <x v="2"/>
    <s v="Main Street"/>
    <s v="Cairns"/>
    <n v="4870"/>
    <n v="300"/>
    <n v="300"/>
  </r>
  <r>
    <s v="Huff Edgar"/>
    <s v="Resume (service fee)"/>
    <d v="2024-03-12T00:00:00"/>
    <x v="2"/>
    <n v="2"/>
    <s v="Silver"/>
    <s v="Service Booked"/>
    <n v="3524"/>
    <x v="4"/>
    <s v="Main Street"/>
    <s v="Canberra"/>
    <n v="2600"/>
    <n v="600"/>
    <n v="1200"/>
  </r>
  <r>
    <s v="George Mary"/>
    <s v="LinkedIn profile"/>
    <d v="2024-03-12T00:00:00"/>
    <x v="2"/>
    <n v="3"/>
    <s v="Gold"/>
    <s v="Delivered"/>
    <n v="68676"/>
    <x v="6"/>
    <s v="Main Street"/>
    <s v="Launceston"/>
    <n v="7250"/>
    <n v="300"/>
    <n v="900"/>
  </r>
  <r>
    <s v="Swanson Carolina"/>
    <s v="Mentoring program"/>
    <d v="2024-03-12T00:00:00"/>
    <x v="2"/>
    <n v="2"/>
    <s v="Silver"/>
    <s v="Cancelled"/>
    <n v="7522"/>
    <x v="0"/>
    <s v="Park Avenue"/>
    <s v="Mount Gambier"/>
    <n v="5290"/>
    <n v="1200"/>
    <n v="2400"/>
  </r>
  <r>
    <s v="Rich Paul"/>
    <s v="Resume + LinkedIn Profile"/>
    <d v="2024-03-13T00:00:00"/>
    <x v="2"/>
    <n v="1"/>
    <s v="Bronze"/>
    <s v="Delivered"/>
    <n v="56698"/>
    <x v="0"/>
    <s v="George Street"/>
    <s v="Adelaide"/>
    <n v="5000"/>
    <n v="800"/>
    <n v="800"/>
  </r>
  <r>
    <s v="Arias Sonny"/>
    <s v="Networking Strategy"/>
    <d v="2024-03-13T00:00:00"/>
    <x v="2"/>
    <n v="2"/>
    <s v="Silver"/>
    <s v="Cancelled"/>
    <n v="11796"/>
    <x v="6"/>
    <s v="George Street"/>
    <s v="Devonport"/>
    <n v="7310"/>
    <n v="250"/>
    <n v="500"/>
  </r>
  <r>
    <s v="Bennett Emma"/>
    <s v="Interview Prep"/>
    <d v="2024-03-13T00:00:00"/>
    <x v="2"/>
    <n v="1"/>
    <s v="Bronze"/>
    <s v="Service Booked"/>
    <n v="45150"/>
    <x v="6"/>
    <s v="Park Avenue"/>
    <s v="Launceston"/>
    <n v="7250"/>
    <n v="250"/>
    <n v="250"/>
  </r>
  <r>
    <s v="Flynn Daphne"/>
    <s v="Resume (service fee)"/>
    <d v="2024-03-14T00:00:00"/>
    <x v="2"/>
    <n v="1"/>
    <s v="Bronze"/>
    <s v="Delivered"/>
    <n v="23875"/>
    <x v="4"/>
    <s v="Elizabeth Street"/>
    <s v="Canberra"/>
    <n v="2600"/>
    <n v="600"/>
    <n v="600"/>
  </r>
  <r>
    <s v="Valentine Koda"/>
    <s v="Resume (service fee)"/>
    <d v="2024-03-14T00:00:00"/>
    <x v="2"/>
    <n v="3"/>
    <s v="Gold"/>
    <s v="Delivered"/>
    <n v="27919"/>
    <x v="7"/>
    <s v="Elizabeth Street"/>
    <s v="Alice Springs"/>
    <n v="870"/>
    <n v="600"/>
    <n v="1800"/>
  </r>
  <r>
    <s v="Colón Emiliano"/>
    <s v="Interview Prep"/>
    <d v="2024-03-14T00:00:00"/>
    <x v="2"/>
    <n v="1"/>
    <s v="Bronze"/>
    <s v="Delivered"/>
    <n v="46659"/>
    <x v="1"/>
    <s v="George Street"/>
    <s v="Sydney"/>
    <n v="2000"/>
    <n v="250"/>
    <n v="250"/>
  </r>
  <r>
    <s v="Brown Catherine"/>
    <s v="Resume (service fee)"/>
    <d v="2024-03-14T00:00:00"/>
    <x v="2"/>
    <n v="2"/>
    <s v="Silver"/>
    <s v="Service Booked"/>
    <n v="62727"/>
    <x v="0"/>
    <s v="George Street"/>
    <s v="Mount Gambier"/>
    <n v="5290"/>
    <n v="600"/>
    <n v="1200"/>
  </r>
  <r>
    <s v="Flores Jackson"/>
    <s v="Networking Strategy"/>
    <d v="2024-03-17T00:00:00"/>
    <x v="2"/>
    <n v="1"/>
    <s v="Bronze"/>
    <s v="Delivered"/>
    <n v="8270"/>
    <x v="1"/>
    <s v="Elizabeth Street"/>
    <s v="Wollongong"/>
    <n v="2500"/>
    <n v="250"/>
    <n v="250"/>
  </r>
  <r>
    <s v="Yu Briggs"/>
    <s v="Resume (service fee)"/>
    <d v="2024-03-17T00:00:00"/>
    <x v="2"/>
    <n v="3"/>
    <s v="Gold"/>
    <s v="Delivered"/>
    <n v="77149"/>
    <x v="3"/>
    <s v="Main Street"/>
    <s v="Fremantle"/>
    <n v="6160"/>
    <n v="600"/>
    <n v="1800"/>
  </r>
  <r>
    <s v="Knox Brooke"/>
    <s v="Networking Strategy"/>
    <d v="2024-03-18T00:00:00"/>
    <x v="2"/>
    <n v="1"/>
    <s v="Bronze"/>
    <s v="Service Booked"/>
    <n v="55276"/>
    <x v="5"/>
    <s v="Main Street"/>
    <s v="Geelong"/>
    <n v="3220"/>
    <n v="250"/>
    <n v="250"/>
  </r>
  <r>
    <s v="Contreras Addison"/>
    <s v="Mentoring program"/>
    <d v="2024-03-18T00:00:00"/>
    <x v="2"/>
    <n v="1"/>
    <s v="Bronze"/>
    <s v="Service Booked"/>
    <n v="96865"/>
    <x v="4"/>
    <s v="Park Avenue"/>
    <s v="Canberra"/>
    <n v="2600"/>
    <n v="1200"/>
    <n v="1200"/>
  </r>
  <r>
    <s v="Brown Isabel"/>
    <s v="Networking Strategy"/>
    <d v="2024-03-18T00:00:00"/>
    <x v="2"/>
    <n v="3"/>
    <s v="Gold"/>
    <s v="Service Booked"/>
    <n v="11820"/>
    <x v="5"/>
    <s v="Park Avenue"/>
    <s v="Geelong"/>
    <n v="3220"/>
    <n v="250"/>
    <n v="750"/>
  </r>
  <r>
    <s v="Winters Holden"/>
    <s v="Mentoring program"/>
    <d v="2024-03-18T00:00:00"/>
    <x v="2"/>
    <n v="3"/>
    <s v="Gold"/>
    <s v="Delivered"/>
    <n v="68278"/>
    <x v="1"/>
    <s v="George Street"/>
    <s v="Wollongong"/>
    <n v="2500"/>
    <n v="1200"/>
    <n v="3600"/>
  </r>
  <r>
    <s v="Walsh Patrick"/>
    <s v="Resume (service fee)"/>
    <d v="2024-03-19T00:00:00"/>
    <x v="2"/>
    <n v="3"/>
    <s v="Gold"/>
    <s v="Service Booked"/>
    <n v="12797"/>
    <x v="6"/>
    <s v="George Street"/>
    <s v="Devonport"/>
    <n v="7310"/>
    <n v="600"/>
    <n v="1800"/>
  </r>
  <r>
    <s v="Sandoval Santiago"/>
    <s v="Mentoring program"/>
    <d v="2024-03-19T00:00:00"/>
    <x v="2"/>
    <n v="1"/>
    <s v="Bronze"/>
    <s v="In Progress"/>
    <n v="99373"/>
    <x v="6"/>
    <s v="Main Street"/>
    <s v="Launceston"/>
    <n v="7250"/>
    <n v="1200"/>
    <n v="1200"/>
  </r>
  <r>
    <s v="Brennan Alison"/>
    <s v="Interview Prep"/>
    <d v="2024-03-19T00:00:00"/>
    <x v="2"/>
    <n v="3"/>
    <s v="Gold"/>
    <s v="Delivered"/>
    <n v="32757"/>
    <x v="7"/>
    <s v="Main Street"/>
    <s v="Alice Springs"/>
    <n v="870"/>
    <n v="250"/>
    <n v="750"/>
  </r>
  <r>
    <s v="Perez Avery"/>
    <s v="LinkedIn profile"/>
    <d v="2024-03-19T00:00:00"/>
    <x v="2"/>
    <n v="2"/>
    <s v="Silver"/>
    <s v="Service Booked"/>
    <n v="9470"/>
    <x v="2"/>
    <s v="King Street"/>
    <s v="Cairns"/>
    <n v="4870"/>
    <n v="300"/>
    <n v="600"/>
  </r>
  <r>
    <s v="Carson Marley"/>
    <s v="Mentoring program"/>
    <d v="2024-03-19T00:00:00"/>
    <x v="2"/>
    <n v="1"/>
    <s v="Bronze"/>
    <s v="Service Booked"/>
    <n v="82047"/>
    <x v="3"/>
    <s v="King Street"/>
    <s v="Perth"/>
    <n v="6000"/>
    <n v="1200"/>
    <n v="1200"/>
  </r>
  <r>
    <s v="Maldonado Arielle"/>
    <s v="LinkedIn profile"/>
    <d v="2024-03-20T00:00:00"/>
    <x v="2"/>
    <n v="3"/>
    <s v="Gold"/>
    <s v="In Progress"/>
    <n v="79405"/>
    <x v="0"/>
    <s v="George Street"/>
    <s v="Adelaide"/>
    <n v="5000"/>
    <n v="300"/>
    <n v="900"/>
  </r>
  <r>
    <s v="Townsend Charles"/>
    <s v="Resume (service fee)"/>
    <d v="2024-03-20T00:00:00"/>
    <x v="2"/>
    <n v="3"/>
    <s v="Gold"/>
    <s v="Service Booked"/>
    <n v="21261"/>
    <x v="6"/>
    <s v="Elizabeth Street"/>
    <s v="Devonport"/>
    <n v="7310"/>
    <n v="600"/>
    <n v="1800"/>
  </r>
  <r>
    <s v="Hartman Manuel"/>
    <s v="Networking Strategy"/>
    <d v="2024-03-20T00:00:00"/>
    <x v="2"/>
    <n v="3"/>
    <s v="Gold"/>
    <s v="Delivered"/>
    <n v="67616"/>
    <x v="7"/>
    <s v="Elizabeth Street"/>
    <s v="Alice Springs"/>
    <n v="870"/>
    <n v="250"/>
    <n v="750"/>
  </r>
  <r>
    <s v="Mccall Saylor"/>
    <s v="Resume + LinkedIn Profile"/>
    <d v="2024-03-21T00:00:00"/>
    <x v="2"/>
    <n v="3"/>
    <s v="Gold"/>
    <s v="In Progress"/>
    <n v="47246"/>
    <x v="1"/>
    <s v="Main Street"/>
    <s v="Sydney"/>
    <n v="2000"/>
    <n v="800"/>
    <n v="2400"/>
  </r>
  <r>
    <s v="Landry Liam"/>
    <s v="Mentoring program"/>
    <d v="2024-03-21T00:00:00"/>
    <x v="2"/>
    <n v="3"/>
    <s v="Gold"/>
    <s v="Service Booked"/>
    <n v="60423"/>
    <x v="5"/>
    <s v="George Street"/>
    <s v="Geelong"/>
    <n v="3220"/>
    <n v="1200"/>
    <n v="3600"/>
  </r>
  <r>
    <s v="Macdonald Angelina"/>
    <s v="Resume + LinkedIn Profile"/>
    <d v="2024-03-21T00:00:00"/>
    <x v="2"/>
    <n v="1"/>
    <s v="Bronze"/>
    <s v="Delivered"/>
    <n v="55098"/>
    <x v="4"/>
    <s v="Elizabeth Street"/>
    <s v="Canberra"/>
    <n v="2600"/>
    <n v="800"/>
    <n v="800"/>
  </r>
  <r>
    <s v="Case Alana"/>
    <s v="Mentoring program"/>
    <d v="2024-03-22T00:00:00"/>
    <x v="2"/>
    <n v="1"/>
    <s v="Bronze"/>
    <s v="In Progress"/>
    <n v="69008"/>
    <x v="0"/>
    <s v="King Street"/>
    <s v="Mount Gambier"/>
    <n v="5290"/>
    <n v="1200"/>
    <n v="1200"/>
  </r>
  <r>
    <s v="White Lila"/>
    <s v="Mentoring program"/>
    <d v="2024-03-22T00:00:00"/>
    <x v="2"/>
    <n v="3"/>
    <s v="Gold"/>
    <s v="Service Booked"/>
    <n v="52887"/>
    <x v="1"/>
    <s v="Elizabeth Street"/>
    <s v="Wollongong"/>
    <n v="2500"/>
    <n v="1200"/>
    <n v="3600"/>
  </r>
  <r>
    <s v="Lu Sergio"/>
    <s v="Mentoring program"/>
    <d v="2024-03-22T00:00:00"/>
    <x v="2"/>
    <n v="3"/>
    <s v="Gold"/>
    <s v="Delivered"/>
    <n v="62965"/>
    <x v="6"/>
    <s v="George Street"/>
    <s v="Hobart"/>
    <n v="7000"/>
    <n v="1200"/>
    <n v="3600"/>
  </r>
  <r>
    <s v="Foster Sadie"/>
    <s v="Resume (service fee)"/>
    <d v="2024-03-23T00:00:00"/>
    <x v="2"/>
    <n v="3"/>
    <s v="Gold"/>
    <s v="Delivered"/>
    <n v="9535"/>
    <x v="2"/>
    <s v="Park Avenue"/>
    <s v="Brisbane"/>
    <n v="4000"/>
    <n v="600"/>
    <n v="1800"/>
  </r>
  <r>
    <s v="Morrison Caiden"/>
    <s v="LinkedIn profile"/>
    <d v="2024-03-23T00:00:00"/>
    <x v="2"/>
    <n v="2"/>
    <s v="Silver"/>
    <s v="Delivered"/>
    <n v="62106"/>
    <x v="3"/>
    <s v="Main Street"/>
    <s v="Fremantle"/>
    <n v="6160"/>
    <n v="300"/>
    <n v="600"/>
  </r>
  <r>
    <s v="Elliott Cooper"/>
    <s v="LinkedIn profile"/>
    <d v="2024-03-24T00:00:00"/>
    <x v="2"/>
    <n v="3"/>
    <s v="Gold"/>
    <s v="Delivered"/>
    <n v="43628"/>
    <x v="6"/>
    <s v="Main Street"/>
    <s v="Hobart"/>
    <n v="7000"/>
    <n v="300"/>
    <n v="900"/>
  </r>
  <r>
    <s v="Greene Chance"/>
    <s v="Interview Prep"/>
    <d v="2024-03-24T00:00:00"/>
    <x v="2"/>
    <n v="1"/>
    <s v="Bronze"/>
    <s v="Delivered"/>
    <n v="30446"/>
    <x v="7"/>
    <s v="Park Avenue"/>
    <s v="Darwin"/>
    <n v="800"/>
    <n v="250"/>
    <n v="250"/>
  </r>
  <r>
    <s v="Ramsey Hank"/>
    <s v="LinkedIn profile"/>
    <d v="2024-03-24T00:00:00"/>
    <x v="2"/>
    <n v="3"/>
    <s v="Gold"/>
    <s v="Service Booked"/>
    <n v="8939"/>
    <x v="3"/>
    <s v="Main Street"/>
    <s v="Fremantle"/>
    <n v="6160"/>
    <n v="300"/>
    <n v="900"/>
  </r>
  <r>
    <s v="Frazier Sutton"/>
    <s v="Mentoring program"/>
    <d v="2024-03-25T00:00:00"/>
    <x v="2"/>
    <n v="2"/>
    <s v="Silver"/>
    <s v="Cancelled"/>
    <n v="99945"/>
    <x v="7"/>
    <s v="Elizabeth Street"/>
    <s v="Alice Springs"/>
    <n v="870"/>
    <n v="1200"/>
    <n v="2400"/>
  </r>
  <r>
    <s v="Raymond Declan"/>
    <s v="Mentoring program"/>
    <d v="2024-03-25T00:00:00"/>
    <x v="2"/>
    <n v="3"/>
    <s v="Gold"/>
    <s v="Delivered"/>
    <n v="53822"/>
    <x v="7"/>
    <s v="George Street"/>
    <s v="Alice Springs"/>
    <n v="870"/>
    <n v="1200"/>
    <n v="3600"/>
  </r>
  <r>
    <s v="Hutchinson Renata"/>
    <s v="Resume + LinkedIn Profile"/>
    <d v="2024-03-25T00:00:00"/>
    <x v="2"/>
    <n v="1"/>
    <s v="Bronze"/>
    <s v="Service Booked"/>
    <n v="24833"/>
    <x v="1"/>
    <s v="King Street"/>
    <s v="Newcastle"/>
    <n v="2300"/>
    <n v="800"/>
    <n v="800"/>
  </r>
  <r>
    <s v="Luna Wyatt"/>
    <s v="Mentoring program"/>
    <d v="2024-03-25T00:00:00"/>
    <x v="2"/>
    <n v="1"/>
    <s v="Bronze"/>
    <s v="Service Booked"/>
    <n v="82748"/>
    <x v="2"/>
    <s v="Main Street"/>
    <s v="Gold Coast"/>
    <n v="4217"/>
    <n v="1200"/>
    <n v="1200"/>
  </r>
  <r>
    <s v="Torres Jensen"/>
    <s v="Interview Prep"/>
    <d v="2024-03-26T00:00:00"/>
    <x v="2"/>
    <n v="3"/>
    <s v="Gold"/>
    <s v="Service Booked"/>
    <n v="23847"/>
    <x v="3"/>
    <s v="Park Avenue"/>
    <s v="Perth"/>
    <n v="6000"/>
    <n v="250"/>
    <n v="750"/>
  </r>
  <r>
    <s v="Luna Denver"/>
    <s v="Interview Prep"/>
    <d v="2024-03-27T00:00:00"/>
    <x v="2"/>
    <n v="3"/>
    <s v="Gold"/>
    <s v="Delivered"/>
    <n v="71474"/>
    <x v="6"/>
    <s v="George Street"/>
    <s v="Hobart"/>
    <n v="7000"/>
    <n v="250"/>
    <n v="750"/>
  </r>
  <r>
    <s v="Peterson Armani"/>
    <s v="Resume + LinkedIn Profile"/>
    <d v="2024-03-27T00:00:00"/>
    <x v="2"/>
    <n v="1"/>
    <s v="Bronze"/>
    <s v="Service Booked"/>
    <n v="43867"/>
    <x v="6"/>
    <s v="Main Street"/>
    <s v="Devonport"/>
    <n v="7310"/>
    <n v="800"/>
    <n v="800"/>
  </r>
  <r>
    <s v="Mercado Leonel"/>
    <s v="LinkedIn profile"/>
    <d v="2024-03-27T00:00:00"/>
    <x v="2"/>
    <n v="3"/>
    <s v="Gold"/>
    <s v="Service Booked"/>
    <n v="71402"/>
    <x v="4"/>
    <s v="King Street"/>
    <s v="Canberra"/>
    <n v="2600"/>
    <n v="300"/>
    <n v="900"/>
  </r>
  <r>
    <s v="Sutton Cataleya"/>
    <s v="Interview Prep"/>
    <d v="2024-03-27T00:00:00"/>
    <x v="2"/>
    <n v="1"/>
    <s v="Bronze"/>
    <s v="Delivered"/>
    <n v="23272"/>
    <x v="3"/>
    <s v="George Street"/>
    <s v="Broome"/>
    <n v="6725"/>
    <n v="250"/>
    <n v="250"/>
  </r>
  <r>
    <s v="Parra Remington"/>
    <s v="Mentoring program"/>
    <d v="2024-03-27T00:00:00"/>
    <x v="2"/>
    <n v="3"/>
    <s v="Gold"/>
    <s v="In Progress"/>
    <n v="1772"/>
    <x v="6"/>
    <s v="Park Avenue"/>
    <s v="Devonport"/>
    <n v="7310"/>
    <n v="1200"/>
    <n v="3600"/>
  </r>
  <r>
    <s v="Martinez Journee"/>
    <s v="Resume (service fee)"/>
    <d v="2024-03-27T00:00:00"/>
    <x v="2"/>
    <n v="3"/>
    <s v="Gold"/>
    <s v="Delivered"/>
    <n v="95129"/>
    <x v="4"/>
    <s v="Main Street"/>
    <s v="Canberra"/>
    <n v="2600"/>
    <n v="600"/>
    <n v="1800"/>
  </r>
  <r>
    <s v="Cardenas Ayla"/>
    <s v="LinkedIn profile"/>
    <d v="2024-03-28T00:00:00"/>
    <x v="2"/>
    <n v="3"/>
    <s v="Gold"/>
    <s v="Delivered"/>
    <n v="46981"/>
    <x v="7"/>
    <s v="King Street"/>
    <s v="Alice Springs"/>
    <n v="870"/>
    <n v="300"/>
    <n v="900"/>
  </r>
  <r>
    <s v="Santiago Charli"/>
    <s v="Networking Strategy"/>
    <d v="2024-03-28T00:00:00"/>
    <x v="2"/>
    <n v="3"/>
    <s v="Gold"/>
    <s v="Service Booked"/>
    <n v="67310"/>
    <x v="2"/>
    <s v="Main Street"/>
    <s v="Cairns"/>
    <n v="4870"/>
    <n v="250"/>
    <n v="750"/>
  </r>
  <r>
    <s v="Walton Rosie"/>
    <s v="Networking Strategy"/>
    <d v="2024-03-28T00:00:00"/>
    <x v="2"/>
    <n v="1"/>
    <s v="Bronze"/>
    <s v="Service Booked"/>
    <n v="75067"/>
    <x v="2"/>
    <s v="Main Street"/>
    <s v="Brisbane"/>
    <n v="4000"/>
    <n v="250"/>
    <n v="250"/>
  </r>
  <r>
    <s v="Zuniga Edwin"/>
    <s v="LinkedIn profile"/>
    <d v="2024-03-28T00:00:00"/>
    <x v="2"/>
    <n v="3"/>
    <s v="Gold"/>
    <s v="Service Booked"/>
    <n v="66801"/>
    <x v="3"/>
    <s v="Main Street"/>
    <s v="Perth"/>
    <n v="6000"/>
    <n v="300"/>
    <n v="900"/>
  </r>
  <r>
    <s v="Harrington Lillian"/>
    <s v="Networking Strategy"/>
    <d v="2024-03-31T00:00:00"/>
    <x v="2"/>
    <n v="3"/>
    <s v="Gold"/>
    <s v="Delivered"/>
    <n v="83494"/>
    <x v="7"/>
    <s v="Main Street"/>
    <s v="Darwin"/>
    <n v="800"/>
    <n v="250"/>
    <n v="750"/>
  </r>
  <r>
    <s v="Donovan Austin"/>
    <s v="Interview Prep"/>
    <d v="2024-03-31T00:00:00"/>
    <x v="2"/>
    <n v="2"/>
    <s v="Silver"/>
    <s v="In Progress"/>
    <n v="40623"/>
    <x v="0"/>
    <s v="Elizabeth Street"/>
    <s v="Whyalla"/>
    <n v="5600"/>
    <n v="250"/>
    <n v="500"/>
  </r>
  <r>
    <s v="Fleming Jacob"/>
    <s v="Mentoring program"/>
    <d v="2024-04-01T00:00:00"/>
    <x v="3"/>
    <n v="2"/>
    <s v="Silver"/>
    <s v="Service Booked"/>
    <n v="61170"/>
    <x v="7"/>
    <s v="King Street"/>
    <s v="Alice Springs"/>
    <n v="870"/>
    <n v="1200"/>
    <n v="2400"/>
  </r>
  <r>
    <s v="Rhodes Evelyn"/>
    <s v="Resume + LinkedIn Profile"/>
    <d v="2024-04-01T00:00:00"/>
    <x v="3"/>
    <n v="1"/>
    <s v="Bronze"/>
    <s v="Service Booked"/>
    <n v="63539"/>
    <x v="7"/>
    <s v="Main Street"/>
    <s v="Alice Springs"/>
    <n v="870"/>
    <n v="800"/>
    <n v="800"/>
  </r>
  <r>
    <s v="Maynard Shiloh"/>
    <s v="Resume + LinkedIn Profile"/>
    <d v="2024-04-02T00:00:00"/>
    <x v="3"/>
    <n v="3"/>
    <s v="Gold"/>
    <s v="Cancelled"/>
    <n v="36870"/>
    <x v="6"/>
    <s v="King Street"/>
    <s v="Devonport"/>
    <n v="7310"/>
    <n v="800"/>
    <n v="2400"/>
  </r>
  <r>
    <s v="Huffman Shiloh"/>
    <s v="Resume (service fee)"/>
    <d v="2024-04-02T00:00:00"/>
    <x v="3"/>
    <n v="1"/>
    <s v="Bronze"/>
    <s v="Service Booked"/>
    <n v="90306"/>
    <x v="3"/>
    <s v="King Street"/>
    <s v="Broome"/>
    <n v="6725"/>
    <n v="600"/>
    <n v="600"/>
  </r>
  <r>
    <s v="Christian Brantley"/>
    <s v="Networking Strategy"/>
    <d v="2024-04-03T00:00:00"/>
    <x v="3"/>
    <n v="3"/>
    <s v="Gold"/>
    <s v="In Progress"/>
    <n v="60581"/>
    <x v="5"/>
    <s v="Park Avenue"/>
    <s v="Geelong"/>
    <n v="3220"/>
    <n v="250"/>
    <n v="750"/>
  </r>
  <r>
    <s v="Pham Mackenzie"/>
    <s v="Interview Prep"/>
    <d v="2024-04-03T00:00:00"/>
    <x v="3"/>
    <n v="1"/>
    <s v="Bronze"/>
    <s v="Delivered"/>
    <n v="16532"/>
    <x v="2"/>
    <s v="George Street"/>
    <s v="Gold Coast"/>
    <n v="4217"/>
    <n v="250"/>
    <n v="250"/>
  </r>
  <r>
    <s v="Combs Alison"/>
    <s v="LinkedIn profile"/>
    <d v="2024-04-03T00:00:00"/>
    <x v="3"/>
    <n v="1"/>
    <s v="Bronze"/>
    <s v="Service Booked"/>
    <n v="76267"/>
    <x v="2"/>
    <s v="Main Street"/>
    <s v="Brisbane"/>
    <n v="4000"/>
    <n v="300"/>
    <n v="300"/>
  </r>
  <r>
    <s v="Hoffman Melissa"/>
    <s v="Resume + LinkedIn Profile"/>
    <d v="2024-04-04T00:00:00"/>
    <x v="3"/>
    <n v="3"/>
    <s v="Gold"/>
    <s v="Delivered"/>
    <n v="67626"/>
    <x v="4"/>
    <s v="Main Street"/>
    <s v="Canberra"/>
    <n v="2600"/>
    <n v="800"/>
    <n v="2400"/>
  </r>
  <r>
    <s v="Tapia Devin"/>
    <s v="Mentoring program"/>
    <d v="2024-04-04T00:00:00"/>
    <x v="3"/>
    <n v="2"/>
    <s v="Silver"/>
    <s v="Service Booked"/>
    <n v="99844"/>
    <x v="6"/>
    <s v="George Street"/>
    <s v="Devonport"/>
    <n v="7310"/>
    <n v="1200"/>
    <n v="2400"/>
  </r>
  <r>
    <s v="Salinas Willow"/>
    <s v="Resume (service fee)"/>
    <d v="2024-04-04T00:00:00"/>
    <x v="3"/>
    <n v="1"/>
    <s v="Bronze"/>
    <s v="Cancelled"/>
    <n v="59307"/>
    <x v="5"/>
    <s v="King Street"/>
    <s v="Melbourne"/>
    <n v="3000"/>
    <n v="600"/>
    <n v="600"/>
  </r>
  <r>
    <s v="Byrd Charlotte"/>
    <s v="LinkedIn profile"/>
    <d v="2024-04-05T00:00:00"/>
    <x v="3"/>
    <n v="3"/>
    <s v="Gold"/>
    <s v="Delivered"/>
    <n v="66264"/>
    <x v="7"/>
    <s v="George Street"/>
    <s v="Darwin"/>
    <n v="800"/>
    <n v="300"/>
    <n v="900"/>
  </r>
  <r>
    <s v="Burns Russell"/>
    <s v="LinkedIn profile"/>
    <d v="2024-04-05T00:00:00"/>
    <x v="3"/>
    <n v="3"/>
    <s v="Gold"/>
    <s v="Delivered"/>
    <n v="41325"/>
    <x v="5"/>
    <s v="Main Street"/>
    <s v="Ballarat"/>
    <n v="3350"/>
    <n v="300"/>
    <n v="900"/>
  </r>
  <r>
    <s v="Duncan Erick"/>
    <s v="Resume (service fee)"/>
    <d v="2024-04-05T00:00:00"/>
    <x v="3"/>
    <n v="3"/>
    <s v="Gold"/>
    <s v="Cancelled"/>
    <n v="61"/>
    <x v="5"/>
    <s v="Main Street"/>
    <s v="Melbourne"/>
    <n v="3000"/>
    <n v="600"/>
    <n v="1800"/>
  </r>
  <r>
    <s v="Castaneda Princeton"/>
    <s v="Mentoring program"/>
    <d v="2024-04-06T00:00:00"/>
    <x v="3"/>
    <n v="3"/>
    <s v="Gold"/>
    <s v="Delivered"/>
    <n v="91500"/>
    <x v="4"/>
    <s v="George Street"/>
    <s v="Canberra"/>
    <n v="2600"/>
    <n v="1200"/>
    <n v="3600"/>
  </r>
  <r>
    <s v="Conrad Sebastian"/>
    <s v="Mentoring program"/>
    <d v="2024-04-06T00:00:00"/>
    <x v="3"/>
    <n v="2"/>
    <s v="Silver"/>
    <s v="Cancelled"/>
    <n v="38080"/>
    <x v="3"/>
    <s v="King Street"/>
    <s v="Perth"/>
    <n v="6000"/>
    <n v="1200"/>
    <n v="2400"/>
  </r>
  <r>
    <s v="Rubio Asher"/>
    <s v="Mentoring program"/>
    <d v="2024-04-07T00:00:00"/>
    <x v="3"/>
    <n v="1"/>
    <s v="Bronze"/>
    <s v="Delivered"/>
    <n v="95804"/>
    <x v="7"/>
    <s v="Elizabeth Street"/>
    <s v="Alice Springs"/>
    <n v="870"/>
    <n v="1200"/>
    <n v="1200"/>
  </r>
  <r>
    <s v="Velez Navy"/>
    <s v="Resume + LinkedIn Profile"/>
    <d v="2024-04-07T00:00:00"/>
    <x v="3"/>
    <n v="2"/>
    <s v="Silver"/>
    <s v="Cancelled"/>
    <n v="97645"/>
    <x v="3"/>
    <s v="Main Street"/>
    <s v="Fremantle"/>
    <n v="6160"/>
    <n v="800"/>
    <n v="1600"/>
  </r>
  <r>
    <s v="Rowland Sophia"/>
    <s v="LinkedIn profile"/>
    <d v="2024-04-07T00:00:00"/>
    <x v="3"/>
    <n v="3"/>
    <s v="Gold"/>
    <s v="Delivered"/>
    <n v="79737"/>
    <x v="4"/>
    <s v="Park Avenue"/>
    <s v="Canberra"/>
    <n v="2600"/>
    <n v="300"/>
    <n v="900"/>
  </r>
  <r>
    <s v="Jacobs Abel"/>
    <s v="Resume (service fee)"/>
    <d v="2024-04-08T00:00:00"/>
    <x v="3"/>
    <n v="2"/>
    <s v="Silver"/>
    <s v="Service Booked"/>
    <n v="70867"/>
    <x v="3"/>
    <s v="Elizabeth Street"/>
    <s v="Broome"/>
    <n v="6725"/>
    <n v="600"/>
    <n v="1200"/>
  </r>
  <r>
    <s v="Livingston Dominic"/>
    <s v="Resume (service fee)"/>
    <d v="2024-04-08T00:00:00"/>
    <x v="3"/>
    <n v="2"/>
    <s v="Silver"/>
    <s v="Service Booked"/>
    <n v="60295"/>
    <x v="7"/>
    <s v="Park Avenue"/>
    <s v="Alice Springs"/>
    <n v="870"/>
    <n v="600"/>
    <n v="1200"/>
  </r>
  <r>
    <s v="Roy Patrick"/>
    <s v="Interview Prep"/>
    <d v="2024-04-09T00:00:00"/>
    <x v="3"/>
    <n v="2"/>
    <s v="Silver"/>
    <s v="Delivered"/>
    <n v="84042"/>
    <x v="2"/>
    <s v="Park Avenue"/>
    <s v="Cairns"/>
    <n v="4870"/>
    <n v="250"/>
    <n v="500"/>
  </r>
  <r>
    <s v="Orozco River"/>
    <s v="Networking Strategy"/>
    <d v="2024-04-09T00:00:00"/>
    <x v="3"/>
    <n v="3"/>
    <s v="Gold"/>
    <s v="Service Booked"/>
    <n v="36180"/>
    <x v="3"/>
    <s v="Park Avenue"/>
    <s v="Perth"/>
    <n v="6000"/>
    <n v="250"/>
    <n v="750"/>
  </r>
  <r>
    <s v="Miranda Diego"/>
    <s v="Resume + LinkedIn Profile"/>
    <d v="2024-04-09T00:00:00"/>
    <x v="3"/>
    <n v="2"/>
    <s v="Silver"/>
    <s v="Delivered"/>
    <n v="92421"/>
    <x v="1"/>
    <s v="Elizabeth Street"/>
    <s v="Sydney"/>
    <n v="2000"/>
    <n v="800"/>
    <n v="1600"/>
  </r>
  <r>
    <s v="Sandoval Kash"/>
    <s v="Resume + LinkedIn Profile"/>
    <d v="2024-04-09T00:00:00"/>
    <x v="3"/>
    <n v="2"/>
    <s v="Silver"/>
    <s v="Delivered"/>
    <n v="45460"/>
    <x v="7"/>
    <s v="Park Avenue"/>
    <s v="Alice Springs"/>
    <n v="870"/>
    <n v="800"/>
    <n v="1600"/>
  </r>
  <r>
    <s v="Luna Sebastian"/>
    <s v="Mentoring program"/>
    <d v="2024-04-10T00:00:00"/>
    <x v="3"/>
    <n v="3"/>
    <s v="Gold"/>
    <s v="Delivered"/>
    <n v="53193"/>
    <x v="0"/>
    <s v="Park Avenue"/>
    <s v="Mount Gambier"/>
    <n v="5290"/>
    <n v="1200"/>
    <n v="3600"/>
  </r>
  <r>
    <s v="Maynard Tatum"/>
    <s v="LinkedIn profile"/>
    <d v="2024-04-11T00:00:00"/>
    <x v="3"/>
    <n v="1"/>
    <s v="Bronze"/>
    <s v="Delivered"/>
    <n v="54417"/>
    <x v="6"/>
    <s v="Elizabeth Street"/>
    <s v="Devonport"/>
    <n v="7310"/>
    <n v="300"/>
    <n v="300"/>
  </r>
  <r>
    <s v="Townsend Baker"/>
    <s v="Resume (service fee)"/>
    <d v="2024-04-12T00:00:00"/>
    <x v="3"/>
    <n v="1"/>
    <s v="Bronze"/>
    <s v="Cancelled"/>
    <n v="2823"/>
    <x v="1"/>
    <s v="King Street"/>
    <s v="Newcastle"/>
    <n v="2300"/>
    <n v="600"/>
    <n v="600"/>
  </r>
  <r>
    <s v="Mcpherson Xiomara"/>
    <s v="Resume + LinkedIn Profile"/>
    <d v="2024-04-13T00:00:00"/>
    <x v="3"/>
    <n v="3"/>
    <s v="Gold"/>
    <s v="Delivered"/>
    <n v="2688"/>
    <x v="3"/>
    <s v="Park Avenue"/>
    <s v="Broome"/>
    <n v="6725"/>
    <n v="800"/>
    <n v="2400"/>
  </r>
  <r>
    <s v="Pollard Sebastian"/>
    <s v="Resume (service fee)"/>
    <d v="2024-04-13T00:00:00"/>
    <x v="3"/>
    <n v="3"/>
    <s v="Gold"/>
    <s v="Cancelled"/>
    <n v="35501"/>
    <x v="5"/>
    <s v="King Street"/>
    <s v="Melbourne"/>
    <n v="3000"/>
    <n v="600"/>
    <n v="1800"/>
  </r>
  <r>
    <s v="Hughes Kenneth"/>
    <s v="Mentoring program"/>
    <d v="2024-04-13T00:00:00"/>
    <x v="3"/>
    <n v="1"/>
    <s v="Bronze"/>
    <s v="In Progress"/>
    <n v="23915"/>
    <x v="1"/>
    <s v="Main Street"/>
    <s v="Sydney"/>
    <n v="2000"/>
    <n v="1200"/>
    <n v="1200"/>
  </r>
  <r>
    <s v="Shields Elliot"/>
    <s v="Resume (service fee)"/>
    <d v="2024-04-13T00:00:00"/>
    <x v="3"/>
    <n v="1"/>
    <s v="Bronze"/>
    <s v="Delivered"/>
    <n v="46201"/>
    <x v="3"/>
    <s v="Elizabeth Street"/>
    <s v="Broome"/>
    <n v="6725"/>
    <n v="600"/>
    <n v="600"/>
  </r>
  <r>
    <s v="Wong Emerson"/>
    <s v="Networking Strategy"/>
    <d v="2024-04-14T00:00:00"/>
    <x v="3"/>
    <n v="3"/>
    <s v="Gold"/>
    <s v="Delivered"/>
    <n v="98908"/>
    <x v="7"/>
    <s v="Park Avenue"/>
    <s v="Alice Springs"/>
    <n v="870"/>
    <n v="250"/>
    <n v="750"/>
  </r>
  <r>
    <s v="Austin Margaret"/>
    <s v="LinkedIn profile"/>
    <d v="2024-04-14T00:00:00"/>
    <x v="3"/>
    <n v="2"/>
    <s v="Silver"/>
    <s v="Delivered"/>
    <n v="1932"/>
    <x v="2"/>
    <s v="Main Street"/>
    <s v="Cairns"/>
    <n v="4870"/>
    <n v="300"/>
    <n v="600"/>
  </r>
  <r>
    <s v="Ellis Esme"/>
    <s v="Mentoring program"/>
    <d v="2024-04-14T00:00:00"/>
    <x v="3"/>
    <n v="1"/>
    <s v="Bronze"/>
    <s v="Delivered"/>
    <n v="59012"/>
    <x v="1"/>
    <s v="King Street"/>
    <s v="Sydney"/>
    <n v="2000"/>
    <n v="1200"/>
    <n v="1200"/>
  </r>
  <r>
    <s v="Rojas Eliza"/>
    <s v="Interview Prep"/>
    <d v="2024-04-14T00:00:00"/>
    <x v="3"/>
    <n v="1"/>
    <s v="Bronze"/>
    <s v="Delivered"/>
    <n v="60582"/>
    <x v="1"/>
    <s v="Main Street"/>
    <s v="Newcastle"/>
    <n v="2300"/>
    <n v="250"/>
    <n v="250"/>
  </r>
  <r>
    <s v="Ballard Amir"/>
    <s v="Interview Prep"/>
    <d v="2024-04-16T00:00:00"/>
    <x v="3"/>
    <n v="1"/>
    <s v="Bronze"/>
    <s v="Delivered"/>
    <n v="61223"/>
    <x v="6"/>
    <s v="Elizabeth Street"/>
    <s v="Hobart"/>
    <n v="7000"/>
    <n v="250"/>
    <n v="250"/>
  </r>
  <r>
    <s v="Rowe Trinity"/>
    <s v="Resume + LinkedIn Profile"/>
    <d v="2024-04-16T00:00:00"/>
    <x v="3"/>
    <n v="3"/>
    <s v="Gold"/>
    <s v="Delivered"/>
    <n v="43006"/>
    <x v="2"/>
    <s v="King Street"/>
    <s v="Brisbane"/>
    <n v="4000"/>
    <n v="800"/>
    <n v="2400"/>
  </r>
  <r>
    <s v="Hanson Kayla"/>
    <s v="Interview Prep"/>
    <d v="2024-04-16T00:00:00"/>
    <x v="3"/>
    <n v="2"/>
    <s v="Silver"/>
    <s v="Service Booked"/>
    <n v="49154"/>
    <x v="6"/>
    <s v="Main Street"/>
    <s v="Devonport"/>
    <n v="7310"/>
    <n v="250"/>
    <n v="500"/>
  </r>
  <r>
    <s v="Petersen Elliot"/>
    <s v="Interview Prep"/>
    <d v="2024-04-16T00:00:00"/>
    <x v="3"/>
    <n v="3"/>
    <s v="Gold"/>
    <s v="Delivered"/>
    <n v="40065"/>
    <x v="4"/>
    <s v="King Street"/>
    <s v="Canberra"/>
    <n v="2600"/>
    <n v="250"/>
    <n v="750"/>
  </r>
  <r>
    <s v="Ventura Haven"/>
    <s v="Resume (service fee)"/>
    <d v="2024-04-16T00:00:00"/>
    <x v="3"/>
    <n v="1"/>
    <s v="Bronze"/>
    <s v="In Progress"/>
    <n v="24277"/>
    <x v="6"/>
    <s v="Elizabeth Street"/>
    <s v="Devonport"/>
    <n v="7310"/>
    <n v="600"/>
    <n v="600"/>
  </r>
  <r>
    <s v="Johnston Ace"/>
    <s v="Networking Strategy"/>
    <d v="2024-04-17T00:00:00"/>
    <x v="3"/>
    <n v="1"/>
    <s v="Bronze"/>
    <s v="Service Booked"/>
    <n v="50865"/>
    <x v="4"/>
    <s v="Park Avenue"/>
    <s v="Canberra"/>
    <n v="2600"/>
    <n v="250"/>
    <n v="250"/>
  </r>
  <r>
    <s v="Benjamin Frank"/>
    <s v="Mentoring program"/>
    <d v="2024-04-18T00:00:00"/>
    <x v="3"/>
    <n v="1"/>
    <s v="Bronze"/>
    <s v="Service Booked"/>
    <n v="31985"/>
    <x v="3"/>
    <s v="Park Avenue"/>
    <s v="Broome"/>
    <n v="6725"/>
    <n v="1200"/>
    <n v="1200"/>
  </r>
  <r>
    <s v="Pearson Amira"/>
    <s v="Networking Strategy"/>
    <d v="2024-04-18T00:00:00"/>
    <x v="3"/>
    <n v="3"/>
    <s v="Gold"/>
    <s v="Delivered"/>
    <n v="3099"/>
    <x v="3"/>
    <s v="Park Avenue"/>
    <s v="Broome"/>
    <n v="6725"/>
    <n v="250"/>
    <n v="750"/>
  </r>
  <r>
    <s v="Owens Maximus"/>
    <s v="Resume + LinkedIn Profile"/>
    <d v="2024-04-18T00:00:00"/>
    <x v="3"/>
    <n v="2"/>
    <s v="Silver"/>
    <s v="Service Booked"/>
    <n v="62344"/>
    <x v="5"/>
    <s v="Main Street"/>
    <s v="Ballarat"/>
    <n v="3350"/>
    <n v="800"/>
    <n v="1600"/>
  </r>
  <r>
    <s v="Mahoney Collins"/>
    <s v="Interview Prep"/>
    <d v="2024-04-18T00:00:00"/>
    <x v="3"/>
    <n v="1"/>
    <s v="Bronze"/>
    <s v="Delivered"/>
    <n v="37713"/>
    <x v="5"/>
    <s v="Elizabeth Street"/>
    <s v="Geelong"/>
    <n v="3220"/>
    <n v="250"/>
    <n v="250"/>
  </r>
  <r>
    <s v="Odom Annalise"/>
    <s v="Interview Prep"/>
    <d v="2024-04-19T00:00:00"/>
    <x v="3"/>
    <n v="3"/>
    <s v="Gold"/>
    <s v="Service Booked"/>
    <n v="11663"/>
    <x v="6"/>
    <s v="George Street"/>
    <s v="Hobart"/>
    <n v="7000"/>
    <n v="250"/>
    <n v="750"/>
  </r>
  <r>
    <s v="Hall Fernando"/>
    <s v="Interview Prep"/>
    <d v="2024-04-19T00:00:00"/>
    <x v="3"/>
    <n v="3"/>
    <s v="Gold"/>
    <s v="Delivered"/>
    <n v="47173"/>
    <x v="5"/>
    <s v="Elizabeth Street"/>
    <s v="Ballarat"/>
    <n v="3350"/>
    <n v="250"/>
    <n v="750"/>
  </r>
  <r>
    <s v="Hanna Rowan"/>
    <s v="Interview Prep"/>
    <d v="2024-04-19T00:00:00"/>
    <x v="3"/>
    <n v="1"/>
    <s v="Bronze"/>
    <s v="Service Booked"/>
    <n v="59633"/>
    <x v="6"/>
    <s v="Main Street"/>
    <s v="Devonport"/>
    <n v="7310"/>
    <n v="250"/>
    <n v="250"/>
  </r>
  <r>
    <s v="Rice Millie"/>
    <s v="Resume + LinkedIn Profile"/>
    <d v="2024-04-19T00:00:00"/>
    <x v="3"/>
    <n v="2"/>
    <s v="Silver"/>
    <s v="Cancelled"/>
    <n v="20321"/>
    <x v="2"/>
    <s v="George Street"/>
    <s v="Cairns"/>
    <n v="4870"/>
    <n v="800"/>
    <n v="1600"/>
  </r>
  <r>
    <s v="Kaur Matteo"/>
    <s v="LinkedIn profile"/>
    <d v="2024-04-20T00:00:00"/>
    <x v="3"/>
    <n v="1"/>
    <s v="Bronze"/>
    <s v="Delivered"/>
    <n v="40214"/>
    <x v="3"/>
    <s v="George Street"/>
    <s v="Fremantle"/>
    <n v="6160"/>
    <n v="300"/>
    <n v="300"/>
  </r>
  <r>
    <s v="Mullins Regina"/>
    <s v="Resume + LinkedIn Profile"/>
    <d v="2024-04-20T00:00:00"/>
    <x v="3"/>
    <n v="3"/>
    <s v="Gold"/>
    <s v="Delivered"/>
    <n v="74881"/>
    <x v="5"/>
    <s v="Main Street"/>
    <s v="Melbourne"/>
    <n v="3000"/>
    <n v="800"/>
    <n v="2400"/>
  </r>
  <r>
    <s v="Galindo Shiloh"/>
    <s v="Resume + LinkedIn Profile"/>
    <d v="2024-04-21T00:00:00"/>
    <x v="3"/>
    <n v="2"/>
    <s v="Silver"/>
    <s v="Delivered"/>
    <n v="87491"/>
    <x v="3"/>
    <s v="King Street"/>
    <s v="Fremantle"/>
    <n v="6160"/>
    <n v="800"/>
    <n v="1600"/>
  </r>
  <r>
    <s v="Lane Abraham"/>
    <s v="Networking Strategy"/>
    <d v="2024-04-21T00:00:00"/>
    <x v="3"/>
    <n v="2"/>
    <s v="Silver"/>
    <s v="Delivered"/>
    <n v="94308"/>
    <x v="3"/>
    <s v="Main Street"/>
    <s v="Fremantle"/>
    <n v="6160"/>
    <n v="250"/>
    <n v="500"/>
  </r>
  <r>
    <s v="Baldwin Adalynn"/>
    <s v="Mentoring program"/>
    <d v="2024-04-22T00:00:00"/>
    <x v="3"/>
    <n v="2"/>
    <s v="Silver"/>
    <s v="Service Booked"/>
    <n v="6714"/>
    <x v="1"/>
    <s v="King Street"/>
    <s v="Sydney"/>
    <n v="2000"/>
    <n v="1200"/>
    <n v="2400"/>
  </r>
  <r>
    <s v="Becker Eden"/>
    <s v="Resume (service fee)"/>
    <d v="2024-04-22T00:00:00"/>
    <x v="3"/>
    <n v="1"/>
    <s v="Bronze"/>
    <s v="Service Booked"/>
    <n v="29705"/>
    <x v="7"/>
    <s v="Main Street"/>
    <s v="Alice Springs"/>
    <n v="870"/>
    <n v="600"/>
    <n v="600"/>
  </r>
  <r>
    <s v="Lang Gracelynn"/>
    <s v="LinkedIn profile"/>
    <d v="2024-04-22T00:00:00"/>
    <x v="3"/>
    <n v="3"/>
    <s v="Gold"/>
    <s v="Service Booked"/>
    <n v="75092"/>
    <x v="6"/>
    <s v="King Street"/>
    <s v="Hobart"/>
    <n v="7000"/>
    <n v="300"/>
    <n v="900"/>
  </r>
  <r>
    <s v="Gonzalez Sterling"/>
    <s v="Mentoring program"/>
    <d v="2024-04-22T00:00:00"/>
    <x v="3"/>
    <n v="3"/>
    <s v="Gold"/>
    <s v="Delivered"/>
    <n v="68826"/>
    <x v="3"/>
    <s v="King Street"/>
    <s v="Fremantle"/>
    <n v="6160"/>
    <n v="1200"/>
    <n v="3600"/>
  </r>
  <r>
    <s v="Tate Cora"/>
    <s v="Resume + LinkedIn Profile"/>
    <d v="2024-04-23T00:00:00"/>
    <x v="3"/>
    <n v="1"/>
    <s v="Bronze"/>
    <s v="Service Booked"/>
    <n v="6150"/>
    <x v="3"/>
    <s v="Park Avenue"/>
    <s v="Perth"/>
    <n v="6000"/>
    <n v="800"/>
    <n v="800"/>
  </r>
  <r>
    <s v="Shepherd Charli"/>
    <s v="Mentoring program"/>
    <d v="2024-04-23T00:00:00"/>
    <x v="3"/>
    <n v="2"/>
    <s v="Silver"/>
    <s v="Service Booked"/>
    <n v="65657"/>
    <x v="7"/>
    <s v="George Street"/>
    <s v="Alice Springs"/>
    <n v="870"/>
    <n v="1200"/>
    <n v="2400"/>
  </r>
  <r>
    <s v="Crawford Hugo"/>
    <s v="Mentoring program"/>
    <d v="2024-04-24T00:00:00"/>
    <x v="3"/>
    <n v="3"/>
    <s v="Gold"/>
    <s v="Cancelled"/>
    <n v="73847"/>
    <x v="7"/>
    <s v="Main Street"/>
    <s v="Darwin"/>
    <n v="800"/>
    <n v="1200"/>
    <n v="3600"/>
  </r>
  <r>
    <s v="Singh Zuri"/>
    <s v="Interview Prep"/>
    <d v="2024-04-25T00:00:00"/>
    <x v="3"/>
    <n v="2"/>
    <s v="Silver"/>
    <s v="Delivered"/>
    <n v="63594"/>
    <x v="7"/>
    <s v="Elizabeth Street"/>
    <s v="Darwin"/>
    <n v="800"/>
    <n v="250"/>
    <n v="500"/>
  </r>
  <r>
    <s v="Lozano Lorenzo"/>
    <s v="Interview Prep"/>
    <d v="2024-04-27T00:00:00"/>
    <x v="3"/>
    <n v="2"/>
    <s v="Silver"/>
    <s v="Service Booked"/>
    <n v="78175"/>
    <x v="2"/>
    <s v="Main Street"/>
    <s v="Brisbane"/>
    <n v="4000"/>
    <n v="250"/>
    <n v="500"/>
  </r>
  <r>
    <s v="Kaur Athena"/>
    <s v="Mentoring program"/>
    <d v="2024-04-27T00:00:00"/>
    <x v="3"/>
    <n v="1"/>
    <s v="Bronze"/>
    <s v="Service Booked"/>
    <n v="37590"/>
    <x v="5"/>
    <s v="King Street"/>
    <s v="Melbourne"/>
    <n v="3000"/>
    <n v="1200"/>
    <n v="1200"/>
  </r>
  <r>
    <s v="Weiss Ivan"/>
    <s v="Mentoring program"/>
    <d v="2024-04-27T00:00:00"/>
    <x v="3"/>
    <n v="2"/>
    <s v="Silver"/>
    <s v="Service Booked"/>
    <n v="62647"/>
    <x v="5"/>
    <s v="King Street"/>
    <s v="Melbourne"/>
    <n v="3000"/>
    <n v="1200"/>
    <n v="2400"/>
  </r>
  <r>
    <s v="Sierra Dante"/>
    <s v="Mentoring program"/>
    <d v="2024-04-28T00:00:00"/>
    <x v="3"/>
    <n v="2"/>
    <s v="Silver"/>
    <s v="Service Booked"/>
    <n v="87660"/>
    <x v="6"/>
    <s v="Elizabeth Street"/>
    <s v="Hobart"/>
    <n v="7000"/>
    <n v="1200"/>
    <n v="2400"/>
  </r>
  <r>
    <s v="Truong Nina"/>
    <s v="Mentoring program"/>
    <d v="2024-04-29T00:00:00"/>
    <x v="3"/>
    <n v="2"/>
    <s v="Silver"/>
    <s v="Delivered"/>
    <n v="69174"/>
    <x v="6"/>
    <s v="King Street"/>
    <s v="Launceston"/>
    <n v="7250"/>
    <n v="1200"/>
    <n v="2400"/>
  </r>
  <r>
    <s v="Hammond Rosie"/>
    <s v="Resume + LinkedIn Profile"/>
    <d v="2024-04-29T00:00:00"/>
    <x v="3"/>
    <n v="3"/>
    <s v="Gold"/>
    <s v="Service Booked"/>
    <n v="49586"/>
    <x v="6"/>
    <s v="Elizabeth Street"/>
    <s v="Launceston"/>
    <n v="7250"/>
    <n v="800"/>
    <n v="2400"/>
  </r>
  <r>
    <s v="Norman Calvin"/>
    <s v="Mentoring program"/>
    <d v="2024-04-29T00:00:00"/>
    <x v="3"/>
    <n v="1"/>
    <s v="Bronze"/>
    <s v="Cancelled"/>
    <n v="74413"/>
    <x v="3"/>
    <s v="Park Avenue"/>
    <s v="Fremantle"/>
    <n v="6160"/>
    <n v="1200"/>
    <n v="1200"/>
  </r>
  <r>
    <s v="Page Cairo"/>
    <s v="Resume + LinkedIn Profile"/>
    <d v="2024-04-29T00:00:00"/>
    <x v="3"/>
    <n v="2"/>
    <s v="Silver"/>
    <s v="Delivered"/>
    <n v="76892"/>
    <x v="1"/>
    <s v="Elizabeth Street"/>
    <s v="Wollongong"/>
    <n v="2500"/>
    <n v="800"/>
    <n v="1600"/>
  </r>
  <r>
    <s v="Quinn Steven"/>
    <s v="Resume + LinkedIn Profile"/>
    <d v="2024-04-29T00:00:00"/>
    <x v="3"/>
    <n v="2"/>
    <s v="Silver"/>
    <s v="Service Booked"/>
    <n v="90013"/>
    <x v="4"/>
    <s v="George Street"/>
    <s v="Canberra"/>
    <n v="2600"/>
    <n v="800"/>
    <n v="1600"/>
  </r>
  <r>
    <s v="Frost Kyler"/>
    <s v="Networking Strategy"/>
    <d v="2024-04-29T00:00:00"/>
    <x v="3"/>
    <n v="2"/>
    <s v="Silver"/>
    <s v="Delivered"/>
    <n v="95026"/>
    <x v="6"/>
    <s v="George Street"/>
    <s v="Devonport"/>
    <n v="7310"/>
    <n v="250"/>
    <n v="500"/>
  </r>
  <r>
    <s v="Jarvis Adelina"/>
    <s v="Mentoring program"/>
    <d v="2024-04-30T00:00:00"/>
    <x v="3"/>
    <n v="1"/>
    <s v="Bronze"/>
    <s v="Service Booked"/>
    <n v="76592"/>
    <x v="2"/>
    <s v="George Street"/>
    <s v="Brisbane"/>
    <n v="4000"/>
    <n v="1200"/>
    <n v="1200"/>
  </r>
  <r>
    <s v="Dodson Noah"/>
    <s v="LinkedIn profile"/>
    <d v="2024-05-01T00:00:00"/>
    <x v="4"/>
    <n v="2"/>
    <s v="Silver"/>
    <s v="Service Booked"/>
    <n v="10013"/>
    <x v="0"/>
    <s v="George Street"/>
    <s v="Whyalla"/>
    <n v="5600"/>
    <n v="300"/>
    <n v="600"/>
  </r>
  <r>
    <s v="Huerta Liliana"/>
    <s v="Resume (service fee)"/>
    <d v="2024-05-01T00:00:00"/>
    <x v="4"/>
    <n v="3"/>
    <s v="Gold"/>
    <s v="Service Booked"/>
    <n v="69103"/>
    <x v="5"/>
    <s v="Main Street"/>
    <s v="Geelong"/>
    <n v="3220"/>
    <n v="600"/>
    <n v="1800"/>
  </r>
  <r>
    <s v="Olson Walter"/>
    <s v="Interview Prep"/>
    <d v="2024-05-02T00:00:00"/>
    <x v="4"/>
    <n v="1"/>
    <s v="Bronze"/>
    <s v="Delivered"/>
    <n v="32742"/>
    <x v="2"/>
    <s v="Park Avenue"/>
    <s v="Cairns"/>
    <n v="4870"/>
    <n v="250"/>
    <n v="250"/>
  </r>
  <r>
    <s v="Baker Marley"/>
    <s v="Resume + LinkedIn Profile"/>
    <d v="2024-05-02T00:00:00"/>
    <x v="4"/>
    <n v="2"/>
    <s v="Silver"/>
    <s v="Service Booked"/>
    <n v="83005"/>
    <x v="6"/>
    <s v="Elizabeth Street"/>
    <s v="Devonport"/>
    <n v="7310"/>
    <n v="800"/>
    <n v="1600"/>
  </r>
  <r>
    <s v="Wilkinson Maeve"/>
    <s v="LinkedIn profile"/>
    <d v="2024-05-02T00:00:00"/>
    <x v="4"/>
    <n v="3"/>
    <s v="Gold"/>
    <s v="In Progress"/>
    <n v="95919"/>
    <x v="2"/>
    <s v="King Street"/>
    <s v="Brisbane"/>
    <n v="4000"/>
    <n v="300"/>
    <n v="900"/>
  </r>
  <r>
    <s v="Velazquez Rhys"/>
    <s v="Networking Strategy"/>
    <d v="2024-05-02T00:00:00"/>
    <x v="4"/>
    <n v="1"/>
    <s v="Bronze"/>
    <s v="Delivered"/>
    <n v="68948"/>
    <x v="6"/>
    <s v="George Street"/>
    <s v="Hobart"/>
    <n v="7000"/>
    <n v="250"/>
    <n v="250"/>
  </r>
  <r>
    <s v="Duran Amara"/>
    <s v="LinkedIn profile"/>
    <d v="2024-05-03T00:00:00"/>
    <x v="4"/>
    <n v="3"/>
    <s v="Gold"/>
    <s v="Delivered"/>
    <n v="82129"/>
    <x v="4"/>
    <s v="George Street"/>
    <s v="Canberra"/>
    <n v="2600"/>
    <n v="300"/>
    <n v="900"/>
  </r>
  <r>
    <s v="Gibbs Patrick"/>
    <s v="Networking Strategy"/>
    <d v="2024-05-04T00:00:00"/>
    <x v="4"/>
    <n v="2"/>
    <s v="Silver"/>
    <s v="Service Booked"/>
    <n v="4570"/>
    <x v="0"/>
    <s v="Elizabeth Street"/>
    <s v="Adelaide"/>
    <n v="5000"/>
    <n v="250"/>
    <n v="500"/>
  </r>
  <r>
    <s v="Jacobs Thomas"/>
    <s v="Mentoring program"/>
    <d v="2024-05-05T00:00:00"/>
    <x v="4"/>
    <n v="2"/>
    <s v="Silver"/>
    <s v="Delivered"/>
    <n v="67667"/>
    <x v="0"/>
    <s v="Park Avenue"/>
    <s v="Mount Gambier"/>
    <n v="5290"/>
    <n v="1200"/>
    <n v="2400"/>
  </r>
  <r>
    <s v="Buck Julian"/>
    <s v="Interview Prep"/>
    <d v="2024-05-05T00:00:00"/>
    <x v="4"/>
    <n v="3"/>
    <s v="Gold"/>
    <s v="Service Booked"/>
    <n v="15998"/>
    <x v="0"/>
    <s v="Elizabeth Street"/>
    <s v="Adelaide"/>
    <n v="5000"/>
    <n v="250"/>
    <n v="750"/>
  </r>
  <r>
    <s v="Vaughan Autumn"/>
    <s v="LinkedIn profile"/>
    <d v="2024-05-05T00:00:00"/>
    <x v="4"/>
    <n v="2"/>
    <s v="Silver"/>
    <s v="Cancelled"/>
    <n v="31675"/>
    <x v="2"/>
    <s v="Park Avenue"/>
    <s v="Brisbane"/>
    <n v="4000"/>
    <n v="300"/>
    <n v="600"/>
  </r>
  <r>
    <s v="Hughes Lewis"/>
    <s v="Interview Prep"/>
    <d v="2024-05-06T00:00:00"/>
    <x v="4"/>
    <n v="1"/>
    <s v="Bronze"/>
    <s v="Delivered"/>
    <n v="54113"/>
    <x v="3"/>
    <s v="Main Street"/>
    <s v="Broome"/>
    <n v="6725"/>
    <n v="250"/>
    <n v="250"/>
  </r>
  <r>
    <s v="Powell Katherine"/>
    <s v="Networking Strategy"/>
    <d v="2024-05-06T00:00:00"/>
    <x v="4"/>
    <n v="1"/>
    <s v="Bronze"/>
    <s v="Service Booked"/>
    <n v="80610"/>
    <x v="0"/>
    <s v="Park Avenue"/>
    <s v="Whyalla"/>
    <n v="5600"/>
    <n v="250"/>
    <n v="250"/>
  </r>
  <r>
    <s v="Haley Nathan"/>
    <s v="Resume + LinkedIn Profile"/>
    <d v="2024-05-07T00:00:00"/>
    <x v="4"/>
    <n v="3"/>
    <s v="Gold"/>
    <s v="Service Booked"/>
    <n v="57829"/>
    <x v="7"/>
    <s v="George Street"/>
    <s v="Darwin"/>
    <n v="800"/>
    <n v="800"/>
    <n v="2400"/>
  </r>
  <r>
    <s v="Holt Jimena"/>
    <s v="LinkedIn profile"/>
    <d v="2024-05-07T00:00:00"/>
    <x v="4"/>
    <n v="2"/>
    <s v="Silver"/>
    <s v="Delivered"/>
    <n v="84314"/>
    <x v="7"/>
    <s v="Elizabeth Street"/>
    <s v="Alice Springs"/>
    <n v="870"/>
    <n v="300"/>
    <n v="600"/>
  </r>
  <r>
    <s v="Webster Sylas"/>
    <s v="Networking Strategy"/>
    <d v="2024-05-07T00:00:00"/>
    <x v="4"/>
    <n v="1"/>
    <s v="Bronze"/>
    <s v="Delivered"/>
    <n v="92379"/>
    <x v="3"/>
    <s v="Park Avenue"/>
    <s v="Fremantle"/>
    <n v="6160"/>
    <n v="250"/>
    <n v="250"/>
  </r>
  <r>
    <s v="Thornton Augustus"/>
    <s v="Mentoring program"/>
    <d v="2024-05-07T00:00:00"/>
    <x v="4"/>
    <n v="1"/>
    <s v="Bronze"/>
    <s v="Service Booked"/>
    <n v="31474"/>
    <x v="0"/>
    <s v="Main Street"/>
    <s v="Mount Gambier"/>
    <n v="5290"/>
    <n v="1200"/>
    <n v="1200"/>
  </r>
  <r>
    <s v="Kennedy Hayden"/>
    <s v="Resume (service fee)"/>
    <d v="2024-05-09T00:00:00"/>
    <x v="4"/>
    <n v="3"/>
    <s v="Gold"/>
    <s v="Service Booked"/>
    <n v="58819"/>
    <x v="3"/>
    <s v="George Street"/>
    <s v="Broome"/>
    <n v="6725"/>
    <n v="600"/>
    <n v="1800"/>
  </r>
  <r>
    <s v="Wilkinson Javier"/>
    <s v="Interview Prep"/>
    <d v="2024-05-09T00:00:00"/>
    <x v="4"/>
    <n v="1"/>
    <s v="Bronze"/>
    <s v="Cancelled"/>
    <n v="6441"/>
    <x v="5"/>
    <s v="Main Street"/>
    <s v="Melbourne"/>
    <n v="3000"/>
    <n v="250"/>
    <n v="250"/>
  </r>
  <r>
    <s v="Serrano Nora"/>
    <s v="Mentoring program"/>
    <d v="2024-05-10T00:00:00"/>
    <x v="4"/>
    <n v="1"/>
    <s v="Bronze"/>
    <s v="Delivered"/>
    <n v="51257"/>
    <x v="3"/>
    <s v="Park Avenue"/>
    <s v="Broome"/>
    <n v="6725"/>
    <n v="1200"/>
    <n v="1200"/>
  </r>
  <r>
    <s v="Schultz Lilly"/>
    <s v="LinkedIn profile"/>
    <d v="2024-05-10T00:00:00"/>
    <x v="4"/>
    <n v="3"/>
    <s v="Gold"/>
    <s v="Service Booked"/>
    <n v="68048"/>
    <x v="4"/>
    <s v="Elizabeth Street"/>
    <s v="Canberra"/>
    <n v="2600"/>
    <n v="300"/>
    <n v="900"/>
  </r>
  <r>
    <s v="Wagner Archer"/>
    <s v="Mentoring program"/>
    <d v="2024-05-11T00:00:00"/>
    <x v="4"/>
    <n v="3"/>
    <s v="Gold"/>
    <s v="In Progress"/>
    <n v="96397"/>
    <x v="5"/>
    <s v="Park Avenue"/>
    <s v="Ballarat"/>
    <n v="3350"/>
    <n v="1200"/>
    <n v="3600"/>
  </r>
  <r>
    <s v="Cherry Emily"/>
    <s v="Networking Strategy"/>
    <d v="2024-05-11T00:00:00"/>
    <x v="4"/>
    <n v="3"/>
    <s v="Gold"/>
    <s v="Delivered"/>
    <n v="57998"/>
    <x v="4"/>
    <s v="George Street"/>
    <s v="Canberra"/>
    <n v="2600"/>
    <n v="250"/>
    <n v="750"/>
  </r>
  <r>
    <s v="Larson Jasmine"/>
    <s v="Mentoring program"/>
    <d v="2024-05-11T00:00:00"/>
    <x v="4"/>
    <n v="3"/>
    <s v="Gold"/>
    <s v="Delivered"/>
    <n v="85197"/>
    <x v="2"/>
    <s v="Main Street"/>
    <s v="Brisbane"/>
    <n v="4000"/>
    <n v="1200"/>
    <n v="3600"/>
  </r>
  <r>
    <s v="Ward Amelia"/>
    <s v="Mentoring program"/>
    <d v="2024-05-11T00:00:00"/>
    <x v="4"/>
    <n v="1"/>
    <s v="Bronze"/>
    <s v="Service Booked"/>
    <n v="51887"/>
    <x v="4"/>
    <s v="King Street"/>
    <s v="Canberra"/>
    <n v="2600"/>
    <n v="1200"/>
    <n v="1200"/>
  </r>
  <r>
    <s v="Williams Sutton"/>
    <s v="Networking Strategy"/>
    <d v="2024-05-11T00:00:00"/>
    <x v="4"/>
    <n v="1"/>
    <s v="Bronze"/>
    <s v="Delivered"/>
    <n v="52512"/>
    <x v="1"/>
    <s v="Park Avenue"/>
    <s v="Sydney"/>
    <n v="2000"/>
    <n v="250"/>
    <n v="250"/>
  </r>
  <r>
    <s v="Willis Patrick"/>
    <s v="Mentoring program"/>
    <d v="2024-05-11T00:00:00"/>
    <x v="4"/>
    <n v="2"/>
    <s v="Silver"/>
    <s v="Service Booked"/>
    <n v="49165"/>
    <x v="0"/>
    <s v="King Street"/>
    <s v="Mount Gambier"/>
    <n v="5290"/>
    <n v="1200"/>
    <n v="2400"/>
  </r>
  <r>
    <s v="Nguyen Kimberly"/>
    <s v="Networking Strategy"/>
    <d v="2024-05-12T00:00:00"/>
    <x v="4"/>
    <n v="1"/>
    <s v="Bronze"/>
    <s v="Service Booked"/>
    <n v="93355"/>
    <x v="2"/>
    <s v="Elizabeth Street"/>
    <s v="Cairns"/>
    <n v="4870"/>
    <n v="250"/>
    <n v="250"/>
  </r>
  <r>
    <s v="Hail Jeremiah"/>
    <s v="Networking Strategy"/>
    <d v="2024-05-12T00:00:00"/>
    <x v="4"/>
    <n v="2"/>
    <s v="Silver"/>
    <s v="Delivered"/>
    <n v="43757"/>
    <x v="5"/>
    <s v="Elizabeth Street"/>
    <s v="Melbourne"/>
    <n v="3000"/>
    <n v="250"/>
    <n v="500"/>
  </r>
  <r>
    <s v="Ingram Arya"/>
    <s v="Resume (service fee)"/>
    <d v="2024-05-12T00:00:00"/>
    <x v="4"/>
    <n v="1"/>
    <s v="Bronze"/>
    <s v="Delivered"/>
    <n v="41808"/>
    <x v="1"/>
    <s v="George Street"/>
    <s v="Wollongong"/>
    <n v="2500"/>
    <n v="600"/>
    <n v="600"/>
  </r>
  <r>
    <s v="Terrell Isabelle"/>
    <s v="Interview Prep"/>
    <d v="2024-05-13T00:00:00"/>
    <x v="4"/>
    <n v="2"/>
    <s v="Silver"/>
    <s v="Cancelled"/>
    <n v="87002"/>
    <x v="5"/>
    <s v="Park Avenue"/>
    <s v="Melbourne"/>
    <n v="3000"/>
    <n v="250"/>
    <n v="500"/>
  </r>
  <r>
    <s v="Logan Kimberly"/>
    <s v="Mentoring program"/>
    <d v="2024-05-13T00:00:00"/>
    <x v="4"/>
    <n v="1"/>
    <s v="Bronze"/>
    <s v="Cancelled"/>
    <n v="71615"/>
    <x v="1"/>
    <s v="Park Avenue"/>
    <s v="Sydney"/>
    <n v="2000"/>
    <n v="1200"/>
    <n v="1200"/>
  </r>
  <r>
    <s v="Nash Callie"/>
    <s v="Networking Strategy"/>
    <d v="2024-05-13T00:00:00"/>
    <x v="4"/>
    <n v="3"/>
    <s v="Gold"/>
    <s v="Service Booked"/>
    <n v="35033"/>
    <x v="0"/>
    <s v="Main Street"/>
    <s v="Mount Gambier"/>
    <n v="5290"/>
    <n v="250"/>
    <n v="750"/>
  </r>
  <r>
    <s v="Hopkins Serenity"/>
    <s v="Mentoring program"/>
    <d v="2024-05-14T00:00:00"/>
    <x v="4"/>
    <n v="3"/>
    <s v="Gold"/>
    <s v="Delivered"/>
    <n v="83943"/>
    <x v="3"/>
    <s v="George Street"/>
    <s v="Fremantle"/>
    <n v="6160"/>
    <n v="1200"/>
    <n v="3600"/>
  </r>
  <r>
    <s v="Reyna Heidi"/>
    <s v="Interview Prep"/>
    <d v="2024-05-15T00:00:00"/>
    <x v="4"/>
    <n v="3"/>
    <s v="Gold"/>
    <s v="Delivered"/>
    <n v="21571"/>
    <x v="3"/>
    <s v="Main Street"/>
    <s v="Fremantle"/>
    <n v="6160"/>
    <n v="250"/>
    <n v="750"/>
  </r>
  <r>
    <s v="Greer Elian"/>
    <s v="Resume + LinkedIn Profile"/>
    <d v="2024-05-15T00:00:00"/>
    <x v="4"/>
    <n v="3"/>
    <s v="Gold"/>
    <s v="Delivered"/>
    <n v="99885"/>
    <x v="7"/>
    <s v="George Street"/>
    <s v="Alice Springs"/>
    <n v="870"/>
    <n v="800"/>
    <n v="2400"/>
  </r>
  <r>
    <s v="Dunn Finley"/>
    <s v="Networking Strategy"/>
    <d v="2024-05-15T00:00:00"/>
    <x v="4"/>
    <n v="3"/>
    <s v="Gold"/>
    <s v="Service Booked"/>
    <n v="24948"/>
    <x v="5"/>
    <s v="Park Avenue"/>
    <s v="Geelong"/>
    <n v="3220"/>
    <n v="250"/>
    <n v="750"/>
  </r>
  <r>
    <s v="Robbins Alex"/>
    <s v="Resume + LinkedIn Profile"/>
    <d v="2024-05-16T00:00:00"/>
    <x v="4"/>
    <n v="3"/>
    <s v="Gold"/>
    <s v="Service Booked"/>
    <n v="29935"/>
    <x v="2"/>
    <s v="Main Street"/>
    <s v="Brisbane"/>
    <n v="4000"/>
    <n v="800"/>
    <n v="2400"/>
  </r>
  <r>
    <s v="Erickson Andre"/>
    <s v="Networking Strategy"/>
    <d v="2024-05-16T00:00:00"/>
    <x v="4"/>
    <n v="2"/>
    <s v="Silver"/>
    <s v="Cancelled"/>
    <n v="40382"/>
    <x v="5"/>
    <s v="Elizabeth Street"/>
    <s v="Melbourne"/>
    <n v="3000"/>
    <n v="250"/>
    <n v="500"/>
  </r>
  <r>
    <s v="Parra Kingston"/>
    <s v="Resume + LinkedIn Profile"/>
    <d v="2024-05-16T00:00:00"/>
    <x v="4"/>
    <n v="3"/>
    <s v="Gold"/>
    <s v="Service Booked"/>
    <n v="94632"/>
    <x v="0"/>
    <s v="George Street"/>
    <s v="Mount Gambier"/>
    <n v="5290"/>
    <n v="800"/>
    <n v="2400"/>
  </r>
  <r>
    <s v="Kline Emmett"/>
    <s v="LinkedIn profile"/>
    <d v="2024-05-16T00:00:00"/>
    <x v="4"/>
    <n v="3"/>
    <s v="Gold"/>
    <s v="Service Booked"/>
    <n v="14206"/>
    <x v="5"/>
    <s v="Park Avenue"/>
    <s v="Ballarat"/>
    <n v="3350"/>
    <n v="300"/>
    <n v="900"/>
  </r>
  <r>
    <s v="Ramirez Ava"/>
    <s v="Mentoring program"/>
    <d v="2024-05-16T00:00:00"/>
    <x v="4"/>
    <n v="1"/>
    <s v="Bronze"/>
    <s v="Delivered"/>
    <n v="40161"/>
    <x v="6"/>
    <s v="Elizabeth Street"/>
    <s v="Hobart"/>
    <n v="7000"/>
    <n v="1200"/>
    <n v="1200"/>
  </r>
  <r>
    <s v="Velazquez Nico"/>
    <s v="Resume (service fee)"/>
    <d v="2024-05-17T00:00:00"/>
    <x v="4"/>
    <n v="3"/>
    <s v="Gold"/>
    <s v="Delivered"/>
    <n v="36128"/>
    <x v="1"/>
    <s v="Park Avenue"/>
    <s v="Wollongong"/>
    <n v="2500"/>
    <n v="600"/>
    <n v="1800"/>
  </r>
  <r>
    <s v="Weiss Raphael"/>
    <s v="Interview Prep"/>
    <d v="2024-05-18T00:00:00"/>
    <x v="4"/>
    <n v="1"/>
    <s v="Bronze"/>
    <s v="Service Booked"/>
    <n v="53572"/>
    <x v="6"/>
    <s v="George Street"/>
    <s v="Hobart"/>
    <n v="7000"/>
    <n v="250"/>
    <n v="250"/>
  </r>
  <r>
    <s v="Richmond Jayce"/>
    <s v="Resume + LinkedIn Profile"/>
    <d v="2024-05-19T00:00:00"/>
    <x v="4"/>
    <n v="3"/>
    <s v="Gold"/>
    <s v="Service Booked"/>
    <n v="70325"/>
    <x v="5"/>
    <s v="King Street"/>
    <s v="Melbourne"/>
    <n v="3000"/>
    <n v="800"/>
    <n v="2400"/>
  </r>
  <r>
    <s v="Winters Annie"/>
    <s v="Networking Strategy"/>
    <d v="2024-05-19T00:00:00"/>
    <x v="4"/>
    <n v="3"/>
    <s v="Gold"/>
    <s v="Delivered"/>
    <n v="50808"/>
    <x v="3"/>
    <s v="King Street"/>
    <s v="Perth"/>
    <n v="6000"/>
    <n v="250"/>
    <n v="750"/>
  </r>
  <r>
    <s v="Rush Sydney"/>
    <s v="Mentoring program"/>
    <d v="2024-05-19T00:00:00"/>
    <x v="4"/>
    <n v="1"/>
    <s v="Bronze"/>
    <s v="Service Booked"/>
    <n v="85137"/>
    <x v="1"/>
    <s v="Main Street"/>
    <s v="Wollongong"/>
    <n v="2500"/>
    <n v="1200"/>
    <n v="1200"/>
  </r>
  <r>
    <s v="Schneider Alessandra"/>
    <s v="LinkedIn profile"/>
    <d v="2024-05-19T00:00:00"/>
    <x v="4"/>
    <n v="1"/>
    <s v="Bronze"/>
    <s v="Cancelled"/>
    <n v="22010"/>
    <x v="3"/>
    <s v="Main Street"/>
    <s v="Fremantle"/>
    <n v="6160"/>
    <n v="300"/>
    <n v="300"/>
  </r>
  <r>
    <s v="Quintana Dylan"/>
    <s v="Networking Strategy"/>
    <d v="2024-05-19T00:00:00"/>
    <x v="4"/>
    <n v="1"/>
    <s v="Bronze"/>
    <s v="Delivered"/>
    <n v="4363"/>
    <x v="3"/>
    <s v="Elizabeth Street"/>
    <s v="Fremantle"/>
    <n v="6160"/>
    <n v="250"/>
    <n v="250"/>
  </r>
  <r>
    <s v="Cunningham Judah"/>
    <s v="Mentoring program"/>
    <d v="2024-05-19T00:00:00"/>
    <x v="4"/>
    <n v="1"/>
    <s v="Bronze"/>
    <s v="Cancelled"/>
    <n v="91049"/>
    <x v="6"/>
    <s v="King Street"/>
    <s v="Launceston"/>
    <n v="7250"/>
    <n v="1200"/>
    <n v="1200"/>
  </r>
  <r>
    <s v="Merritt Ezra"/>
    <s v="Networking Strategy"/>
    <d v="2024-05-20T00:00:00"/>
    <x v="4"/>
    <n v="2"/>
    <s v="Silver"/>
    <s v="In Progress"/>
    <n v="64060"/>
    <x v="5"/>
    <s v="Park Avenue"/>
    <s v="Geelong"/>
    <n v="3220"/>
    <n v="250"/>
    <n v="500"/>
  </r>
  <r>
    <s v="Barron Rhys"/>
    <s v="Resume (service fee)"/>
    <d v="2024-05-21T00:00:00"/>
    <x v="4"/>
    <n v="1"/>
    <s v="Bronze"/>
    <s v="Delivered"/>
    <n v="88140"/>
    <x v="1"/>
    <s v="George Street"/>
    <s v="Sydney"/>
    <n v="2000"/>
    <n v="600"/>
    <n v="600"/>
  </r>
  <r>
    <s v="Garza Natalia"/>
    <s v="Interview Prep"/>
    <d v="2024-05-22T00:00:00"/>
    <x v="4"/>
    <n v="3"/>
    <s v="Gold"/>
    <s v="Delivered"/>
    <n v="43934"/>
    <x v="1"/>
    <s v="Park Avenue"/>
    <s v="Sydney"/>
    <n v="2000"/>
    <n v="250"/>
    <n v="750"/>
  </r>
  <r>
    <s v="Sandoval Raelynn"/>
    <s v="Mentoring program"/>
    <d v="2024-05-22T00:00:00"/>
    <x v="4"/>
    <n v="2"/>
    <s v="Silver"/>
    <s v="Service Booked"/>
    <n v="12901"/>
    <x v="7"/>
    <s v="Park Avenue"/>
    <s v="Darwin"/>
    <n v="800"/>
    <n v="1200"/>
    <n v="2400"/>
  </r>
  <r>
    <s v="Willis Sabrina"/>
    <s v="Mentoring program"/>
    <d v="2024-05-22T00:00:00"/>
    <x v="4"/>
    <n v="3"/>
    <s v="Gold"/>
    <s v="Service Booked"/>
    <n v="42423"/>
    <x v="1"/>
    <s v="George Street"/>
    <s v="Sydney"/>
    <n v="2000"/>
    <n v="1200"/>
    <n v="3600"/>
  </r>
  <r>
    <s v="Buck Kane"/>
    <s v="Mentoring program"/>
    <d v="2024-05-24T00:00:00"/>
    <x v="4"/>
    <n v="2"/>
    <s v="Silver"/>
    <s v="Delivered"/>
    <n v="38317"/>
    <x v="2"/>
    <s v="Park Avenue"/>
    <s v="Brisbane"/>
    <n v="4000"/>
    <n v="1200"/>
    <n v="2400"/>
  </r>
  <r>
    <s v="Villarreal Damian"/>
    <s v="Networking Strategy"/>
    <d v="2024-05-24T00:00:00"/>
    <x v="4"/>
    <n v="2"/>
    <s v="Silver"/>
    <s v="Delivered"/>
    <n v="4566"/>
    <x v="7"/>
    <s v="King Street"/>
    <s v="Alice Springs"/>
    <n v="870"/>
    <n v="250"/>
    <n v="500"/>
  </r>
  <r>
    <s v="Espinosa Harlow"/>
    <s v="Mentoring program"/>
    <d v="2024-05-24T00:00:00"/>
    <x v="4"/>
    <n v="2"/>
    <s v="Silver"/>
    <s v="Service Booked"/>
    <n v="11470"/>
    <x v="2"/>
    <s v="Park Avenue"/>
    <s v="Cairns"/>
    <n v="4870"/>
    <n v="1200"/>
    <n v="2400"/>
  </r>
  <r>
    <s v="Russell Kora"/>
    <s v="Networking Strategy"/>
    <d v="2024-05-25T00:00:00"/>
    <x v="4"/>
    <n v="3"/>
    <s v="Gold"/>
    <s v="Service Booked"/>
    <n v="43807"/>
    <x v="5"/>
    <s v="George Street"/>
    <s v="Melbourne"/>
    <n v="3000"/>
    <n v="250"/>
    <n v="750"/>
  </r>
  <r>
    <s v="Sims Frederick"/>
    <s v="Networking Strategy"/>
    <d v="2024-05-25T00:00:00"/>
    <x v="4"/>
    <n v="2"/>
    <s v="Silver"/>
    <s v="Delivered"/>
    <n v="42709"/>
    <x v="6"/>
    <s v="Main Street"/>
    <s v="Devonport"/>
    <n v="7310"/>
    <n v="250"/>
    <n v="500"/>
  </r>
  <r>
    <s v="Cruz Alexis"/>
    <s v="Mentoring program"/>
    <d v="2024-05-26T00:00:00"/>
    <x v="4"/>
    <n v="2"/>
    <s v="Silver"/>
    <s v="Delivered"/>
    <n v="48778"/>
    <x v="1"/>
    <s v="Park Avenue"/>
    <s v="Wollongong"/>
    <n v="2500"/>
    <n v="1200"/>
    <n v="2400"/>
  </r>
  <r>
    <s v="Huang Lexi"/>
    <s v="Resume (service fee)"/>
    <d v="2024-05-26T00:00:00"/>
    <x v="4"/>
    <n v="1"/>
    <s v="Bronze"/>
    <s v="In Progress"/>
    <n v="62421"/>
    <x v="1"/>
    <s v="Main Street"/>
    <s v="Sydney"/>
    <n v="2000"/>
    <n v="600"/>
    <n v="600"/>
  </r>
  <r>
    <s v="Kaur Frederick"/>
    <s v="Resume + LinkedIn Profile"/>
    <d v="2024-05-26T00:00:00"/>
    <x v="4"/>
    <n v="2"/>
    <s v="Silver"/>
    <s v="In Progress"/>
    <n v="84542"/>
    <x v="6"/>
    <s v="George Street"/>
    <s v="Hobart"/>
    <n v="7000"/>
    <n v="800"/>
    <n v="1600"/>
  </r>
  <r>
    <s v="Oliver Hattie"/>
    <s v="Mentoring program"/>
    <d v="2024-05-27T00:00:00"/>
    <x v="4"/>
    <n v="3"/>
    <s v="Gold"/>
    <s v="In Progress"/>
    <n v="93460"/>
    <x v="2"/>
    <s v="Park Avenue"/>
    <s v="Gold Coast"/>
    <n v="4217"/>
    <n v="1200"/>
    <n v="3600"/>
  </r>
  <r>
    <s v="Rosario Casey"/>
    <s v="Resume (service fee)"/>
    <d v="2024-05-27T00:00:00"/>
    <x v="4"/>
    <n v="3"/>
    <s v="Gold"/>
    <s v="Cancelled"/>
    <n v="28060"/>
    <x v="4"/>
    <s v="Main Street"/>
    <s v="Canberra"/>
    <n v="2600"/>
    <n v="600"/>
    <n v="1800"/>
  </r>
  <r>
    <s v="Richardson Banks"/>
    <s v="Interview Prep"/>
    <d v="2024-05-27T00:00:00"/>
    <x v="4"/>
    <n v="2"/>
    <s v="Silver"/>
    <s v="In Progress"/>
    <n v="17018"/>
    <x v="4"/>
    <s v="George Street"/>
    <s v="Canberra"/>
    <n v="2600"/>
    <n v="250"/>
    <n v="500"/>
  </r>
  <r>
    <s v="Bennett Joy"/>
    <s v="LinkedIn profile"/>
    <d v="2024-05-27T00:00:00"/>
    <x v="4"/>
    <n v="2"/>
    <s v="Silver"/>
    <s v="Cancelled"/>
    <n v="66485"/>
    <x v="5"/>
    <s v="Elizabeth Street"/>
    <s v="Melbourne"/>
    <n v="3000"/>
    <n v="300"/>
    <n v="600"/>
  </r>
  <r>
    <s v="Nicholson Hattie"/>
    <s v="LinkedIn profile"/>
    <d v="2024-05-28T00:00:00"/>
    <x v="4"/>
    <n v="1"/>
    <s v="Bronze"/>
    <s v="Delivered"/>
    <n v="4179"/>
    <x v="4"/>
    <s v="Elizabeth Street"/>
    <s v="Canberra"/>
    <n v="2600"/>
    <n v="300"/>
    <n v="300"/>
  </r>
  <r>
    <s v="Roth Titus"/>
    <s v="Resume (service fee)"/>
    <d v="2024-05-28T00:00:00"/>
    <x v="4"/>
    <n v="2"/>
    <s v="Silver"/>
    <s v="Delivered"/>
    <n v="30086"/>
    <x v="6"/>
    <s v="King Street"/>
    <s v="Hobart"/>
    <n v="7000"/>
    <n v="600"/>
    <n v="1200"/>
  </r>
  <r>
    <s v="Piñeda Kyler"/>
    <s v="Mentoring program"/>
    <d v="2024-05-29T00:00:00"/>
    <x v="4"/>
    <n v="2"/>
    <s v="Silver"/>
    <s v="Service Booked"/>
    <n v="63743"/>
    <x v="1"/>
    <s v="King Street"/>
    <s v="Sydney"/>
    <n v="2000"/>
    <n v="1200"/>
    <n v="2400"/>
  </r>
  <r>
    <s v="Weber Lennox"/>
    <s v="Resume (service fee)"/>
    <d v="2024-05-29T00:00:00"/>
    <x v="4"/>
    <n v="2"/>
    <s v="Silver"/>
    <s v="Delivered"/>
    <n v="9672"/>
    <x v="4"/>
    <s v="Elizabeth Street"/>
    <s v="Canberra"/>
    <n v="2600"/>
    <n v="600"/>
    <n v="1200"/>
  </r>
  <r>
    <s v="Melton Kyle"/>
    <s v="Resume (service fee)"/>
    <d v="2024-05-29T00:00:00"/>
    <x v="4"/>
    <n v="3"/>
    <s v="Gold"/>
    <s v="Service Booked"/>
    <n v="88585"/>
    <x v="1"/>
    <s v="Main Street"/>
    <s v="Wollongong"/>
    <n v="2500"/>
    <n v="600"/>
    <n v="1800"/>
  </r>
  <r>
    <s v="Patrick Brinley"/>
    <s v="Interview Prep"/>
    <d v="2024-05-30T00:00:00"/>
    <x v="4"/>
    <n v="1"/>
    <s v="Bronze"/>
    <s v="Cancelled"/>
    <n v="97480"/>
    <x v="3"/>
    <s v="Elizabeth Street"/>
    <s v="Broome"/>
    <n v="6725"/>
    <n v="250"/>
    <n v="250"/>
  </r>
  <r>
    <s v="Curry Micah"/>
    <s v="Mentoring program"/>
    <d v="2024-05-30T00:00:00"/>
    <x v="4"/>
    <n v="3"/>
    <s v="Gold"/>
    <s v="Service Booked"/>
    <n v="60318"/>
    <x v="3"/>
    <s v="Main Street"/>
    <s v="Perth"/>
    <n v="6000"/>
    <n v="1200"/>
    <n v="3600"/>
  </r>
  <r>
    <s v="Nguyen Joshua"/>
    <s v="Interview Prep"/>
    <d v="2024-05-30T00:00:00"/>
    <x v="4"/>
    <n v="1"/>
    <s v="Bronze"/>
    <s v="Delivered"/>
    <n v="99266"/>
    <x v="1"/>
    <s v="George Street"/>
    <s v="Newcastle"/>
    <n v="2300"/>
    <n v="250"/>
    <n v="250"/>
  </r>
  <r>
    <s v="Barajas Avery"/>
    <s v="Networking Strategy"/>
    <d v="2024-05-31T00:00:00"/>
    <x v="4"/>
    <n v="3"/>
    <s v="Gold"/>
    <s v="Cancelled"/>
    <n v="32308"/>
    <x v="5"/>
    <s v="King Street"/>
    <s v="Ballarat"/>
    <n v="3350"/>
    <n v="250"/>
    <n v="750"/>
  </r>
  <r>
    <s v="Webster Annabelle"/>
    <s v="Networking Strategy"/>
    <d v="2024-05-31T00:00:00"/>
    <x v="4"/>
    <n v="1"/>
    <s v="Bronze"/>
    <s v="Delivered"/>
    <n v="98172"/>
    <x v="2"/>
    <s v="King Street"/>
    <s v="Cairns"/>
    <n v="4870"/>
    <n v="250"/>
    <n v="250"/>
  </r>
  <r>
    <s v="Dean Aurora"/>
    <s v="Resume + LinkedIn Profile"/>
    <d v="2024-06-01T00:00:00"/>
    <x v="5"/>
    <n v="3"/>
    <s v="Gold"/>
    <s v="Service Booked"/>
    <n v="43957"/>
    <x v="1"/>
    <s v="Main Street"/>
    <s v="Newcastle"/>
    <n v="2300"/>
    <n v="800"/>
    <n v="2400"/>
  </r>
  <r>
    <s v="Hill Valentina"/>
    <s v="Mentoring program"/>
    <d v="2024-06-01T00:00:00"/>
    <x v="5"/>
    <n v="3"/>
    <s v="Gold"/>
    <s v="Cancelled"/>
    <n v="72623"/>
    <x v="2"/>
    <s v="King Street"/>
    <s v="Gold Coast"/>
    <n v="4217"/>
    <n v="1200"/>
    <n v="3600"/>
  </r>
  <r>
    <s v="Ferguson Manuel"/>
    <s v="LinkedIn profile"/>
    <d v="2024-06-01T00:00:00"/>
    <x v="5"/>
    <n v="1"/>
    <s v="Bronze"/>
    <s v="Delivered"/>
    <n v="90072"/>
    <x v="0"/>
    <s v="King Street"/>
    <s v="Whyalla"/>
    <n v="5600"/>
    <n v="300"/>
    <n v="300"/>
  </r>
  <r>
    <s v="Knapp Uriel"/>
    <s v="LinkedIn profile"/>
    <d v="2024-06-01T00:00:00"/>
    <x v="5"/>
    <n v="3"/>
    <s v="Gold"/>
    <s v="Delivered"/>
    <n v="91761"/>
    <x v="7"/>
    <s v="Main Street"/>
    <s v="Darwin"/>
    <n v="800"/>
    <n v="300"/>
    <n v="900"/>
  </r>
  <r>
    <s v="Wallace Reid"/>
    <s v="Interview Prep"/>
    <d v="2024-06-03T00:00:00"/>
    <x v="5"/>
    <n v="1"/>
    <s v="Bronze"/>
    <s v="Cancelled"/>
    <n v="50011"/>
    <x v="7"/>
    <s v="Main Street"/>
    <s v="Darwin"/>
    <n v="800"/>
    <n v="250"/>
    <n v="250"/>
  </r>
  <r>
    <s v="Collier Mckenna"/>
    <s v="Networking Strategy"/>
    <d v="2024-06-04T00:00:00"/>
    <x v="5"/>
    <n v="3"/>
    <s v="Gold"/>
    <s v="Delivered"/>
    <n v="62504"/>
    <x v="7"/>
    <s v="Main Street"/>
    <s v="Darwin"/>
    <n v="800"/>
    <n v="250"/>
    <n v="750"/>
  </r>
  <r>
    <s v="Daugherty Noelle"/>
    <s v="Networking Strategy"/>
    <d v="2024-06-04T00:00:00"/>
    <x v="5"/>
    <n v="1"/>
    <s v="Bronze"/>
    <s v="Delivered"/>
    <n v="31282"/>
    <x v="5"/>
    <s v="King Street"/>
    <s v="Geelong"/>
    <n v="3220"/>
    <n v="250"/>
    <n v="250"/>
  </r>
  <r>
    <s v="Dean Maddox"/>
    <s v="LinkedIn profile"/>
    <d v="2024-06-04T00:00:00"/>
    <x v="5"/>
    <n v="1"/>
    <s v="Bronze"/>
    <s v="Service Booked"/>
    <n v="60360"/>
    <x v="0"/>
    <s v="Elizabeth Street"/>
    <s v="Whyalla"/>
    <n v="5600"/>
    <n v="300"/>
    <n v="300"/>
  </r>
  <r>
    <s v="Clark Zion"/>
    <s v="Mentoring program"/>
    <d v="2024-06-05T00:00:00"/>
    <x v="5"/>
    <n v="2"/>
    <s v="Silver"/>
    <s v="Delivered"/>
    <n v="68017"/>
    <x v="0"/>
    <s v="Main Street"/>
    <s v="Mount Gambier"/>
    <n v="5290"/>
    <n v="1200"/>
    <n v="2400"/>
  </r>
  <r>
    <s v="Sutton Zayn"/>
    <s v="LinkedIn profile"/>
    <d v="2024-06-05T00:00:00"/>
    <x v="5"/>
    <n v="3"/>
    <s v="Gold"/>
    <s v="In Progress"/>
    <n v="46847"/>
    <x v="7"/>
    <s v="George Street"/>
    <s v="Alice Springs"/>
    <n v="870"/>
    <n v="300"/>
    <n v="900"/>
  </r>
  <r>
    <s v="Kirby Griffin"/>
    <s v="Resume (service fee)"/>
    <d v="2024-06-05T00:00:00"/>
    <x v="5"/>
    <n v="2"/>
    <s v="Silver"/>
    <s v="Service Booked"/>
    <n v="63608"/>
    <x v="2"/>
    <s v="George Street"/>
    <s v="Brisbane"/>
    <n v="4000"/>
    <n v="600"/>
    <n v="1200"/>
  </r>
  <r>
    <s v="Jacobs Hayden"/>
    <s v="Resume + LinkedIn Profile"/>
    <d v="2024-06-06T00:00:00"/>
    <x v="5"/>
    <n v="1"/>
    <s v="Bronze"/>
    <s v="Service Booked"/>
    <n v="12937"/>
    <x v="0"/>
    <s v="George Street"/>
    <s v="Mount Gambier"/>
    <n v="5290"/>
    <n v="800"/>
    <n v="800"/>
  </r>
  <r>
    <s v="Cole Ian"/>
    <s v="Resume + LinkedIn Profile"/>
    <d v="2024-06-06T00:00:00"/>
    <x v="5"/>
    <n v="2"/>
    <s v="Silver"/>
    <s v="Service Booked"/>
    <n v="23455"/>
    <x v="1"/>
    <s v="Park Avenue"/>
    <s v="Newcastle"/>
    <n v="2300"/>
    <n v="800"/>
    <n v="1600"/>
  </r>
  <r>
    <s v="Fitzgerald Cade"/>
    <s v="Networking Strategy"/>
    <d v="2024-06-07T00:00:00"/>
    <x v="5"/>
    <n v="1"/>
    <s v="Bronze"/>
    <s v="Cancelled"/>
    <n v="33763"/>
    <x v="3"/>
    <s v="King Street"/>
    <s v="Broome"/>
    <n v="6725"/>
    <n v="250"/>
    <n v="250"/>
  </r>
  <r>
    <s v="Adams Luke"/>
    <s v="Networking Strategy"/>
    <d v="2024-06-07T00:00:00"/>
    <x v="5"/>
    <n v="1"/>
    <s v="Bronze"/>
    <s v="Delivered"/>
    <n v="70552"/>
    <x v="7"/>
    <s v="Elizabeth Street"/>
    <s v="Darwin"/>
    <n v="800"/>
    <n v="250"/>
    <n v="250"/>
  </r>
  <r>
    <s v="Anderson Ailani"/>
    <s v="Interview Prep"/>
    <d v="2024-06-08T00:00:00"/>
    <x v="5"/>
    <n v="2"/>
    <s v="Silver"/>
    <s v="Service Booked"/>
    <n v="79524"/>
    <x v="2"/>
    <s v="Elizabeth Street"/>
    <s v="Gold Coast"/>
    <n v="4217"/>
    <n v="250"/>
    <n v="500"/>
  </r>
  <r>
    <s v="Shields Eduardo"/>
    <s v="Interview Prep"/>
    <d v="2024-06-09T00:00:00"/>
    <x v="5"/>
    <n v="2"/>
    <s v="Silver"/>
    <s v="Delivered"/>
    <n v="21340"/>
    <x v="4"/>
    <s v="Main Street"/>
    <s v="Canberra"/>
    <n v="2600"/>
    <n v="250"/>
    <n v="500"/>
  </r>
  <r>
    <s v="Hall Sterling"/>
    <s v="Networking Strategy"/>
    <d v="2024-06-09T00:00:00"/>
    <x v="5"/>
    <n v="2"/>
    <s v="Silver"/>
    <s v="Service Booked"/>
    <n v="37505"/>
    <x v="7"/>
    <s v="Main Street"/>
    <s v="Alice Springs"/>
    <n v="870"/>
    <n v="250"/>
    <n v="500"/>
  </r>
  <r>
    <s v="Zamora Celine"/>
    <s v="Interview Prep"/>
    <d v="2024-06-09T00:00:00"/>
    <x v="5"/>
    <n v="3"/>
    <s v="Gold"/>
    <s v="Delivered"/>
    <n v="7339"/>
    <x v="3"/>
    <s v="Park Avenue"/>
    <s v="Fremantle"/>
    <n v="6160"/>
    <n v="250"/>
    <n v="750"/>
  </r>
  <r>
    <s v="Hurst Kali"/>
    <s v="LinkedIn profile"/>
    <d v="2024-06-09T00:00:00"/>
    <x v="5"/>
    <n v="1"/>
    <s v="Bronze"/>
    <s v="Delivered"/>
    <n v="43981"/>
    <x v="5"/>
    <s v="Park Avenue"/>
    <s v="Ballarat"/>
    <n v="3350"/>
    <n v="300"/>
    <n v="300"/>
  </r>
  <r>
    <s v="Frye Jasiah"/>
    <s v="Interview Prep"/>
    <d v="2024-06-10T00:00:00"/>
    <x v="5"/>
    <n v="2"/>
    <s v="Silver"/>
    <s v="Delivered"/>
    <n v="16269"/>
    <x v="1"/>
    <s v="King Street"/>
    <s v="Newcastle"/>
    <n v="2300"/>
    <n v="250"/>
    <n v="500"/>
  </r>
  <r>
    <s v="Arellano Jonathan"/>
    <s v="Mentoring program"/>
    <d v="2024-06-10T00:00:00"/>
    <x v="5"/>
    <n v="1"/>
    <s v="Bronze"/>
    <s v="Delivered"/>
    <n v="22200"/>
    <x v="7"/>
    <s v="Park Avenue"/>
    <s v="Alice Springs"/>
    <n v="870"/>
    <n v="1200"/>
    <n v="1200"/>
  </r>
  <r>
    <s v="Ferguson Frances"/>
    <s v="Resume (service fee)"/>
    <d v="2024-06-10T00:00:00"/>
    <x v="5"/>
    <n v="3"/>
    <s v="Gold"/>
    <s v="Delivered"/>
    <n v="27292"/>
    <x v="0"/>
    <s v="King Street"/>
    <s v="Mount Gambier"/>
    <n v="5290"/>
    <n v="600"/>
    <n v="1800"/>
  </r>
  <r>
    <s v="Clayton Brody"/>
    <s v="Resume + LinkedIn Profile"/>
    <d v="2024-06-11T00:00:00"/>
    <x v="5"/>
    <n v="1"/>
    <s v="Bronze"/>
    <s v="Delivered"/>
    <n v="69096"/>
    <x v="0"/>
    <s v="George Street"/>
    <s v="Whyalla"/>
    <n v="5600"/>
    <n v="800"/>
    <n v="800"/>
  </r>
  <r>
    <s v="Barajas Ali"/>
    <s v="Resume (service fee)"/>
    <d v="2024-06-11T00:00:00"/>
    <x v="5"/>
    <n v="3"/>
    <s v="Gold"/>
    <s v="Cancelled"/>
    <n v="37898"/>
    <x v="2"/>
    <s v="King Street"/>
    <s v="Gold Coast"/>
    <n v="4217"/>
    <n v="600"/>
    <n v="1800"/>
  </r>
  <r>
    <s v="Stanley Malia"/>
    <s v="Networking Strategy"/>
    <d v="2024-06-11T00:00:00"/>
    <x v="5"/>
    <n v="2"/>
    <s v="Silver"/>
    <s v="In Progress"/>
    <n v="30149"/>
    <x v="2"/>
    <s v="Elizabeth Street"/>
    <s v="Brisbane"/>
    <n v="4000"/>
    <n v="250"/>
    <n v="500"/>
  </r>
  <r>
    <s v="Klein Madelynn"/>
    <s v="Mentoring program"/>
    <d v="2024-06-12T00:00:00"/>
    <x v="5"/>
    <n v="3"/>
    <s v="Gold"/>
    <s v="Service Booked"/>
    <n v="23352"/>
    <x v="4"/>
    <s v="Main Street"/>
    <s v="Canberra"/>
    <n v="2600"/>
    <n v="1200"/>
    <n v="3600"/>
  </r>
  <r>
    <s v="Wong Sage"/>
    <s v="LinkedIn profile"/>
    <d v="2024-06-12T00:00:00"/>
    <x v="5"/>
    <n v="3"/>
    <s v="Gold"/>
    <s v="Cancelled"/>
    <n v="60138"/>
    <x v="1"/>
    <s v="Main Street"/>
    <s v="Wollongong"/>
    <n v="2500"/>
    <n v="300"/>
    <n v="900"/>
  </r>
  <r>
    <s v="Dawson Sage"/>
    <s v="Mentoring program"/>
    <d v="2024-06-12T00:00:00"/>
    <x v="5"/>
    <n v="3"/>
    <s v="Gold"/>
    <s v="Delivered"/>
    <n v="11845"/>
    <x v="2"/>
    <s v="Main Street"/>
    <s v="Cairns"/>
    <n v="4870"/>
    <n v="1200"/>
    <n v="3600"/>
  </r>
  <r>
    <s v="Bravo Dahlia"/>
    <s v="Interview Prep"/>
    <d v="2024-06-12T00:00:00"/>
    <x v="5"/>
    <n v="2"/>
    <s v="Silver"/>
    <s v="Delivered"/>
    <n v="86175"/>
    <x v="4"/>
    <s v="Park Avenue"/>
    <s v="Canberra"/>
    <n v="2600"/>
    <n v="250"/>
    <n v="500"/>
  </r>
  <r>
    <s v="Roberson Fiona"/>
    <s v="Resume (service fee)"/>
    <d v="2024-06-13T00:00:00"/>
    <x v="5"/>
    <n v="3"/>
    <s v="Gold"/>
    <s v="Delivered"/>
    <n v="79637"/>
    <x v="1"/>
    <s v="Elizabeth Street"/>
    <s v="Wollongong"/>
    <n v="2500"/>
    <n v="600"/>
    <n v="1800"/>
  </r>
  <r>
    <s v="Stanley Maxwell"/>
    <s v="Networking Strategy"/>
    <d v="2024-06-13T00:00:00"/>
    <x v="5"/>
    <n v="2"/>
    <s v="Silver"/>
    <s v="Cancelled"/>
    <n v="68516"/>
    <x v="6"/>
    <s v="George Street"/>
    <s v="Devonport"/>
    <n v="7310"/>
    <n v="250"/>
    <n v="500"/>
  </r>
  <r>
    <s v="Hodges Cade"/>
    <s v="LinkedIn profile"/>
    <d v="2024-06-13T00:00:00"/>
    <x v="5"/>
    <n v="3"/>
    <s v="Gold"/>
    <s v="Delivered"/>
    <n v="32733"/>
    <x v="5"/>
    <s v="George Street"/>
    <s v="Melbourne"/>
    <n v="3000"/>
    <n v="300"/>
    <n v="900"/>
  </r>
  <r>
    <s v="Morrison Esme"/>
    <s v="Mentoring program"/>
    <d v="2024-06-13T00:00:00"/>
    <x v="5"/>
    <n v="3"/>
    <s v="Gold"/>
    <s v="Service Booked"/>
    <n v="21531"/>
    <x v="7"/>
    <s v="Park Avenue"/>
    <s v="Darwin"/>
    <n v="800"/>
    <n v="1200"/>
    <n v="3600"/>
  </r>
  <r>
    <s v="Bowers Elaina"/>
    <s v="Resume + LinkedIn Profile"/>
    <d v="2024-06-14T00:00:00"/>
    <x v="5"/>
    <n v="2"/>
    <s v="Silver"/>
    <s v="Delivered"/>
    <n v="85866"/>
    <x v="2"/>
    <s v="Park Avenue"/>
    <s v="Gold Coast"/>
    <n v="4217"/>
    <n v="800"/>
    <n v="1600"/>
  </r>
  <r>
    <s v="Robertson Finn"/>
    <s v="Interview Prep"/>
    <d v="2024-06-14T00:00:00"/>
    <x v="5"/>
    <n v="3"/>
    <s v="Gold"/>
    <s v="Service Booked"/>
    <n v="93183"/>
    <x v="7"/>
    <s v="George Street"/>
    <s v="Alice Springs"/>
    <n v="870"/>
    <n v="250"/>
    <n v="750"/>
  </r>
  <r>
    <s v="Solomon Ronin"/>
    <s v="Resume + LinkedIn Profile"/>
    <d v="2024-06-15T00:00:00"/>
    <x v="5"/>
    <n v="2"/>
    <s v="Silver"/>
    <s v="Service Booked"/>
    <n v="49044"/>
    <x v="4"/>
    <s v="Main Street"/>
    <s v="Canberra"/>
    <n v="2600"/>
    <n v="800"/>
    <n v="1600"/>
  </r>
  <r>
    <s v="Collins Alaya"/>
    <s v="Resume + LinkedIn Profile"/>
    <d v="2024-06-15T00:00:00"/>
    <x v="5"/>
    <n v="2"/>
    <s v="Silver"/>
    <s v="Cancelled"/>
    <n v="83816"/>
    <x v="6"/>
    <s v="George Street"/>
    <s v="Devonport"/>
    <n v="7310"/>
    <n v="800"/>
    <n v="1600"/>
  </r>
  <r>
    <s v="Lin Stevie"/>
    <s v="Interview Prep"/>
    <d v="2024-06-15T00:00:00"/>
    <x v="5"/>
    <n v="3"/>
    <s v="Gold"/>
    <s v="Service Booked"/>
    <n v="53267"/>
    <x v="2"/>
    <s v="Main Street"/>
    <s v="Brisbane"/>
    <n v="4000"/>
    <n v="250"/>
    <n v="750"/>
  </r>
  <r>
    <s v="Ruiz Alayah"/>
    <s v="Mentoring program"/>
    <d v="2024-06-15T00:00:00"/>
    <x v="5"/>
    <n v="1"/>
    <s v="Bronze"/>
    <s v="Service Booked"/>
    <n v="41334"/>
    <x v="1"/>
    <s v="George Street"/>
    <s v="Sydney"/>
    <n v="2000"/>
    <n v="1200"/>
    <n v="1200"/>
  </r>
  <r>
    <s v="Prince Willa"/>
    <s v="LinkedIn profile"/>
    <d v="2024-06-16T00:00:00"/>
    <x v="5"/>
    <n v="1"/>
    <s v="Bronze"/>
    <s v="Delivered"/>
    <n v="42858"/>
    <x v="5"/>
    <s v="King Street"/>
    <s v="Ballarat"/>
    <n v="3350"/>
    <n v="300"/>
    <n v="300"/>
  </r>
  <r>
    <s v="Hudson Shiloh"/>
    <s v="Mentoring program"/>
    <d v="2024-06-16T00:00:00"/>
    <x v="5"/>
    <n v="1"/>
    <s v="Bronze"/>
    <s v="Delivered"/>
    <n v="91650"/>
    <x v="2"/>
    <s v="King Street"/>
    <s v="Gold Coast"/>
    <n v="4217"/>
    <n v="1200"/>
    <n v="1200"/>
  </r>
  <r>
    <s v="Escobar Dahlia"/>
    <s v="Resume + LinkedIn Profile"/>
    <d v="2024-06-17T00:00:00"/>
    <x v="5"/>
    <n v="2"/>
    <s v="Silver"/>
    <s v="Cancelled"/>
    <n v="56165"/>
    <x v="0"/>
    <s v="Park Avenue"/>
    <s v="Mount Gambier"/>
    <n v="5290"/>
    <n v="800"/>
    <n v="1600"/>
  </r>
  <r>
    <s v="Cherry Aspen"/>
    <s v="Resume + LinkedIn Profile"/>
    <d v="2024-06-17T00:00:00"/>
    <x v="5"/>
    <n v="1"/>
    <s v="Bronze"/>
    <s v="Cancelled"/>
    <n v="27216"/>
    <x v="4"/>
    <s v="King Street"/>
    <s v="Canberra"/>
    <n v="2600"/>
    <n v="800"/>
    <n v="800"/>
  </r>
  <r>
    <s v="Calhoun Aubree"/>
    <s v="LinkedIn profile"/>
    <d v="2024-06-17T00:00:00"/>
    <x v="5"/>
    <n v="2"/>
    <s v="Silver"/>
    <s v="Service Booked"/>
    <n v="50662"/>
    <x v="3"/>
    <s v="Elizabeth Street"/>
    <s v="Perth"/>
    <n v="6000"/>
    <n v="300"/>
    <n v="600"/>
  </r>
  <r>
    <s v="Boyd Evangeline"/>
    <s v="Mentoring program"/>
    <d v="2024-06-18T00:00:00"/>
    <x v="5"/>
    <n v="1"/>
    <s v="Bronze"/>
    <s v="In Progress"/>
    <n v="65476"/>
    <x v="1"/>
    <s v="Elizabeth Street"/>
    <s v="Newcastle"/>
    <n v="2300"/>
    <n v="1200"/>
    <n v="1200"/>
  </r>
  <r>
    <s v="Cohen London"/>
    <s v="LinkedIn profile"/>
    <d v="2024-06-19T00:00:00"/>
    <x v="5"/>
    <n v="2"/>
    <s v="Silver"/>
    <s v="Cancelled"/>
    <n v="25084"/>
    <x v="7"/>
    <s v="Park Avenue"/>
    <s v="Alice Springs"/>
    <n v="870"/>
    <n v="300"/>
    <n v="600"/>
  </r>
  <r>
    <s v="Reed Jayden"/>
    <s v="Interview Prep"/>
    <d v="2024-06-19T00:00:00"/>
    <x v="5"/>
    <n v="2"/>
    <s v="Silver"/>
    <s v="Delivered"/>
    <n v="31625"/>
    <x v="3"/>
    <s v="Park Avenue"/>
    <s v="Broome"/>
    <n v="6725"/>
    <n v="250"/>
    <n v="500"/>
  </r>
  <r>
    <s v="Jensen Jason"/>
    <s v="Mentoring program"/>
    <d v="2024-06-19T00:00:00"/>
    <x v="5"/>
    <n v="3"/>
    <s v="Gold"/>
    <s v="Delivered"/>
    <n v="8167"/>
    <x v="1"/>
    <s v="King Street"/>
    <s v="Sydney"/>
    <n v="2000"/>
    <n v="1200"/>
    <n v="3600"/>
  </r>
  <r>
    <s v="Walton Genevieve"/>
    <s v="Mentoring program"/>
    <d v="2024-06-19T00:00:00"/>
    <x v="5"/>
    <n v="2"/>
    <s v="Silver"/>
    <s v="Service Booked"/>
    <n v="38796"/>
    <x v="3"/>
    <s v="King Street"/>
    <s v="Broome"/>
    <n v="6725"/>
    <n v="1200"/>
    <n v="2400"/>
  </r>
  <r>
    <s v="Alfaro Kobe"/>
    <s v="Networking Strategy"/>
    <d v="2024-06-19T00:00:00"/>
    <x v="5"/>
    <n v="3"/>
    <s v="Gold"/>
    <s v="Delivered"/>
    <n v="59104"/>
    <x v="7"/>
    <s v="Park Avenue"/>
    <s v="Alice Springs"/>
    <n v="870"/>
    <n v="250"/>
    <n v="750"/>
  </r>
  <r>
    <s v="Price Amari"/>
    <s v="Resume (service fee)"/>
    <d v="2024-06-19T00:00:00"/>
    <x v="5"/>
    <n v="2"/>
    <s v="Silver"/>
    <s v="In Progress"/>
    <n v="42080"/>
    <x v="0"/>
    <s v="Elizabeth Street"/>
    <s v="Mount Gambier"/>
    <n v="5290"/>
    <n v="600"/>
    <n v="1200"/>
  </r>
  <r>
    <s v="Odom Addison"/>
    <s v="Resume (service fee)"/>
    <d v="2024-06-20T00:00:00"/>
    <x v="5"/>
    <n v="1"/>
    <s v="Bronze"/>
    <s v="In Progress"/>
    <n v="81705"/>
    <x v="1"/>
    <s v="King Street"/>
    <s v="Wollongong"/>
    <n v="2500"/>
    <n v="600"/>
    <n v="600"/>
  </r>
  <r>
    <s v="Cherry Ian"/>
    <s v="Networking Strategy"/>
    <d v="2024-06-20T00:00:00"/>
    <x v="5"/>
    <n v="1"/>
    <s v="Bronze"/>
    <s v="Delivered"/>
    <n v="76002"/>
    <x v="7"/>
    <s v="George Street"/>
    <s v="Darwin"/>
    <n v="800"/>
    <n v="250"/>
    <n v="250"/>
  </r>
  <r>
    <s v="Maldonado Beckett"/>
    <s v="Resume (service fee)"/>
    <d v="2024-06-20T00:00:00"/>
    <x v="5"/>
    <n v="3"/>
    <s v="Gold"/>
    <s v="Service Booked"/>
    <n v="80988"/>
    <x v="7"/>
    <s v="George Street"/>
    <s v="Darwin"/>
    <n v="800"/>
    <n v="600"/>
    <n v="1800"/>
  </r>
  <r>
    <s v="Carson Charli"/>
    <s v="Mentoring program"/>
    <d v="2024-06-21T00:00:00"/>
    <x v="5"/>
    <n v="2"/>
    <s v="Silver"/>
    <s v="Delivered"/>
    <n v="59304"/>
    <x v="6"/>
    <s v="King Street"/>
    <s v="Hobart"/>
    <n v="7000"/>
    <n v="1200"/>
    <n v="2400"/>
  </r>
  <r>
    <s v="Nuñez Juliana"/>
    <s v="Resume + LinkedIn Profile"/>
    <d v="2024-06-21T00:00:00"/>
    <x v="5"/>
    <n v="3"/>
    <s v="Gold"/>
    <s v="Delivered"/>
    <n v="18723"/>
    <x v="4"/>
    <s v="George Street"/>
    <s v="Canberra"/>
    <n v="2600"/>
    <n v="800"/>
    <n v="2400"/>
  </r>
  <r>
    <s v="Barrera Lennox"/>
    <s v="Resume (service fee)"/>
    <d v="2024-06-21T00:00:00"/>
    <x v="5"/>
    <n v="1"/>
    <s v="Bronze"/>
    <s v="Cancelled"/>
    <n v="95347"/>
    <x v="7"/>
    <s v="Park Avenue"/>
    <s v="Darwin"/>
    <n v="800"/>
    <n v="600"/>
    <n v="600"/>
  </r>
  <r>
    <s v="Mack Stevie"/>
    <s v="Mentoring program"/>
    <d v="2024-06-22T00:00:00"/>
    <x v="5"/>
    <n v="3"/>
    <s v="Gold"/>
    <s v="Cancelled"/>
    <n v="33555"/>
    <x v="2"/>
    <s v="Park Avenue"/>
    <s v="Cairns"/>
    <n v="4870"/>
    <n v="1200"/>
    <n v="3600"/>
  </r>
  <r>
    <s v="Arellano Aubrey"/>
    <s v="Interview Prep"/>
    <d v="2024-06-22T00:00:00"/>
    <x v="5"/>
    <n v="2"/>
    <s v="Silver"/>
    <s v="Service Booked"/>
    <n v="84763"/>
    <x v="1"/>
    <s v="Main Street"/>
    <s v="Wollongong"/>
    <n v="2500"/>
    <n v="250"/>
    <n v="500"/>
  </r>
  <r>
    <s v="Vasquez Lucy"/>
    <s v="Resume + LinkedIn Profile"/>
    <d v="2024-06-23T00:00:00"/>
    <x v="5"/>
    <n v="1"/>
    <s v="Bronze"/>
    <s v="Delivered"/>
    <n v="55514"/>
    <x v="7"/>
    <s v="Main Street"/>
    <s v="Alice Springs"/>
    <n v="870"/>
    <n v="800"/>
    <n v="800"/>
  </r>
  <r>
    <s v="Potts Walter"/>
    <s v="Mentoring program"/>
    <d v="2024-06-23T00:00:00"/>
    <x v="5"/>
    <n v="1"/>
    <s v="Bronze"/>
    <s v="Delivered"/>
    <n v="87461"/>
    <x v="5"/>
    <s v="King Street"/>
    <s v="Melbourne"/>
    <n v="3000"/>
    <n v="1200"/>
    <n v="1200"/>
  </r>
  <r>
    <s v="Coleman Brian"/>
    <s v="Interview Prep"/>
    <d v="2024-06-24T00:00:00"/>
    <x v="5"/>
    <n v="1"/>
    <s v="Bronze"/>
    <s v="Service Booked"/>
    <n v="28702"/>
    <x v="1"/>
    <s v="George Street"/>
    <s v="Sydney"/>
    <n v="2000"/>
    <n v="250"/>
    <n v="250"/>
  </r>
  <r>
    <s v="Bond Malachi"/>
    <s v="Mentoring program"/>
    <d v="2024-06-24T00:00:00"/>
    <x v="5"/>
    <n v="3"/>
    <s v="Gold"/>
    <s v="Service Booked"/>
    <n v="84856"/>
    <x v="3"/>
    <s v="Main Street"/>
    <s v="Broome"/>
    <n v="6725"/>
    <n v="1200"/>
    <n v="3600"/>
  </r>
  <r>
    <s v="Blevins Collin"/>
    <s v="Interview Prep"/>
    <d v="2024-06-25T00:00:00"/>
    <x v="5"/>
    <n v="2"/>
    <s v="Silver"/>
    <s v="Delivered"/>
    <n v="98545"/>
    <x v="6"/>
    <s v="Elizabeth Street"/>
    <s v="Launceston"/>
    <n v="7250"/>
    <n v="250"/>
    <n v="500"/>
  </r>
  <r>
    <s v="Dawson Ismael"/>
    <s v="Interview Prep"/>
    <d v="2024-06-25T00:00:00"/>
    <x v="5"/>
    <n v="1"/>
    <s v="Bronze"/>
    <s v="Service Booked"/>
    <n v="12063"/>
    <x v="5"/>
    <s v="Main Street"/>
    <s v="Ballarat"/>
    <n v="3350"/>
    <n v="250"/>
    <n v="250"/>
  </r>
  <r>
    <s v="Fischer Jeremiah"/>
    <s v="LinkedIn profile"/>
    <d v="2024-06-25T00:00:00"/>
    <x v="5"/>
    <n v="2"/>
    <s v="Silver"/>
    <s v="Cancelled"/>
    <n v="79017"/>
    <x v="2"/>
    <s v="Main Street"/>
    <s v="Brisbane"/>
    <n v="4000"/>
    <n v="300"/>
    <n v="600"/>
  </r>
  <r>
    <s v="Lane Kash"/>
    <s v="Mentoring program"/>
    <d v="2024-06-25T00:00:00"/>
    <x v="5"/>
    <n v="1"/>
    <s v="Bronze"/>
    <s v="Delivered"/>
    <n v="31377"/>
    <x v="7"/>
    <s v="King Street"/>
    <s v="Alice Springs"/>
    <n v="870"/>
    <n v="1200"/>
    <n v="1200"/>
  </r>
  <r>
    <s v="Juarez Ryleigh"/>
    <s v="LinkedIn profile"/>
    <d v="2024-06-26T00:00:00"/>
    <x v="5"/>
    <n v="3"/>
    <s v="Gold"/>
    <s v="Delivered"/>
    <n v="67535"/>
    <x v="5"/>
    <s v="Park Avenue"/>
    <s v="Ballarat"/>
    <n v="3350"/>
    <n v="300"/>
    <n v="900"/>
  </r>
  <r>
    <s v="Hogan Bryce"/>
    <s v="Mentoring program"/>
    <d v="2024-06-26T00:00:00"/>
    <x v="5"/>
    <n v="3"/>
    <s v="Gold"/>
    <s v="Service Booked"/>
    <n v="95057"/>
    <x v="6"/>
    <s v="George Street"/>
    <s v="Devonport"/>
    <n v="7310"/>
    <n v="1200"/>
    <n v="3600"/>
  </r>
  <r>
    <s v="Booth Karter"/>
    <s v="Mentoring program"/>
    <d v="2024-06-26T00:00:00"/>
    <x v="5"/>
    <n v="1"/>
    <s v="Bronze"/>
    <s v="In Progress"/>
    <n v="63957"/>
    <x v="2"/>
    <s v="King Street"/>
    <s v="Brisbane"/>
    <n v="4000"/>
    <n v="1200"/>
    <n v="1200"/>
  </r>
  <r>
    <s v="Singleton Bradley"/>
    <s v="Resume + LinkedIn Profile"/>
    <d v="2024-06-26T00:00:00"/>
    <x v="5"/>
    <n v="2"/>
    <s v="Silver"/>
    <s v="Service Booked"/>
    <n v="15597"/>
    <x v="5"/>
    <s v="Main Street"/>
    <s v="Ballarat"/>
    <n v="3350"/>
    <n v="800"/>
    <n v="1600"/>
  </r>
  <r>
    <s v="Herrera Collins"/>
    <s v="Interview Prep"/>
    <d v="2024-06-26T00:00:00"/>
    <x v="5"/>
    <n v="2"/>
    <s v="Silver"/>
    <s v="Service Booked"/>
    <n v="16153"/>
    <x v="7"/>
    <s v="George Street"/>
    <s v="Darwin"/>
    <n v="800"/>
    <n v="250"/>
    <n v="500"/>
  </r>
  <r>
    <s v="Solis Jonathan"/>
    <s v="Resume + LinkedIn Profile"/>
    <d v="2024-06-27T00:00:00"/>
    <x v="5"/>
    <n v="2"/>
    <s v="Silver"/>
    <s v="Service Booked"/>
    <n v="99075"/>
    <x v="5"/>
    <s v="Elizabeth Street"/>
    <s v="Melbourne"/>
    <n v="3000"/>
    <n v="800"/>
    <n v="1600"/>
  </r>
  <r>
    <s v="Kennedy Serenity"/>
    <s v="Networking Strategy"/>
    <d v="2024-06-27T00:00:00"/>
    <x v="5"/>
    <n v="2"/>
    <s v="Silver"/>
    <s v="Delivered"/>
    <n v="63674"/>
    <x v="2"/>
    <s v="George Street"/>
    <s v="Gold Coast"/>
    <n v="4217"/>
    <n v="250"/>
    <n v="500"/>
  </r>
  <r>
    <s v="Porter Lyla"/>
    <s v="Mentoring program"/>
    <d v="2024-06-27T00:00:00"/>
    <x v="5"/>
    <n v="1"/>
    <s v="Bronze"/>
    <s v="Service Booked"/>
    <n v="28056"/>
    <x v="4"/>
    <s v="Elizabeth Street"/>
    <s v="Canberra"/>
    <n v="2600"/>
    <n v="1200"/>
    <n v="1200"/>
  </r>
  <r>
    <s v="Mckay Serena"/>
    <s v="Resume (service fee)"/>
    <d v="2024-06-28T00:00:00"/>
    <x v="5"/>
    <n v="3"/>
    <s v="Gold"/>
    <s v="Delivered"/>
    <n v="97459"/>
    <x v="1"/>
    <s v="Main Street"/>
    <s v="Newcastle"/>
    <n v="2300"/>
    <n v="600"/>
    <n v="1800"/>
  </r>
  <r>
    <s v="Reeves Jayden"/>
    <s v="Interview Prep"/>
    <d v="2024-06-28T00:00:00"/>
    <x v="5"/>
    <n v="3"/>
    <s v="Gold"/>
    <s v="Service Booked"/>
    <n v="13624"/>
    <x v="6"/>
    <s v="Main Street"/>
    <s v="Launceston"/>
    <n v="7250"/>
    <n v="250"/>
    <n v="750"/>
  </r>
  <r>
    <s v="Preston Francis"/>
    <s v="Networking Strategy"/>
    <d v="2024-06-28T00:00:00"/>
    <x v="5"/>
    <n v="3"/>
    <s v="Gold"/>
    <s v="Service Booked"/>
    <n v="27068"/>
    <x v="4"/>
    <s v="George Street"/>
    <s v="Canberra"/>
    <n v="2600"/>
    <n v="250"/>
    <n v="750"/>
  </r>
  <r>
    <s v="Griffin Ariana"/>
    <s v="Mentoring program"/>
    <d v="2024-06-28T00:00:00"/>
    <x v="5"/>
    <n v="3"/>
    <s v="Gold"/>
    <s v="Service Booked"/>
    <n v="22491"/>
    <x v="5"/>
    <s v="Main Street"/>
    <s v="Ballarat"/>
    <n v="3350"/>
    <n v="1200"/>
    <n v="3600"/>
  </r>
  <r>
    <s v="Raymond Abel"/>
    <s v="LinkedIn profile"/>
    <d v="2024-06-29T00:00:00"/>
    <x v="5"/>
    <n v="3"/>
    <s v="Gold"/>
    <s v="Delivered"/>
    <n v="99259"/>
    <x v="2"/>
    <s v="Elizabeth Street"/>
    <s v="Gold Coast"/>
    <n v="4217"/>
    <n v="300"/>
    <n v="900"/>
  </r>
  <r>
    <s v="Woodard Destiny"/>
    <s v="Interview Prep"/>
    <d v="2024-06-30T00:00:00"/>
    <x v="5"/>
    <n v="2"/>
    <s v="Silver"/>
    <s v="Service Booked"/>
    <n v="52948"/>
    <x v="1"/>
    <s v="Elizabeth Street"/>
    <s v="Newcastle"/>
    <n v="2300"/>
    <n v="250"/>
    <n v="500"/>
  </r>
  <r>
    <s v="Weber Harvey"/>
    <s v="Networking Strategy"/>
    <d v="2024-07-01T00:00:00"/>
    <x v="6"/>
    <n v="3"/>
    <s v="Gold"/>
    <s v="Delivered"/>
    <n v="95202"/>
    <x v="1"/>
    <s v="Park Avenue"/>
    <s v="Wollongong"/>
    <n v="2500"/>
    <n v="250"/>
    <n v="750"/>
  </r>
  <r>
    <s v="Norris Hayes"/>
    <s v="Mentoring program"/>
    <d v="2024-07-01T00:00:00"/>
    <x v="6"/>
    <n v="2"/>
    <s v="Silver"/>
    <s v="Delivered"/>
    <n v="23036"/>
    <x v="1"/>
    <s v="King Street"/>
    <s v="Newcastle"/>
    <n v="2300"/>
    <n v="1200"/>
    <n v="2400"/>
  </r>
  <r>
    <s v="Fernandez Dax"/>
    <s v="Interview Prep"/>
    <d v="2024-07-01T00:00:00"/>
    <x v="6"/>
    <n v="2"/>
    <s v="Silver"/>
    <s v="Cancelled"/>
    <n v="24441"/>
    <x v="0"/>
    <s v="King Street"/>
    <s v="Adelaide"/>
    <n v="5000"/>
    <n v="250"/>
    <n v="500"/>
  </r>
  <r>
    <s v="Correa Brantley"/>
    <s v="Networking Strategy"/>
    <d v="2024-07-02T00:00:00"/>
    <x v="6"/>
    <n v="1"/>
    <s v="Bronze"/>
    <s v="Service Booked"/>
    <n v="25920"/>
    <x v="6"/>
    <s v="George Street"/>
    <s v="Launceston"/>
    <n v="7250"/>
    <n v="250"/>
    <n v="250"/>
  </r>
  <r>
    <s v="Reyna Greyson"/>
    <s v="Mentoring program"/>
    <d v="2024-07-02T00:00:00"/>
    <x v="6"/>
    <n v="2"/>
    <s v="Silver"/>
    <s v="Delivered"/>
    <n v="82760"/>
    <x v="4"/>
    <s v="George Street"/>
    <s v="Canberra"/>
    <n v="2600"/>
    <n v="1200"/>
    <n v="2400"/>
  </r>
  <r>
    <s v="Schroeder Gianna"/>
    <s v="Mentoring program"/>
    <d v="2024-07-02T00:00:00"/>
    <x v="6"/>
    <n v="1"/>
    <s v="Bronze"/>
    <s v="Cancelled"/>
    <n v="11369"/>
    <x v="6"/>
    <s v="Elizabeth Street"/>
    <s v="Launceston"/>
    <n v="7250"/>
    <n v="1200"/>
    <n v="1200"/>
  </r>
  <r>
    <s v="Mccarthy Calvin"/>
    <s v="Mentoring program"/>
    <d v="2024-07-03T00:00:00"/>
    <x v="6"/>
    <n v="1"/>
    <s v="Bronze"/>
    <s v="Service Booked"/>
    <n v="80596"/>
    <x v="0"/>
    <s v="Main Street"/>
    <s v="Whyalla"/>
    <n v="5600"/>
    <n v="1200"/>
    <n v="1200"/>
  </r>
  <r>
    <s v="Jordan Fernando"/>
    <s v="Mentoring program"/>
    <d v="2024-07-03T00:00:00"/>
    <x v="6"/>
    <n v="2"/>
    <s v="Silver"/>
    <s v="Service Booked"/>
    <n v="89320"/>
    <x v="5"/>
    <s v="King Street"/>
    <s v="Ballarat"/>
    <n v="3350"/>
    <n v="1200"/>
    <n v="2400"/>
  </r>
  <r>
    <s v="Fletcher Maximus"/>
    <s v="Networking Strategy"/>
    <d v="2024-07-03T00:00:00"/>
    <x v="6"/>
    <n v="3"/>
    <s v="Gold"/>
    <s v="Delivered"/>
    <n v="12758"/>
    <x v="4"/>
    <s v="Main Street"/>
    <s v="Canberra"/>
    <n v="2600"/>
    <n v="250"/>
    <n v="750"/>
  </r>
  <r>
    <s v="Potts Aria"/>
    <s v="Resume + LinkedIn Profile"/>
    <d v="2024-07-03T00:00:00"/>
    <x v="6"/>
    <n v="3"/>
    <s v="Gold"/>
    <s v="Delivered"/>
    <n v="15229"/>
    <x v="7"/>
    <s v="King Street"/>
    <s v="Alice Springs"/>
    <n v="870"/>
    <n v="800"/>
    <n v="2400"/>
  </r>
  <r>
    <s v="Floyd Colin"/>
    <s v="Resume + LinkedIn Profile"/>
    <d v="2024-07-03T00:00:00"/>
    <x v="6"/>
    <n v="3"/>
    <s v="Gold"/>
    <s v="Delivered"/>
    <n v="12837"/>
    <x v="7"/>
    <s v="Park Avenue"/>
    <s v="Alice Springs"/>
    <n v="870"/>
    <n v="800"/>
    <n v="2400"/>
  </r>
  <r>
    <s v="Clements Blair"/>
    <s v="Mentoring program"/>
    <d v="2024-07-03T00:00:00"/>
    <x v="6"/>
    <n v="3"/>
    <s v="Gold"/>
    <s v="Service Booked"/>
    <n v="35284"/>
    <x v="5"/>
    <s v="Elizabeth Street"/>
    <s v="Melbourne"/>
    <n v="3000"/>
    <n v="1200"/>
    <n v="3600"/>
  </r>
  <r>
    <s v="Randall Miguel"/>
    <s v="LinkedIn profile"/>
    <d v="2024-07-04T00:00:00"/>
    <x v="6"/>
    <n v="1"/>
    <s v="Bronze"/>
    <s v="In Progress"/>
    <n v="14581"/>
    <x v="6"/>
    <s v="Park Avenue"/>
    <s v="Devonport"/>
    <n v="7310"/>
    <n v="300"/>
    <n v="300"/>
  </r>
  <r>
    <s v="Palacios Luna"/>
    <s v="Resume (service fee)"/>
    <d v="2024-07-05T00:00:00"/>
    <x v="6"/>
    <n v="3"/>
    <s v="Gold"/>
    <s v="Service Booked"/>
    <n v="48911"/>
    <x v="2"/>
    <s v="Park Avenue"/>
    <s v="Brisbane"/>
    <n v="4000"/>
    <n v="600"/>
    <n v="1800"/>
  </r>
  <r>
    <s v="Hahn Nadia"/>
    <s v="Resume (service fee)"/>
    <d v="2024-07-05T00:00:00"/>
    <x v="6"/>
    <n v="3"/>
    <s v="Gold"/>
    <s v="Delivered"/>
    <n v="78249"/>
    <x v="2"/>
    <s v="Main Street"/>
    <s v="Cairns"/>
    <n v="4870"/>
    <n v="600"/>
    <n v="1800"/>
  </r>
  <r>
    <s v="Duffy Hannah"/>
    <s v="Mentoring program"/>
    <d v="2024-07-06T00:00:00"/>
    <x v="6"/>
    <n v="1"/>
    <s v="Bronze"/>
    <s v="Service Booked"/>
    <n v="23764"/>
    <x v="4"/>
    <s v="King Street"/>
    <s v="Canberra"/>
    <n v="2600"/>
    <n v="1200"/>
    <n v="1200"/>
  </r>
  <r>
    <s v="Rosales Clara"/>
    <s v="Interview Prep"/>
    <d v="2024-07-07T00:00:00"/>
    <x v="6"/>
    <n v="1"/>
    <s v="Bronze"/>
    <s v="Service Booked"/>
    <n v="5229"/>
    <x v="2"/>
    <s v="Park Avenue"/>
    <s v="Gold Coast"/>
    <n v="4217"/>
    <n v="250"/>
    <n v="250"/>
  </r>
  <r>
    <s v="Cooper Aisha"/>
    <s v="Interview Prep"/>
    <d v="2024-07-07T00:00:00"/>
    <x v="6"/>
    <n v="3"/>
    <s v="Gold"/>
    <s v="Delivered"/>
    <n v="74126"/>
    <x v="6"/>
    <s v="King Street"/>
    <s v="Hobart"/>
    <n v="7000"/>
    <n v="250"/>
    <n v="750"/>
  </r>
  <r>
    <s v="Garrett Ricardo"/>
    <s v="Resume + LinkedIn Profile"/>
    <d v="2024-07-07T00:00:00"/>
    <x v="6"/>
    <n v="1"/>
    <s v="Bronze"/>
    <s v="Delivered"/>
    <n v="5057"/>
    <x v="2"/>
    <s v="Park Avenue"/>
    <s v="Cairns"/>
    <n v="4870"/>
    <n v="800"/>
    <n v="800"/>
  </r>
  <r>
    <s v="Bartlett Joshua"/>
    <s v="LinkedIn profile"/>
    <d v="2024-07-08T00:00:00"/>
    <x v="6"/>
    <n v="3"/>
    <s v="Gold"/>
    <s v="Delivered"/>
    <n v="75404"/>
    <x v="6"/>
    <s v="Elizabeth Street"/>
    <s v="Launceston"/>
    <n v="7250"/>
    <n v="300"/>
    <n v="900"/>
  </r>
  <r>
    <s v="Dixon Stevie"/>
    <s v="Resume + LinkedIn Profile"/>
    <d v="2024-07-08T00:00:00"/>
    <x v="6"/>
    <n v="2"/>
    <s v="Silver"/>
    <s v="Delivered"/>
    <n v="6497"/>
    <x v="5"/>
    <s v="George Street"/>
    <s v="Ballarat"/>
    <n v="3350"/>
    <n v="800"/>
    <n v="1600"/>
  </r>
  <r>
    <s v="English Oakley"/>
    <s v="Networking Strategy"/>
    <d v="2024-07-10T00:00:00"/>
    <x v="6"/>
    <n v="1"/>
    <s v="Bronze"/>
    <s v="In Progress"/>
    <n v="4594"/>
    <x v="4"/>
    <s v="Park Avenue"/>
    <s v="Canberra"/>
    <n v="2600"/>
    <n v="250"/>
    <n v="250"/>
  </r>
  <r>
    <s v="Mcgee Brooklynn"/>
    <s v="Resume + LinkedIn Profile"/>
    <d v="2024-07-10T00:00:00"/>
    <x v="6"/>
    <n v="2"/>
    <s v="Silver"/>
    <s v="Service Booked"/>
    <n v="95924"/>
    <x v="3"/>
    <s v="King Street"/>
    <s v="Fremantle"/>
    <n v="6160"/>
    <n v="800"/>
    <n v="1600"/>
  </r>
  <r>
    <s v="Harrington Emersyn"/>
    <s v="Resume + LinkedIn Profile"/>
    <d v="2024-07-10T00:00:00"/>
    <x v="6"/>
    <n v="3"/>
    <s v="Gold"/>
    <s v="Delivered"/>
    <n v="6020"/>
    <x v="4"/>
    <s v="Main Street"/>
    <s v="Canberra"/>
    <n v="2600"/>
    <n v="800"/>
    <n v="2400"/>
  </r>
  <r>
    <s v="Crawford Dallas"/>
    <s v="Resume (service fee)"/>
    <d v="2024-07-10T00:00:00"/>
    <x v="6"/>
    <n v="3"/>
    <s v="Gold"/>
    <s v="Service Booked"/>
    <n v="14817"/>
    <x v="0"/>
    <s v="Main Street"/>
    <s v="Whyalla"/>
    <n v="5600"/>
    <n v="600"/>
    <n v="1800"/>
  </r>
  <r>
    <s v="Castillo Milani"/>
    <s v="Interview Prep"/>
    <d v="2024-07-11T00:00:00"/>
    <x v="6"/>
    <n v="1"/>
    <s v="Bronze"/>
    <s v="Delivered"/>
    <n v="34383"/>
    <x v="1"/>
    <s v="Park Avenue"/>
    <s v="Newcastle"/>
    <n v="2300"/>
    <n v="250"/>
    <n v="250"/>
  </r>
  <r>
    <s v="Best Aubrey"/>
    <s v="Resume (service fee)"/>
    <d v="2024-07-11T00:00:00"/>
    <x v="6"/>
    <n v="2"/>
    <s v="Silver"/>
    <s v="Service Booked"/>
    <n v="4970"/>
    <x v="0"/>
    <s v="Main Street"/>
    <s v="Whyalla"/>
    <n v="5600"/>
    <n v="600"/>
    <n v="1200"/>
  </r>
  <r>
    <s v="Daugherty Aaliyah"/>
    <s v="Resume + LinkedIn Profile"/>
    <d v="2024-07-11T00:00:00"/>
    <x v="6"/>
    <n v="2"/>
    <s v="Silver"/>
    <s v="Service Booked"/>
    <n v="36027"/>
    <x v="6"/>
    <s v="George Street"/>
    <s v="Devonport"/>
    <n v="7310"/>
    <n v="800"/>
    <n v="1600"/>
  </r>
  <r>
    <s v="Carroll Chance"/>
    <s v="LinkedIn profile"/>
    <d v="2024-07-12T00:00:00"/>
    <x v="6"/>
    <n v="1"/>
    <s v="Bronze"/>
    <s v="Delivered"/>
    <n v="51302"/>
    <x v="5"/>
    <s v="Main Street"/>
    <s v="Ballarat"/>
    <n v="3350"/>
    <n v="300"/>
    <n v="300"/>
  </r>
  <r>
    <s v="Bartlett Oscar"/>
    <s v="Resume + LinkedIn Profile"/>
    <d v="2024-07-12T00:00:00"/>
    <x v="6"/>
    <n v="3"/>
    <s v="Gold"/>
    <s v="In Progress"/>
    <n v="9856"/>
    <x v="6"/>
    <s v="King Street"/>
    <s v="Hobart"/>
    <n v="7000"/>
    <n v="800"/>
    <n v="2400"/>
  </r>
  <r>
    <s v="Johnson Ronan"/>
    <s v="Mentoring program"/>
    <d v="2024-07-12T00:00:00"/>
    <x v="6"/>
    <n v="1"/>
    <s v="Bronze"/>
    <s v="Service Booked"/>
    <n v="9647"/>
    <x v="3"/>
    <s v="Elizabeth Street"/>
    <s v="Broome"/>
    <n v="6725"/>
    <n v="1200"/>
    <n v="1200"/>
  </r>
  <r>
    <s v="Gordon Jett"/>
    <s v="Networking Strategy"/>
    <d v="2024-07-12T00:00:00"/>
    <x v="6"/>
    <n v="2"/>
    <s v="Silver"/>
    <s v="Service Booked"/>
    <n v="18905"/>
    <x v="3"/>
    <s v="King Street"/>
    <s v="Perth"/>
    <n v="6000"/>
    <n v="250"/>
    <n v="500"/>
  </r>
  <r>
    <s v="Holt Thea"/>
    <s v="LinkedIn profile"/>
    <d v="2024-07-13T00:00:00"/>
    <x v="6"/>
    <n v="1"/>
    <s v="Bronze"/>
    <s v="Service Booked"/>
    <n v="74442"/>
    <x v="0"/>
    <s v="Park Avenue"/>
    <s v="Adelaide"/>
    <n v="5000"/>
    <n v="300"/>
    <n v="300"/>
  </r>
  <r>
    <s v="Hoffman Joy"/>
    <s v="Mentoring program"/>
    <d v="2024-07-13T00:00:00"/>
    <x v="6"/>
    <n v="3"/>
    <s v="Gold"/>
    <s v="Delivered"/>
    <n v="39820"/>
    <x v="5"/>
    <s v="Main Street"/>
    <s v="Ballarat"/>
    <n v="3350"/>
    <n v="1200"/>
    <n v="3600"/>
  </r>
  <r>
    <s v="Hodge River"/>
    <s v="Mentoring program"/>
    <d v="2024-07-13T00:00:00"/>
    <x v="6"/>
    <n v="2"/>
    <s v="Silver"/>
    <s v="Delivered"/>
    <n v="55106"/>
    <x v="0"/>
    <s v="George Street"/>
    <s v="Whyalla"/>
    <n v="5600"/>
    <n v="1200"/>
    <n v="2400"/>
  </r>
  <r>
    <s v="Beck Mila"/>
    <s v="LinkedIn profile"/>
    <d v="2024-07-14T00:00:00"/>
    <x v="6"/>
    <n v="2"/>
    <s v="Silver"/>
    <s v="Delivered"/>
    <n v="35446"/>
    <x v="1"/>
    <s v="King Street"/>
    <s v="Newcastle"/>
    <n v="2300"/>
    <n v="300"/>
    <n v="600"/>
  </r>
  <r>
    <s v="Alvarez Seth"/>
    <s v="Mentoring program"/>
    <d v="2024-07-14T00:00:00"/>
    <x v="6"/>
    <n v="2"/>
    <s v="Silver"/>
    <s v="Delivered"/>
    <n v="96315"/>
    <x v="4"/>
    <s v="Main Street"/>
    <s v="Canberra"/>
    <n v="2600"/>
    <n v="1200"/>
    <n v="2400"/>
  </r>
  <r>
    <s v="Clay Aria"/>
    <s v="Mentoring program"/>
    <d v="2024-07-15T00:00:00"/>
    <x v="6"/>
    <n v="2"/>
    <s v="Silver"/>
    <s v="Service Booked"/>
    <n v="39289"/>
    <x v="2"/>
    <s v="Elizabeth Street"/>
    <s v="Gold Coast"/>
    <n v="4217"/>
    <n v="1200"/>
    <n v="2400"/>
  </r>
  <r>
    <s v="Castro Gregory"/>
    <s v="Mentoring program"/>
    <d v="2024-07-15T00:00:00"/>
    <x v="6"/>
    <n v="1"/>
    <s v="Bronze"/>
    <s v="Service Booked"/>
    <n v="62184"/>
    <x v="1"/>
    <s v="Park Avenue"/>
    <s v="Newcastle"/>
    <n v="2300"/>
    <n v="1200"/>
    <n v="1200"/>
  </r>
  <r>
    <s v="Davila Spencer"/>
    <s v="Mentoring program"/>
    <d v="2024-07-15T00:00:00"/>
    <x v="6"/>
    <n v="1"/>
    <s v="Bronze"/>
    <s v="Delivered"/>
    <n v="97891"/>
    <x v="2"/>
    <s v="Main Street"/>
    <s v="Cairns"/>
    <n v="4870"/>
    <n v="1200"/>
    <n v="1200"/>
  </r>
  <r>
    <s v="Keller Miguel"/>
    <s v="Mentoring program"/>
    <d v="2024-07-16T00:00:00"/>
    <x v="6"/>
    <n v="3"/>
    <s v="Gold"/>
    <s v="Cancelled"/>
    <n v="86447"/>
    <x v="0"/>
    <s v="Main Street"/>
    <s v="Adelaide"/>
    <n v="5000"/>
    <n v="1200"/>
    <n v="3600"/>
  </r>
  <r>
    <s v="Bates Grayson"/>
    <s v="Mentoring program"/>
    <d v="2024-07-16T00:00:00"/>
    <x v="6"/>
    <n v="2"/>
    <s v="Silver"/>
    <s v="Service Booked"/>
    <n v="73823"/>
    <x v="1"/>
    <s v="Main Street"/>
    <s v="Wollongong"/>
    <n v="2500"/>
    <n v="1200"/>
    <n v="2400"/>
  </r>
  <r>
    <s v="Xiong Selah"/>
    <s v="Networking Strategy"/>
    <d v="2024-07-17T00:00:00"/>
    <x v="6"/>
    <n v="2"/>
    <s v="Silver"/>
    <s v="Delivered"/>
    <n v="3487"/>
    <x v="3"/>
    <s v="King Street"/>
    <s v="Broome"/>
    <n v="6725"/>
    <n v="250"/>
    <n v="500"/>
  </r>
  <r>
    <s v="Little Adan"/>
    <s v="Networking Strategy"/>
    <d v="2024-07-17T00:00:00"/>
    <x v="6"/>
    <n v="2"/>
    <s v="Silver"/>
    <s v="Service Booked"/>
    <n v="68575"/>
    <x v="0"/>
    <s v="Elizabeth Street"/>
    <s v="Whyalla"/>
    <n v="5600"/>
    <n v="250"/>
    <n v="500"/>
  </r>
  <r>
    <s v="Henson Vivian"/>
    <s v="Mentoring program"/>
    <d v="2024-07-17T00:00:00"/>
    <x v="6"/>
    <n v="1"/>
    <s v="Bronze"/>
    <s v="Cancelled"/>
    <n v="86008"/>
    <x v="7"/>
    <s v="George Street"/>
    <s v="Alice Springs"/>
    <n v="870"/>
    <n v="1200"/>
    <n v="1200"/>
  </r>
  <r>
    <s v="Gomez Ali"/>
    <s v="Resume + LinkedIn Profile"/>
    <d v="2024-07-18T00:00:00"/>
    <x v="6"/>
    <n v="3"/>
    <s v="Gold"/>
    <s v="In Progress"/>
    <n v="31652"/>
    <x v="4"/>
    <s v="Main Street"/>
    <s v="Canberra"/>
    <n v="2600"/>
    <n v="800"/>
    <n v="2400"/>
  </r>
  <r>
    <s v="Martinez Samantha"/>
    <s v="Interview Prep"/>
    <d v="2024-07-18T00:00:00"/>
    <x v="6"/>
    <n v="3"/>
    <s v="Gold"/>
    <s v="Delivered"/>
    <n v="84519"/>
    <x v="1"/>
    <s v="Park Avenue"/>
    <s v="Wollongong"/>
    <n v="2500"/>
    <n v="250"/>
    <n v="750"/>
  </r>
  <r>
    <s v="Harvey Lane"/>
    <s v="Resume (service fee)"/>
    <d v="2024-07-18T00:00:00"/>
    <x v="6"/>
    <n v="1"/>
    <s v="Bronze"/>
    <s v="Cancelled"/>
    <n v="55447"/>
    <x v="0"/>
    <s v="King Street"/>
    <s v="Whyalla"/>
    <n v="5600"/>
    <n v="600"/>
    <n v="600"/>
  </r>
  <r>
    <s v="Manning Blake"/>
    <s v="Resume (service fee)"/>
    <d v="2024-07-18T00:00:00"/>
    <x v="6"/>
    <n v="1"/>
    <s v="Bronze"/>
    <s v="Service Booked"/>
    <n v="98309"/>
    <x v="2"/>
    <s v="George Street"/>
    <s v="Cairns"/>
    <n v="4870"/>
    <n v="600"/>
    <n v="600"/>
  </r>
  <r>
    <s v="Quintero Emersyn"/>
    <s v="Resume + LinkedIn Profile"/>
    <d v="2024-07-18T00:00:00"/>
    <x v="6"/>
    <n v="3"/>
    <s v="Gold"/>
    <s v="Cancelled"/>
    <n v="95315"/>
    <x v="0"/>
    <s v="Main Street"/>
    <s v="Whyalla"/>
    <n v="5600"/>
    <n v="800"/>
    <n v="2400"/>
  </r>
  <r>
    <s v="Simmons Emiliano"/>
    <s v="Resume + LinkedIn Profile"/>
    <d v="2024-07-18T00:00:00"/>
    <x v="6"/>
    <n v="1"/>
    <s v="Bronze"/>
    <s v="In Progress"/>
    <n v="74288"/>
    <x v="1"/>
    <s v="Park Avenue"/>
    <s v="Newcastle"/>
    <n v="2300"/>
    <n v="800"/>
    <n v="800"/>
  </r>
  <r>
    <s v="Gibson Charlee"/>
    <s v="Interview Prep"/>
    <d v="2024-07-19T00:00:00"/>
    <x v="6"/>
    <n v="1"/>
    <s v="Bronze"/>
    <s v="Delivered"/>
    <n v="9389"/>
    <x v="5"/>
    <s v="Park Avenue"/>
    <s v="Geelong"/>
    <n v="3220"/>
    <n v="250"/>
    <n v="250"/>
  </r>
  <r>
    <s v="Clay Lennox"/>
    <s v="Mentoring program"/>
    <d v="2024-07-19T00:00:00"/>
    <x v="6"/>
    <n v="1"/>
    <s v="Bronze"/>
    <s v="Service Booked"/>
    <n v="81501"/>
    <x v="3"/>
    <s v="George Street"/>
    <s v="Broome"/>
    <n v="6725"/>
    <n v="1200"/>
    <n v="1200"/>
  </r>
  <r>
    <s v="Mcbride Luke"/>
    <s v="Mentoring program"/>
    <d v="2024-07-20T00:00:00"/>
    <x v="6"/>
    <n v="3"/>
    <s v="Gold"/>
    <s v="Delivered"/>
    <n v="95531"/>
    <x v="2"/>
    <s v="Main Street"/>
    <s v="Cairns"/>
    <n v="4870"/>
    <n v="1200"/>
    <n v="3600"/>
  </r>
  <r>
    <s v="Ellis Bo"/>
    <s v="LinkedIn profile"/>
    <d v="2024-07-20T00:00:00"/>
    <x v="6"/>
    <n v="3"/>
    <s v="Gold"/>
    <s v="Service Booked"/>
    <n v="59332"/>
    <x v="2"/>
    <s v="Park Avenue"/>
    <s v="Cairns"/>
    <n v="4870"/>
    <n v="300"/>
    <n v="900"/>
  </r>
  <r>
    <s v="Walton Erick"/>
    <s v="LinkedIn profile"/>
    <d v="2024-07-22T00:00:00"/>
    <x v="6"/>
    <n v="2"/>
    <s v="Silver"/>
    <s v="In Progress"/>
    <n v="77854"/>
    <x v="1"/>
    <s v="Elizabeth Street"/>
    <s v="Newcastle"/>
    <n v="2300"/>
    <n v="300"/>
    <n v="600"/>
  </r>
  <r>
    <s v="Horn Damien"/>
    <s v="LinkedIn profile"/>
    <d v="2024-07-23T00:00:00"/>
    <x v="6"/>
    <n v="1"/>
    <s v="Bronze"/>
    <s v="Cancelled"/>
    <n v="75747"/>
    <x v="5"/>
    <s v="Park Avenue"/>
    <s v="Ballarat"/>
    <n v="3350"/>
    <n v="300"/>
    <n v="300"/>
  </r>
  <r>
    <s v="Bates Anya"/>
    <s v="Interview Prep"/>
    <d v="2024-07-23T00:00:00"/>
    <x v="6"/>
    <n v="3"/>
    <s v="Gold"/>
    <s v="Delivered"/>
    <n v="6183"/>
    <x v="7"/>
    <s v="King Street"/>
    <s v="Darwin"/>
    <n v="800"/>
    <n v="250"/>
    <n v="750"/>
  </r>
  <r>
    <s v="Vaughan Leila"/>
    <s v="Interview Prep"/>
    <d v="2024-07-23T00:00:00"/>
    <x v="6"/>
    <n v="3"/>
    <s v="Gold"/>
    <s v="Service Booked"/>
    <n v="92945"/>
    <x v="4"/>
    <s v="King Street"/>
    <s v="Canberra"/>
    <n v="2600"/>
    <n v="250"/>
    <n v="750"/>
  </r>
  <r>
    <s v="Payne Zion"/>
    <s v="Resume (service fee)"/>
    <d v="2024-07-23T00:00:00"/>
    <x v="6"/>
    <n v="2"/>
    <s v="Silver"/>
    <s v="Service Booked"/>
    <n v="71866"/>
    <x v="7"/>
    <s v="Main Street"/>
    <s v="Alice Springs"/>
    <n v="870"/>
    <n v="600"/>
    <n v="1200"/>
  </r>
  <r>
    <s v="Stevenson Landon"/>
    <s v="LinkedIn profile"/>
    <d v="2024-07-24T00:00:00"/>
    <x v="6"/>
    <n v="2"/>
    <s v="Silver"/>
    <s v="Delivered"/>
    <n v="23259"/>
    <x v="7"/>
    <s v="Park Avenue"/>
    <s v="Darwin"/>
    <n v="800"/>
    <n v="300"/>
    <n v="600"/>
  </r>
  <r>
    <s v="Haley Haisley"/>
    <s v="Mentoring program"/>
    <d v="2024-07-24T00:00:00"/>
    <x v="6"/>
    <n v="3"/>
    <s v="Gold"/>
    <s v="Delivered"/>
    <n v="86651"/>
    <x v="4"/>
    <s v="George Street"/>
    <s v="Canberra"/>
    <n v="2600"/>
    <n v="1200"/>
    <n v="3600"/>
  </r>
  <r>
    <s v="Cordova Russell"/>
    <s v="Interview Prep"/>
    <d v="2024-07-24T00:00:00"/>
    <x v="6"/>
    <n v="1"/>
    <s v="Bronze"/>
    <s v="Delivered"/>
    <n v="63263"/>
    <x v="5"/>
    <s v="King Street"/>
    <s v="Ballarat"/>
    <n v="3350"/>
    <n v="250"/>
    <n v="250"/>
  </r>
  <r>
    <s v="Gould Lyra"/>
    <s v="Networking Strategy"/>
    <d v="2024-07-25T00:00:00"/>
    <x v="6"/>
    <n v="1"/>
    <s v="Bronze"/>
    <s v="Cancelled"/>
    <n v="92951"/>
    <x v="7"/>
    <s v="Elizabeth Street"/>
    <s v="Darwin"/>
    <n v="800"/>
    <n v="250"/>
    <n v="250"/>
  </r>
  <r>
    <s v="Kane Nolan"/>
    <s v="Resume (service fee)"/>
    <d v="2024-07-25T00:00:00"/>
    <x v="6"/>
    <n v="2"/>
    <s v="Silver"/>
    <s v="Service Booked"/>
    <n v="3562"/>
    <x v="6"/>
    <s v="George Street"/>
    <s v="Hobart"/>
    <n v="7000"/>
    <n v="600"/>
    <n v="1200"/>
  </r>
  <r>
    <s v="Ryan Maisie"/>
    <s v="Networking Strategy"/>
    <d v="2024-07-25T00:00:00"/>
    <x v="6"/>
    <n v="2"/>
    <s v="Silver"/>
    <s v="Cancelled"/>
    <n v="10471"/>
    <x v="7"/>
    <s v="George Street"/>
    <s v="Darwin"/>
    <n v="800"/>
    <n v="250"/>
    <n v="500"/>
  </r>
  <r>
    <s v="Hodge Luke"/>
    <s v="Mentoring program"/>
    <d v="2024-07-25T00:00:00"/>
    <x v="6"/>
    <n v="1"/>
    <s v="Bronze"/>
    <s v="Delivered"/>
    <n v="61286"/>
    <x v="3"/>
    <s v="Park Avenue"/>
    <s v="Perth"/>
    <n v="6000"/>
    <n v="1200"/>
    <n v="1200"/>
  </r>
  <r>
    <s v="Carpenter Bodie"/>
    <s v="Networking Strategy"/>
    <d v="2024-07-26T00:00:00"/>
    <x v="6"/>
    <n v="3"/>
    <s v="Gold"/>
    <s v="Delivered"/>
    <n v="36175"/>
    <x v="3"/>
    <s v="Main Street"/>
    <s v="Broome"/>
    <n v="6725"/>
    <n v="250"/>
    <n v="750"/>
  </r>
  <r>
    <s v="Duncan Maryam"/>
    <s v="LinkedIn profile"/>
    <d v="2024-07-26T00:00:00"/>
    <x v="6"/>
    <n v="3"/>
    <s v="Gold"/>
    <s v="Delivered"/>
    <n v="19848"/>
    <x v="3"/>
    <s v="King Street"/>
    <s v="Perth"/>
    <n v="6000"/>
    <n v="300"/>
    <n v="900"/>
  </r>
  <r>
    <s v="Butler Natalie"/>
    <s v="LinkedIn profile"/>
    <d v="2024-07-26T00:00:00"/>
    <x v="6"/>
    <n v="3"/>
    <s v="Gold"/>
    <s v="Service Booked"/>
    <n v="53445"/>
    <x v="7"/>
    <s v="George Street"/>
    <s v="Darwin"/>
    <n v="800"/>
    <n v="300"/>
    <n v="900"/>
  </r>
  <r>
    <s v="Powell Brooke"/>
    <s v="LinkedIn profile"/>
    <d v="2024-07-27T00:00:00"/>
    <x v="6"/>
    <n v="3"/>
    <s v="Gold"/>
    <s v="Delivered"/>
    <n v="76884"/>
    <x v="7"/>
    <s v="Park Avenue"/>
    <s v="Alice Springs"/>
    <n v="870"/>
    <n v="300"/>
    <n v="900"/>
  </r>
  <r>
    <s v="Lynch Xander"/>
    <s v="Mentoring program"/>
    <d v="2024-07-27T00:00:00"/>
    <x v="6"/>
    <n v="1"/>
    <s v="Bronze"/>
    <s v="Service Booked"/>
    <n v="93495"/>
    <x v="6"/>
    <s v="Elizabeth Street"/>
    <s v="Launceston"/>
    <n v="7250"/>
    <n v="1200"/>
    <n v="1200"/>
  </r>
  <r>
    <s v="Ayers Amaya"/>
    <s v="Networking Strategy"/>
    <d v="2024-07-27T00:00:00"/>
    <x v="6"/>
    <n v="2"/>
    <s v="Silver"/>
    <s v="Service Booked"/>
    <n v="18409"/>
    <x v="3"/>
    <s v="King Street"/>
    <s v="Perth"/>
    <n v="6000"/>
    <n v="250"/>
    <n v="500"/>
  </r>
  <r>
    <s v="Farrell Raelynn"/>
    <s v="Networking Strategy"/>
    <d v="2024-07-27T00:00:00"/>
    <x v="6"/>
    <n v="1"/>
    <s v="Bronze"/>
    <s v="Service Booked"/>
    <n v="26830"/>
    <x v="6"/>
    <s v="Elizabeth Street"/>
    <s v="Devonport"/>
    <n v="7310"/>
    <n v="250"/>
    <n v="250"/>
  </r>
  <r>
    <s v="Portillo Logan"/>
    <s v="Resume + LinkedIn Profile"/>
    <d v="2024-07-28T00:00:00"/>
    <x v="6"/>
    <n v="3"/>
    <s v="Gold"/>
    <s v="Delivered"/>
    <n v="2471"/>
    <x v="2"/>
    <s v="George Street"/>
    <s v="Cairns"/>
    <n v="4870"/>
    <n v="800"/>
    <n v="2400"/>
  </r>
  <r>
    <s v="Ávila Karson"/>
    <s v="Interview Prep"/>
    <d v="2024-07-28T00:00:00"/>
    <x v="6"/>
    <n v="2"/>
    <s v="Silver"/>
    <s v="Cancelled"/>
    <n v="14632"/>
    <x v="0"/>
    <s v="Main Street"/>
    <s v="Adelaide"/>
    <n v="5000"/>
    <n v="250"/>
    <n v="500"/>
  </r>
  <r>
    <s v="Sanford Caroline"/>
    <s v="LinkedIn profile"/>
    <d v="2024-07-28T00:00:00"/>
    <x v="6"/>
    <n v="2"/>
    <s v="Silver"/>
    <s v="Delivered"/>
    <n v="49736"/>
    <x v="1"/>
    <s v="Park Avenue"/>
    <s v="Wollongong"/>
    <n v="2500"/>
    <n v="300"/>
    <n v="600"/>
  </r>
  <r>
    <s v="Steele Briella"/>
    <s v="Resume (service fee)"/>
    <d v="2024-07-29T00:00:00"/>
    <x v="6"/>
    <n v="2"/>
    <s v="Silver"/>
    <s v="Service Booked"/>
    <n v="94366"/>
    <x v="6"/>
    <s v="Main Street"/>
    <s v="Devonport"/>
    <n v="7310"/>
    <n v="600"/>
    <n v="1200"/>
  </r>
  <r>
    <s v="West Kashton"/>
    <s v="Resume + LinkedIn Profile"/>
    <d v="2024-07-29T00:00:00"/>
    <x v="6"/>
    <n v="3"/>
    <s v="Gold"/>
    <s v="Delivered"/>
    <n v="22837"/>
    <x v="7"/>
    <s v="Park Avenue"/>
    <s v="Alice Springs"/>
    <n v="870"/>
    <n v="800"/>
    <n v="2400"/>
  </r>
  <r>
    <s v="Pierce Bianca"/>
    <s v="Interview Prep"/>
    <d v="2024-07-30T00:00:00"/>
    <x v="6"/>
    <n v="2"/>
    <s v="Silver"/>
    <s v="Cancelled"/>
    <n v="40529"/>
    <x v="5"/>
    <s v="Park Avenue"/>
    <s v="Melbourne"/>
    <n v="3000"/>
    <n v="250"/>
    <n v="500"/>
  </r>
  <r>
    <s v="Schroeder Destiny"/>
    <s v="Interview Prep"/>
    <d v="2024-07-30T00:00:00"/>
    <x v="6"/>
    <n v="1"/>
    <s v="Bronze"/>
    <s v="Delivered"/>
    <n v="36180"/>
    <x v="6"/>
    <s v="Park Avenue"/>
    <s v="Hobart"/>
    <n v="7000"/>
    <n v="250"/>
    <n v="250"/>
  </r>
  <r>
    <s v="Roth Ximena"/>
    <s v="Resume + LinkedIn Profile"/>
    <d v="2024-07-30T00:00:00"/>
    <x v="6"/>
    <n v="1"/>
    <s v="Bronze"/>
    <s v="Delivered"/>
    <n v="15053"/>
    <x v="7"/>
    <s v="George Street"/>
    <s v="Darwin"/>
    <n v="800"/>
    <n v="800"/>
    <n v="800"/>
  </r>
  <r>
    <s v="Enriquez Shiloh"/>
    <s v="Mentoring program"/>
    <d v="2024-07-30T00:00:00"/>
    <x v="6"/>
    <n v="1"/>
    <s v="Bronze"/>
    <s v="In Progress"/>
    <n v="20837"/>
    <x v="5"/>
    <s v="George Street"/>
    <s v="Geelong"/>
    <n v="3220"/>
    <n v="1200"/>
    <n v="1200"/>
  </r>
  <r>
    <s v="Moses Gabriella"/>
    <s v="Interview Prep"/>
    <d v="2024-07-30T00:00:00"/>
    <x v="6"/>
    <n v="1"/>
    <s v="Bronze"/>
    <s v="Cancelled"/>
    <n v="97966"/>
    <x v="1"/>
    <s v="Park Avenue"/>
    <s v="Newcastle"/>
    <n v="2300"/>
    <n v="250"/>
    <n v="250"/>
  </r>
  <r>
    <s v="Peters Selah"/>
    <s v="LinkedIn profile"/>
    <d v="2024-07-31T00:00:00"/>
    <x v="6"/>
    <n v="1"/>
    <s v="Bronze"/>
    <s v="Delivered"/>
    <n v="19032"/>
    <x v="6"/>
    <s v="George Street"/>
    <s v="Devonport"/>
    <n v="7310"/>
    <n v="300"/>
    <n v="300"/>
  </r>
  <r>
    <s v="Hester Alora"/>
    <s v="Networking Strategy"/>
    <d v="2024-07-31T00:00:00"/>
    <x v="6"/>
    <n v="3"/>
    <s v="Gold"/>
    <s v="In Progress"/>
    <n v="28167"/>
    <x v="1"/>
    <s v="Elizabeth Street"/>
    <s v="Newcastle"/>
    <n v="2300"/>
    <n v="250"/>
    <n v="750"/>
  </r>
  <r>
    <s v="Brandt Legacy"/>
    <s v="Networking Strategy"/>
    <d v="2024-07-31T00:00:00"/>
    <x v="6"/>
    <n v="2"/>
    <s v="Silver"/>
    <s v="In Progress"/>
    <n v="68218"/>
    <x v="2"/>
    <s v="King Street"/>
    <s v="Gold Coast"/>
    <n v="4217"/>
    <n v="250"/>
    <n v="500"/>
  </r>
  <r>
    <s v="Blevins Madilyn"/>
    <s v="Networking Strategy"/>
    <d v="2024-08-01T00:00:00"/>
    <x v="7"/>
    <n v="2"/>
    <s v="Silver"/>
    <s v="Delivered"/>
    <n v="67995"/>
    <x v="0"/>
    <s v="Park Avenue"/>
    <s v="Adelaide"/>
    <n v="5000"/>
    <n v="250"/>
    <n v="500"/>
  </r>
  <r>
    <s v="Randolph Joaquin"/>
    <s v="Resume (service fee)"/>
    <d v="2024-08-01T00:00:00"/>
    <x v="7"/>
    <n v="2"/>
    <s v="Silver"/>
    <s v="Delivered"/>
    <n v="40096"/>
    <x v="2"/>
    <s v="George Street"/>
    <s v="Gold Coast"/>
    <n v="4217"/>
    <n v="600"/>
    <n v="1200"/>
  </r>
  <r>
    <s v="Nolan Cooper"/>
    <s v="Resume + LinkedIn Profile"/>
    <d v="2024-08-01T00:00:00"/>
    <x v="7"/>
    <n v="2"/>
    <s v="Silver"/>
    <s v="Service Booked"/>
    <n v="4083"/>
    <x v="7"/>
    <s v="Elizabeth Street"/>
    <s v="Darwin"/>
    <n v="800"/>
    <n v="800"/>
    <n v="1600"/>
  </r>
  <r>
    <s v="Daniels Lilith"/>
    <s v="Resume (service fee)"/>
    <d v="2024-08-01T00:00:00"/>
    <x v="7"/>
    <n v="3"/>
    <s v="Gold"/>
    <s v="Service Booked"/>
    <n v="63374"/>
    <x v="0"/>
    <s v="Main Street"/>
    <s v="Adelaide"/>
    <n v="5000"/>
    <n v="600"/>
    <n v="1800"/>
  </r>
  <r>
    <s v="Beard Garrett"/>
    <s v="Interview Prep"/>
    <d v="2024-08-01T00:00:00"/>
    <x v="7"/>
    <n v="3"/>
    <s v="Gold"/>
    <s v="Service Booked"/>
    <n v="98012"/>
    <x v="3"/>
    <s v="Park Avenue"/>
    <s v="Perth"/>
    <n v="6000"/>
    <n v="250"/>
    <n v="750"/>
  </r>
  <r>
    <s v="Boone Rose"/>
    <s v="Networking Strategy"/>
    <d v="2024-08-01T00:00:00"/>
    <x v="7"/>
    <n v="2"/>
    <s v="Silver"/>
    <s v="Service Booked"/>
    <n v="79497"/>
    <x v="4"/>
    <s v="King Street"/>
    <s v="Canberra"/>
    <n v="2600"/>
    <n v="250"/>
    <n v="500"/>
  </r>
  <r>
    <s v="Cordova Garrett"/>
    <s v="Mentoring program"/>
    <d v="2024-08-01T00:00:00"/>
    <x v="7"/>
    <n v="1"/>
    <s v="Bronze"/>
    <s v="Delivered"/>
    <n v="6792"/>
    <x v="6"/>
    <s v="Main Street"/>
    <s v="Devonport"/>
    <n v="7310"/>
    <n v="1200"/>
    <n v="1200"/>
  </r>
  <r>
    <s v="Johnston Rebecca"/>
    <s v="Mentoring program"/>
    <d v="2024-08-02T00:00:00"/>
    <x v="7"/>
    <n v="3"/>
    <s v="Gold"/>
    <s v="Delivered"/>
    <n v="85432"/>
    <x v="7"/>
    <s v="George Street"/>
    <s v="Darwin"/>
    <n v="800"/>
    <n v="1200"/>
    <n v="3600"/>
  </r>
  <r>
    <s v="Jacobson Ariah"/>
    <s v="Interview Prep"/>
    <d v="2024-08-02T00:00:00"/>
    <x v="7"/>
    <n v="1"/>
    <s v="Bronze"/>
    <s v="Service Booked"/>
    <n v="4169"/>
    <x v="0"/>
    <s v="Elizabeth Street"/>
    <s v="Adelaide"/>
    <n v="5000"/>
    <n v="250"/>
    <n v="250"/>
  </r>
  <r>
    <s v="House Willow"/>
    <s v="LinkedIn profile"/>
    <d v="2024-08-02T00:00:00"/>
    <x v="7"/>
    <n v="3"/>
    <s v="Gold"/>
    <s v="Delivered"/>
    <n v="18201"/>
    <x v="5"/>
    <s v="Elizabeth Street"/>
    <s v="Melbourne"/>
    <n v="3000"/>
    <n v="300"/>
    <n v="900"/>
  </r>
  <r>
    <s v="Costa Brynlee"/>
    <s v="Networking Strategy"/>
    <d v="2024-08-03T00:00:00"/>
    <x v="7"/>
    <n v="1"/>
    <s v="Bronze"/>
    <s v="Service Booked"/>
    <n v="36000"/>
    <x v="2"/>
    <s v="Elizabeth Street"/>
    <s v="Brisbane"/>
    <n v="4000"/>
    <n v="250"/>
    <n v="250"/>
  </r>
  <r>
    <s v="Frazier Genesis"/>
    <s v="Networking Strategy"/>
    <d v="2024-08-03T00:00:00"/>
    <x v="7"/>
    <n v="2"/>
    <s v="Silver"/>
    <s v="Delivered"/>
    <n v="42214"/>
    <x v="4"/>
    <s v="George Street"/>
    <s v="Canberra"/>
    <n v="2600"/>
    <n v="250"/>
    <n v="500"/>
  </r>
  <r>
    <s v="Walker Saige"/>
    <s v="Resume (service fee)"/>
    <d v="2024-08-03T00:00:00"/>
    <x v="7"/>
    <n v="1"/>
    <s v="Bronze"/>
    <s v="Delivered"/>
    <n v="39758"/>
    <x v="7"/>
    <s v="Elizabeth Street"/>
    <s v="Darwin"/>
    <n v="800"/>
    <n v="600"/>
    <n v="600"/>
  </r>
  <r>
    <s v="Eaton Violet"/>
    <s v="Networking Strategy"/>
    <d v="2024-08-04T00:00:00"/>
    <x v="7"/>
    <n v="3"/>
    <s v="Gold"/>
    <s v="Service Booked"/>
    <n v="41634"/>
    <x v="4"/>
    <s v="Elizabeth Street"/>
    <s v="Canberra"/>
    <n v="2600"/>
    <n v="250"/>
    <n v="750"/>
  </r>
  <r>
    <s v="Cherry Diego"/>
    <s v="LinkedIn profile"/>
    <d v="2024-08-06T00:00:00"/>
    <x v="7"/>
    <n v="2"/>
    <s v="Silver"/>
    <s v="Service Booked"/>
    <n v="68827"/>
    <x v="5"/>
    <s v="Main Street"/>
    <s v="Ballarat"/>
    <n v="3350"/>
    <n v="300"/>
    <n v="600"/>
  </r>
  <r>
    <s v="Crosby Talia"/>
    <s v="LinkedIn profile"/>
    <d v="2024-08-06T00:00:00"/>
    <x v="7"/>
    <n v="2"/>
    <s v="Silver"/>
    <s v="Service Booked"/>
    <n v="60196"/>
    <x v="4"/>
    <s v="George Street"/>
    <s v="Canberra"/>
    <n v="2600"/>
    <n v="300"/>
    <n v="600"/>
  </r>
  <r>
    <s v="Avalos Alan"/>
    <s v="Resume + LinkedIn Profile"/>
    <d v="2024-08-06T00:00:00"/>
    <x v="7"/>
    <n v="2"/>
    <s v="Silver"/>
    <s v="Service Booked"/>
    <n v="55153"/>
    <x v="1"/>
    <s v="Park Avenue"/>
    <s v="Newcastle"/>
    <n v="2300"/>
    <n v="800"/>
    <n v="1600"/>
  </r>
  <r>
    <s v="Combs Alonzo"/>
    <s v="Interview Prep"/>
    <d v="2024-08-07T00:00:00"/>
    <x v="7"/>
    <n v="1"/>
    <s v="Bronze"/>
    <s v="In Progress"/>
    <n v="80513"/>
    <x v="5"/>
    <s v="George Street"/>
    <s v="Geelong"/>
    <n v="3220"/>
    <n v="250"/>
    <n v="250"/>
  </r>
  <r>
    <s v="Dawson Alyssa"/>
    <s v="Networking Strategy"/>
    <d v="2024-08-07T00:00:00"/>
    <x v="7"/>
    <n v="3"/>
    <s v="Gold"/>
    <s v="Delivered"/>
    <n v="10329"/>
    <x v="3"/>
    <s v="George Street"/>
    <s v="Fremantle"/>
    <n v="6160"/>
    <n v="250"/>
    <n v="750"/>
  </r>
  <r>
    <s v="Case Atticus"/>
    <s v="Interview Prep"/>
    <d v="2024-08-07T00:00:00"/>
    <x v="7"/>
    <n v="1"/>
    <s v="Bronze"/>
    <s v="Service Booked"/>
    <n v="27719"/>
    <x v="0"/>
    <s v="Elizabeth Street"/>
    <s v="Mount Gambier"/>
    <n v="5290"/>
    <n v="250"/>
    <n v="250"/>
  </r>
  <r>
    <s v="Daugherty Maria"/>
    <s v="LinkedIn profile"/>
    <d v="2024-08-07T00:00:00"/>
    <x v="7"/>
    <n v="3"/>
    <s v="Gold"/>
    <s v="Delivered"/>
    <n v="77835"/>
    <x v="7"/>
    <s v="Park Avenue"/>
    <s v="Alice Springs"/>
    <n v="870"/>
    <n v="300"/>
    <n v="900"/>
  </r>
  <r>
    <s v="Cisneros Sabrina"/>
    <s v="Resume + LinkedIn Profile"/>
    <d v="2024-08-07T00:00:00"/>
    <x v="7"/>
    <n v="2"/>
    <s v="Silver"/>
    <s v="Cancelled"/>
    <n v="73258"/>
    <x v="2"/>
    <s v="Main Street"/>
    <s v="Cairns"/>
    <n v="4870"/>
    <n v="800"/>
    <n v="1600"/>
  </r>
  <r>
    <s v="Medina Reese"/>
    <s v="Resume (service fee)"/>
    <d v="2024-08-08T00:00:00"/>
    <x v="7"/>
    <n v="1"/>
    <s v="Bronze"/>
    <s v="Cancelled"/>
    <n v="45307"/>
    <x v="5"/>
    <s v="Park Avenue"/>
    <s v="Melbourne"/>
    <n v="3000"/>
    <n v="600"/>
    <n v="600"/>
  </r>
  <r>
    <s v="Herman Walter"/>
    <s v="Resume (service fee)"/>
    <d v="2024-08-09T00:00:00"/>
    <x v="7"/>
    <n v="3"/>
    <s v="Gold"/>
    <s v="Service Booked"/>
    <n v="53570"/>
    <x v="1"/>
    <s v="George Street"/>
    <s v="Sydney"/>
    <n v="2000"/>
    <n v="600"/>
    <n v="1800"/>
  </r>
  <r>
    <s v="Mason Jude"/>
    <s v="Networking Strategy"/>
    <d v="2024-08-10T00:00:00"/>
    <x v="7"/>
    <n v="3"/>
    <s v="Gold"/>
    <s v="Service Booked"/>
    <n v="70539"/>
    <x v="5"/>
    <s v="King Street"/>
    <s v="Melbourne"/>
    <n v="3000"/>
    <n v="250"/>
    <n v="750"/>
  </r>
  <r>
    <s v="Blackwell Adalynn"/>
    <s v="Networking Strategy"/>
    <d v="2024-08-10T00:00:00"/>
    <x v="7"/>
    <n v="3"/>
    <s v="Gold"/>
    <s v="Delivered"/>
    <n v="30012"/>
    <x v="6"/>
    <s v="George Street"/>
    <s v="Hobart"/>
    <n v="7000"/>
    <n v="250"/>
    <n v="750"/>
  </r>
  <r>
    <s v="Thompson Kayden"/>
    <s v="Mentoring program"/>
    <d v="2024-08-10T00:00:00"/>
    <x v="7"/>
    <n v="2"/>
    <s v="Silver"/>
    <s v="Delivered"/>
    <n v="17340"/>
    <x v="1"/>
    <s v="Elizabeth Street"/>
    <s v="Sydney"/>
    <n v="2000"/>
    <n v="1200"/>
    <n v="2400"/>
  </r>
  <r>
    <s v="Weber Laura"/>
    <s v="Mentoring program"/>
    <d v="2024-08-11T00:00:00"/>
    <x v="7"/>
    <n v="3"/>
    <s v="Gold"/>
    <s v="Cancelled"/>
    <n v="29797"/>
    <x v="4"/>
    <s v="George Street"/>
    <s v="Canberra"/>
    <n v="2600"/>
    <n v="1200"/>
    <n v="3600"/>
  </r>
  <r>
    <s v="Durham William"/>
    <s v="Resume + LinkedIn Profile"/>
    <d v="2024-08-11T00:00:00"/>
    <x v="7"/>
    <n v="3"/>
    <s v="Gold"/>
    <s v="Delivered"/>
    <n v="27137"/>
    <x v="4"/>
    <s v="Elizabeth Street"/>
    <s v="Canberra"/>
    <n v="2600"/>
    <n v="800"/>
    <n v="2400"/>
  </r>
  <r>
    <s v="Brooks Zara"/>
    <s v="Interview Prep"/>
    <d v="2024-08-11T00:00:00"/>
    <x v="7"/>
    <n v="2"/>
    <s v="Silver"/>
    <s v="Delivered"/>
    <n v="13000"/>
    <x v="1"/>
    <s v="Main Street"/>
    <s v="Wollongong"/>
    <n v="2500"/>
    <n v="250"/>
    <n v="500"/>
  </r>
  <r>
    <s v="Cook Collin"/>
    <s v="Networking Strategy"/>
    <d v="2024-08-12T00:00:00"/>
    <x v="7"/>
    <n v="2"/>
    <s v="Silver"/>
    <s v="Cancelled"/>
    <n v="15349"/>
    <x v="3"/>
    <s v="Main Street"/>
    <s v="Perth"/>
    <n v="6000"/>
    <n v="250"/>
    <n v="500"/>
  </r>
  <r>
    <s v="Owens Josephine"/>
    <s v="Mentoring program"/>
    <d v="2024-08-12T00:00:00"/>
    <x v="7"/>
    <n v="2"/>
    <s v="Silver"/>
    <s v="Delivered"/>
    <n v="74168"/>
    <x v="4"/>
    <s v="Park Avenue"/>
    <s v="Canberra"/>
    <n v="2600"/>
    <n v="1200"/>
    <n v="2400"/>
  </r>
  <r>
    <s v="Anderson Kade"/>
    <s v="Resume (service fee)"/>
    <d v="2024-08-12T00:00:00"/>
    <x v="7"/>
    <n v="2"/>
    <s v="Silver"/>
    <s v="Service Booked"/>
    <n v="64581"/>
    <x v="3"/>
    <s v="Park Avenue"/>
    <s v="Fremantle"/>
    <n v="6160"/>
    <n v="600"/>
    <n v="1200"/>
  </r>
  <r>
    <s v="Fuentes Rylee"/>
    <s v="Networking Strategy"/>
    <d v="2024-08-13T00:00:00"/>
    <x v="7"/>
    <n v="3"/>
    <s v="Gold"/>
    <s v="Delivered"/>
    <n v="65429"/>
    <x v="7"/>
    <s v="Park Avenue"/>
    <s v="Darwin"/>
    <n v="800"/>
    <n v="250"/>
    <n v="750"/>
  </r>
  <r>
    <s v="Burgess Alexandria"/>
    <s v="Resume (service fee)"/>
    <d v="2024-08-13T00:00:00"/>
    <x v="7"/>
    <n v="1"/>
    <s v="Bronze"/>
    <s v="Service Booked"/>
    <n v="36909"/>
    <x v="1"/>
    <s v="George Street"/>
    <s v="Wollongong"/>
    <n v="2500"/>
    <n v="600"/>
    <n v="600"/>
  </r>
  <r>
    <s v="Jefferson Delaney"/>
    <s v="Resume + LinkedIn Profile"/>
    <d v="2024-08-13T00:00:00"/>
    <x v="7"/>
    <n v="3"/>
    <s v="Gold"/>
    <s v="Delivered"/>
    <n v="77541"/>
    <x v="2"/>
    <s v="Elizabeth Street"/>
    <s v="Brisbane"/>
    <n v="4000"/>
    <n v="800"/>
    <n v="2400"/>
  </r>
  <r>
    <s v="Woodard Ari"/>
    <s v="LinkedIn profile"/>
    <d v="2024-08-14T00:00:00"/>
    <x v="7"/>
    <n v="3"/>
    <s v="Gold"/>
    <s v="Service Booked"/>
    <n v="71136"/>
    <x v="2"/>
    <s v="Elizabeth Street"/>
    <s v="Gold Coast"/>
    <n v="4217"/>
    <n v="300"/>
    <n v="900"/>
  </r>
  <r>
    <s v="Guerra Edgar"/>
    <s v="LinkedIn profile"/>
    <d v="2024-08-14T00:00:00"/>
    <x v="7"/>
    <n v="2"/>
    <s v="Silver"/>
    <s v="Delivered"/>
    <n v="77866"/>
    <x v="7"/>
    <s v="Elizabeth Street"/>
    <s v="Alice Springs"/>
    <n v="870"/>
    <n v="300"/>
    <n v="600"/>
  </r>
  <r>
    <s v="English Jordan"/>
    <s v="Networking Strategy"/>
    <d v="2024-08-14T00:00:00"/>
    <x v="7"/>
    <n v="2"/>
    <s v="Silver"/>
    <s v="Delivered"/>
    <n v="58474"/>
    <x v="6"/>
    <s v="George Street"/>
    <s v="Hobart"/>
    <n v="7000"/>
    <n v="250"/>
    <n v="500"/>
  </r>
  <r>
    <s v="Mcintosh Luna"/>
    <s v="Interview Prep"/>
    <d v="2024-08-14T00:00:00"/>
    <x v="7"/>
    <n v="2"/>
    <s v="Silver"/>
    <s v="Delivered"/>
    <n v="91954"/>
    <x v="0"/>
    <s v="King Street"/>
    <s v="Whyalla"/>
    <n v="5600"/>
    <n v="250"/>
    <n v="500"/>
  </r>
  <r>
    <s v="Peck Sophie"/>
    <s v="Interview Prep"/>
    <d v="2024-08-14T00:00:00"/>
    <x v="7"/>
    <n v="2"/>
    <s v="Silver"/>
    <s v="Delivered"/>
    <n v="26157"/>
    <x v="5"/>
    <s v="Elizabeth Street"/>
    <s v="Ballarat"/>
    <n v="3350"/>
    <n v="250"/>
    <n v="500"/>
  </r>
  <r>
    <s v="Holmes Bentley"/>
    <s v="LinkedIn profile"/>
    <d v="2024-08-14T00:00:00"/>
    <x v="7"/>
    <n v="2"/>
    <s v="Silver"/>
    <s v="Service Booked"/>
    <n v="42213"/>
    <x v="7"/>
    <s v="Park Avenue"/>
    <s v="Darwin"/>
    <n v="800"/>
    <n v="300"/>
    <n v="600"/>
  </r>
  <r>
    <s v="Jaramillo Emanuel"/>
    <s v="Resume + LinkedIn Profile"/>
    <d v="2024-08-15T00:00:00"/>
    <x v="7"/>
    <n v="2"/>
    <s v="Silver"/>
    <s v="Service Booked"/>
    <n v="76265"/>
    <x v="5"/>
    <s v="Park Avenue"/>
    <s v="Geelong"/>
    <n v="3220"/>
    <n v="800"/>
    <n v="1600"/>
  </r>
  <r>
    <s v="Newman Celine"/>
    <s v="Networking Strategy"/>
    <d v="2024-08-15T00:00:00"/>
    <x v="7"/>
    <n v="2"/>
    <s v="Silver"/>
    <s v="Delivered"/>
    <n v="75213"/>
    <x v="3"/>
    <s v="Main Street"/>
    <s v="Fremantle"/>
    <n v="6160"/>
    <n v="250"/>
    <n v="500"/>
  </r>
  <r>
    <s v="Strong Oaklee"/>
    <s v="Mentoring program"/>
    <d v="2024-08-15T00:00:00"/>
    <x v="7"/>
    <n v="3"/>
    <s v="Gold"/>
    <s v="Delivered"/>
    <n v="28845"/>
    <x v="4"/>
    <s v="Elizabeth Street"/>
    <s v="Canberra"/>
    <n v="2600"/>
    <n v="1200"/>
    <n v="3600"/>
  </r>
  <r>
    <s v="Norman Stephanie"/>
    <s v="Mentoring program"/>
    <d v="2024-08-15T00:00:00"/>
    <x v="7"/>
    <n v="1"/>
    <s v="Bronze"/>
    <s v="Delivered"/>
    <n v="41937"/>
    <x v="4"/>
    <s v="Main Street"/>
    <s v="Canberra"/>
    <n v="2600"/>
    <n v="1200"/>
    <n v="1200"/>
  </r>
  <r>
    <s v="Solis Mary"/>
    <s v="Mentoring program"/>
    <d v="2024-08-16T00:00:00"/>
    <x v="7"/>
    <n v="1"/>
    <s v="Bronze"/>
    <s v="Service Booked"/>
    <n v="77843"/>
    <x v="1"/>
    <s v="Main Street"/>
    <s v="Newcastle"/>
    <n v="2300"/>
    <n v="1200"/>
    <n v="1200"/>
  </r>
  <r>
    <s v="Monroe Marco"/>
    <s v="Networking Strategy"/>
    <d v="2024-08-16T00:00:00"/>
    <x v="7"/>
    <n v="2"/>
    <s v="Silver"/>
    <s v="Delivered"/>
    <n v="24900"/>
    <x v="2"/>
    <s v="Elizabeth Street"/>
    <s v="Brisbane"/>
    <n v="4000"/>
    <n v="250"/>
    <n v="500"/>
  </r>
  <r>
    <s v="Weiss Gideon"/>
    <s v="Interview Prep"/>
    <d v="2024-08-16T00:00:00"/>
    <x v="7"/>
    <n v="3"/>
    <s v="Gold"/>
    <s v="Delivered"/>
    <n v="87817"/>
    <x v="2"/>
    <s v="Park Avenue"/>
    <s v="Brisbane"/>
    <n v="4000"/>
    <n v="250"/>
    <n v="750"/>
  </r>
  <r>
    <s v="Scott Bodie"/>
    <s v="LinkedIn profile"/>
    <d v="2024-08-16T00:00:00"/>
    <x v="7"/>
    <n v="1"/>
    <s v="Bronze"/>
    <s v="In Progress"/>
    <n v="95555"/>
    <x v="1"/>
    <s v="King Street"/>
    <s v="Sydney"/>
    <n v="2000"/>
    <n v="300"/>
    <n v="300"/>
  </r>
  <r>
    <s v="Salazar Jeremy"/>
    <s v="Resume + LinkedIn Profile"/>
    <d v="2024-08-17T00:00:00"/>
    <x v="7"/>
    <n v="2"/>
    <s v="Silver"/>
    <s v="Service Booked"/>
    <n v="21614"/>
    <x v="0"/>
    <s v="King Street"/>
    <s v="Whyalla"/>
    <n v="5600"/>
    <n v="800"/>
    <n v="1600"/>
  </r>
  <r>
    <s v="Newton Alessia"/>
    <s v="Interview Prep"/>
    <d v="2024-08-17T00:00:00"/>
    <x v="7"/>
    <n v="1"/>
    <s v="Bronze"/>
    <s v="Service Booked"/>
    <n v="77163"/>
    <x v="2"/>
    <s v="Elizabeth Street"/>
    <s v="Gold Coast"/>
    <n v="4217"/>
    <n v="250"/>
    <n v="250"/>
  </r>
  <r>
    <s v="Phillips Frederick"/>
    <s v="Resume + LinkedIn Profile"/>
    <d v="2024-08-18T00:00:00"/>
    <x v="7"/>
    <n v="1"/>
    <s v="Bronze"/>
    <s v="Delivered"/>
    <n v="29696"/>
    <x v="4"/>
    <s v="Park Avenue"/>
    <s v="Canberra"/>
    <n v="2600"/>
    <n v="800"/>
    <n v="800"/>
  </r>
  <r>
    <s v="French Genesis"/>
    <s v="Mentoring program"/>
    <d v="2024-08-19T00:00:00"/>
    <x v="7"/>
    <n v="2"/>
    <s v="Silver"/>
    <s v="Service Booked"/>
    <n v="97310"/>
    <x v="0"/>
    <s v="Main Street"/>
    <s v="Whyalla"/>
    <n v="5600"/>
    <n v="1200"/>
    <n v="2400"/>
  </r>
  <r>
    <s v="Miles Declan"/>
    <s v="Interview Prep"/>
    <d v="2024-08-19T00:00:00"/>
    <x v="7"/>
    <n v="1"/>
    <s v="Bronze"/>
    <s v="Service Booked"/>
    <n v="36301"/>
    <x v="2"/>
    <s v="Elizabeth Street"/>
    <s v="Gold Coast"/>
    <n v="4217"/>
    <n v="250"/>
    <n v="250"/>
  </r>
  <r>
    <s v="Cabrera Kira"/>
    <s v="Mentoring program"/>
    <d v="2024-08-19T00:00:00"/>
    <x v="7"/>
    <n v="2"/>
    <s v="Silver"/>
    <s v="Delivered"/>
    <n v="65499"/>
    <x v="5"/>
    <s v="George Street"/>
    <s v="Ballarat"/>
    <n v="3350"/>
    <n v="1200"/>
    <n v="2400"/>
  </r>
  <r>
    <s v="Berry Colt"/>
    <s v="Networking Strategy"/>
    <d v="2024-08-20T00:00:00"/>
    <x v="7"/>
    <n v="2"/>
    <s v="Silver"/>
    <s v="In Progress"/>
    <n v="20473"/>
    <x v="6"/>
    <s v="Elizabeth Street"/>
    <s v="Hobart"/>
    <n v="7000"/>
    <n v="250"/>
    <n v="500"/>
  </r>
  <r>
    <s v="James Madison"/>
    <s v="Networking Strategy"/>
    <d v="2024-08-20T00:00:00"/>
    <x v="7"/>
    <n v="2"/>
    <s v="Silver"/>
    <s v="Delivered"/>
    <n v="52198"/>
    <x v="1"/>
    <s v="Elizabeth Street"/>
    <s v="Sydney"/>
    <n v="2000"/>
    <n v="250"/>
    <n v="500"/>
  </r>
  <r>
    <s v="Solis Kaleb"/>
    <s v="Interview Prep"/>
    <d v="2024-08-20T00:00:00"/>
    <x v="7"/>
    <n v="2"/>
    <s v="Silver"/>
    <s v="Delivered"/>
    <n v="94227"/>
    <x v="6"/>
    <s v="King Street"/>
    <s v="Devonport"/>
    <n v="7310"/>
    <n v="250"/>
    <n v="500"/>
  </r>
  <r>
    <s v="Kelly Gregory"/>
    <s v="Mentoring program"/>
    <d v="2024-08-21T00:00:00"/>
    <x v="7"/>
    <n v="1"/>
    <s v="Bronze"/>
    <s v="Service Booked"/>
    <n v="14352"/>
    <x v="6"/>
    <s v="George Street"/>
    <s v="Devonport"/>
    <n v="7310"/>
    <n v="1200"/>
    <n v="1200"/>
  </r>
  <r>
    <s v="Henderson Armani"/>
    <s v="Mentoring program"/>
    <d v="2024-08-21T00:00:00"/>
    <x v="7"/>
    <n v="3"/>
    <s v="Gold"/>
    <s v="Delivered"/>
    <n v="37317"/>
    <x v="2"/>
    <s v="Main Street"/>
    <s v="Cairns"/>
    <n v="4870"/>
    <n v="1200"/>
    <n v="3600"/>
  </r>
  <r>
    <s v="Bennett Josue"/>
    <s v="Resume + LinkedIn Profile"/>
    <d v="2024-08-21T00:00:00"/>
    <x v="7"/>
    <n v="2"/>
    <s v="Silver"/>
    <s v="Service Booked"/>
    <n v="16418"/>
    <x v="3"/>
    <s v="Park Avenue"/>
    <s v="Perth"/>
    <n v="6000"/>
    <n v="800"/>
    <n v="1600"/>
  </r>
  <r>
    <s v="Mathis Greyson"/>
    <s v="LinkedIn profile"/>
    <d v="2024-08-21T00:00:00"/>
    <x v="7"/>
    <n v="1"/>
    <s v="Bronze"/>
    <s v="In Progress"/>
    <n v="78427"/>
    <x v="1"/>
    <s v="George Street"/>
    <s v="Wollongong"/>
    <n v="2500"/>
    <n v="300"/>
    <n v="300"/>
  </r>
  <r>
    <s v="Nash Alyssa"/>
    <s v="Networking Strategy"/>
    <d v="2024-08-21T00:00:00"/>
    <x v="7"/>
    <n v="1"/>
    <s v="Bronze"/>
    <s v="In Progress"/>
    <n v="59813"/>
    <x v="2"/>
    <s v="Main Street"/>
    <s v="Gold Coast"/>
    <n v="4217"/>
    <n v="250"/>
    <n v="250"/>
  </r>
  <r>
    <s v="Kline Lana"/>
    <s v="Resume (service fee)"/>
    <d v="2024-08-22T00:00:00"/>
    <x v="7"/>
    <n v="2"/>
    <s v="Silver"/>
    <s v="In Progress"/>
    <n v="57972"/>
    <x v="6"/>
    <s v="Main Street"/>
    <s v="Devonport"/>
    <n v="7310"/>
    <n v="600"/>
    <n v="1200"/>
  </r>
  <r>
    <s v="Mata Cooper"/>
    <s v="Mentoring program"/>
    <d v="2024-08-23T00:00:00"/>
    <x v="7"/>
    <n v="1"/>
    <s v="Bronze"/>
    <s v="In Progress"/>
    <n v="87984"/>
    <x v="1"/>
    <s v="George Street"/>
    <s v="Wollongong"/>
    <n v="2500"/>
    <n v="1200"/>
    <n v="1200"/>
  </r>
  <r>
    <s v="Hunter Leon"/>
    <s v="Mentoring program"/>
    <d v="2024-08-24T00:00:00"/>
    <x v="7"/>
    <n v="2"/>
    <s v="Silver"/>
    <s v="Delivered"/>
    <n v="70586"/>
    <x v="1"/>
    <s v="Elizabeth Street"/>
    <s v="Sydney"/>
    <n v="2000"/>
    <n v="1200"/>
    <n v="2400"/>
  </r>
  <r>
    <s v="Medina Cooper"/>
    <s v="LinkedIn profile"/>
    <d v="2024-08-24T00:00:00"/>
    <x v="7"/>
    <n v="1"/>
    <s v="Bronze"/>
    <s v="Service Booked"/>
    <n v="62196"/>
    <x v="2"/>
    <s v="Main Street"/>
    <s v="Cairns"/>
    <n v="4870"/>
    <n v="300"/>
    <n v="300"/>
  </r>
  <r>
    <s v="Martin Gabriel"/>
    <s v="Mentoring program"/>
    <d v="2024-08-24T00:00:00"/>
    <x v="7"/>
    <n v="1"/>
    <s v="Bronze"/>
    <s v="Delivered"/>
    <n v="25306"/>
    <x v="6"/>
    <s v="Main Street"/>
    <s v="Devonport"/>
    <n v="7310"/>
    <n v="1200"/>
    <n v="1200"/>
  </r>
  <r>
    <s v="Rose Zaire"/>
    <s v="Mentoring program"/>
    <d v="2024-08-24T00:00:00"/>
    <x v="7"/>
    <n v="2"/>
    <s v="Silver"/>
    <s v="Delivered"/>
    <n v="98853"/>
    <x v="7"/>
    <s v="Elizabeth Street"/>
    <s v="Darwin"/>
    <n v="800"/>
    <n v="1200"/>
    <n v="2400"/>
  </r>
  <r>
    <s v="Moore Liliana"/>
    <s v="Resume (service fee)"/>
    <d v="2024-08-24T00:00:00"/>
    <x v="7"/>
    <n v="3"/>
    <s v="Gold"/>
    <s v="Service Booked"/>
    <n v="8237"/>
    <x v="6"/>
    <s v="Park Avenue"/>
    <s v="Launceston"/>
    <n v="7250"/>
    <n v="600"/>
    <n v="1800"/>
  </r>
  <r>
    <s v="Pierce Connor"/>
    <s v="Resume (service fee)"/>
    <d v="2024-08-24T00:00:00"/>
    <x v="7"/>
    <n v="1"/>
    <s v="Bronze"/>
    <s v="Delivered"/>
    <n v="88725"/>
    <x v="2"/>
    <s v="Main Street"/>
    <s v="Cairns"/>
    <n v="4870"/>
    <n v="600"/>
    <n v="600"/>
  </r>
  <r>
    <s v="Arias Sawyer"/>
    <s v="Mentoring program"/>
    <d v="2024-08-25T00:00:00"/>
    <x v="7"/>
    <n v="2"/>
    <s v="Silver"/>
    <s v="Service Booked"/>
    <n v="75988"/>
    <x v="1"/>
    <s v="King Street"/>
    <s v="Sydney"/>
    <n v="2000"/>
    <n v="1200"/>
    <n v="2400"/>
  </r>
  <r>
    <s v="Watts Paris"/>
    <s v="Mentoring program"/>
    <d v="2024-08-25T00:00:00"/>
    <x v="7"/>
    <n v="1"/>
    <s v="Bronze"/>
    <s v="Service Booked"/>
    <n v="70834"/>
    <x v="4"/>
    <s v="George Street"/>
    <s v="Canberra"/>
    <n v="2600"/>
    <n v="1200"/>
    <n v="1200"/>
  </r>
  <r>
    <s v="Soto Rory"/>
    <s v="Mentoring program"/>
    <d v="2024-08-25T00:00:00"/>
    <x v="7"/>
    <n v="2"/>
    <s v="Silver"/>
    <s v="Delivered"/>
    <n v="2961"/>
    <x v="5"/>
    <s v="Main Street"/>
    <s v="Melbourne"/>
    <n v="3000"/>
    <n v="1200"/>
    <n v="2400"/>
  </r>
  <r>
    <s v="Pearson Bo"/>
    <s v="LinkedIn profile"/>
    <d v="2024-08-25T00:00:00"/>
    <x v="7"/>
    <n v="2"/>
    <s v="Silver"/>
    <s v="Delivered"/>
    <n v="60837"/>
    <x v="7"/>
    <s v="George Street"/>
    <s v="Darwin"/>
    <n v="800"/>
    <n v="300"/>
    <n v="600"/>
  </r>
  <r>
    <s v="Noble Josephine"/>
    <s v="Interview Prep"/>
    <d v="2024-08-25T00:00:00"/>
    <x v="7"/>
    <n v="3"/>
    <s v="Gold"/>
    <s v="Cancelled"/>
    <n v="43350"/>
    <x v="3"/>
    <s v="George Street"/>
    <s v="Perth"/>
    <n v="6000"/>
    <n v="250"/>
    <n v="750"/>
  </r>
  <r>
    <s v="Ho Sawyer"/>
    <s v="Mentoring program"/>
    <d v="2024-08-25T00:00:00"/>
    <x v="7"/>
    <n v="2"/>
    <s v="Silver"/>
    <s v="Service Booked"/>
    <n v="82595"/>
    <x v="3"/>
    <s v="Main Street"/>
    <s v="Perth"/>
    <n v="6000"/>
    <n v="1200"/>
    <n v="2400"/>
  </r>
  <r>
    <s v="Barrett Sawyer"/>
    <s v="Resume + LinkedIn Profile"/>
    <d v="2024-08-25T00:00:00"/>
    <x v="7"/>
    <n v="1"/>
    <s v="Bronze"/>
    <s v="Delivered"/>
    <n v="93051"/>
    <x v="2"/>
    <s v="Main Street"/>
    <s v="Cairns"/>
    <n v="4870"/>
    <n v="800"/>
    <n v="800"/>
  </r>
  <r>
    <s v="Foster Layla"/>
    <s v="Mentoring program"/>
    <d v="2024-08-26T00:00:00"/>
    <x v="7"/>
    <n v="2"/>
    <s v="Silver"/>
    <s v="Cancelled"/>
    <n v="65566"/>
    <x v="7"/>
    <s v="Elizabeth Street"/>
    <s v="Darwin"/>
    <n v="800"/>
    <n v="1200"/>
    <n v="2400"/>
  </r>
  <r>
    <s v="Kim Ari"/>
    <s v="Resume (service fee)"/>
    <d v="2024-08-26T00:00:00"/>
    <x v="7"/>
    <n v="1"/>
    <s v="Bronze"/>
    <s v="Delivered"/>
    <n v="30763"/>
    <x v="7"/>
    <s v="Main Street"/>
    <s v="Alice Springs"/>
    <n v="870"/>
    <n v="600"/>
    <n v="600"/>
  </r>
  <r>
    <s v="Ortiz Gracie"/>
    <s v="Interview Prep"/>
    <d v="2024-08-26T00:00:00"/>
    <x v="7"/>
    <n v="3"/>
    <s v="Gold"/>
    <s v="Delivered"/>
    <n v="56209"/>
    <x v="2"/>
    <s v="King Street"/>
    <s v="Gold Coast"/>
    <n v="4217"/>
    <n v="250"/>
    <n v="750"/>
  </r>
  <r>
    <s v="Jacobson Cataleya"/>
    <s v="Resume (service fee)"/>
    <d v="2024-08-26T00:00:00"/>
    <x v="7"/>
    <n v="3"/>
    <s v="Gold"/>
    <s v="Service Booked"/>
    <n v="8746"/>
    <x v="2"/>
    <s v="Elizabeth Street"/>
    <s v="Gold Coast"/>
    <n v="4217"/>
    <n v="600"/>
    <n v="1800"/>
  </r>
  <r>
    <s v="Atkinson Jose"/>
    <s v="Mentoring program"/>
    <d v="2024-08-26T00:00:00"/>
    <x v="7"/>
    <n v="2"/>
    <s v="Silver"/>
    <s v="Delivered"/>
    <n v="37369"/>
    <x v="1"/>
    <s v="George Street"/>
    <s v="Sydney"/>
    <n v="2000"/>
    <n v="1200"/>
    <n v="2400"/>
  </r>
  <r>
    <s v="Morris Mariana"/>
    <s v="Resume + LinkedIn Profile"/>
    <d v="2024-08-27T00:00:00"/>
    <x v="7"/>
    <n v="3"/>
    <s v="Gold"/>
    <s v="Service Booked"/>
    <n v="64859"/>
    <x v="7"/>
    <s v="Park Avenue"/>
    <s v="Alice Springs"/>
    <n v="870"/>
    <n v="800"/>
    <n v="2400"/>
  </r>
  <r>
    <s v="Jordan Daisy"/>
    <s v="Resume (service fee)"/>
    <d v="2024-08-27T00:00:00"/>
    <x v="7"/>
    <n v="2"/>
    <s v="Silver"/>
    <s v="Cancelled"/>
    <n v="16299"/>
    <x v="7"/>
    <s v="King Street"/>
    <s v="Darwin"/>
    <n v="800"/>
    <n v="600"/>
    <n v="1200"/>
  </r>
  <r>
    <s v="Carter Brian"/>
    <s v="Networking Strategy"/>
    <d v="2024-08-27T00:00:00"/>
    <x v="7"/>
    <n v="3"/>
    <s v="Gold"/>
    <s v="Cancelled"/>
    <n v="5205"/>
    <x v="2"/>
    <s v="Main Street"/>
    <s v="Brisbane"/>
    <n v="4000"/>
    <n v="250"/>
    <n v="750"/>
  </r>
  <r>
    <s v="Best Francesca"/>
    <s v="Interview Prep"/>
    <d v="2024-08-27T00:00:00"/>
    <x v="7"/>
    <n v="3"/>
    <s v="Gold"/>
    <s v="In Progress"/>
    <n v="29374"/>
    <x v="4"/>
    <s v="Park Avenue"/>
    <s v="Canberra"/>
    <n v="2600"/>
    <n v="250"/>
    <n v="750"/>
  </r>
  <r>
    <s v="Whitaker Charlotte"/>
    <s v="Networking Strategy"/>
    <d v="2024-08-27T00:00:00"/>
    <x v="7"/>
    <n v="3"/>
    <s v="Gold"/>
    <s v="Delivered"/>
    <n v="79152"/>
    <x v="0"/>
    <s v="King Street"/>
    <s v="Whyalla"/>
    <n v="5600"/>
    <n v="250"/>
    <n v="750"/>
  </r>
  <r>
    <s v="Kemp Amy"/>
    <s v="Interview Prep"/>
    <d v="2024-08-28T00:00:00"/>
    <x v="7"/>
    <n v="1"/>
    <s v="Bronze"/>
    <s v="Delivered"/>
    <n v="76983"/>
    <x v="3"/>
    <s v="Main Street"/>
    <s v="Fremantle"/>
    <n v="6160"/>
    <n v="250"/>
    <n v="250"/>
  </r>
  <r>
    <s v="Rubio Tatum"/>
    <s v="Interview Prep"/>
    <d v="2024-08-29T00:00:00"/>
    <x v="7"/>
    <n v="2"/>
    <s v="Silver"/>
    <s v="Delivered"/>
    <n v="13507"/>
    <x v="5"/>
    <s v="Park Avenue"/>
    <s v="Geelong"/>
    <n v="3220"/>
    <n v="250"/>
    <n v="500"/>
  </r>
  <r>
    <s v="Bentley Royalty"/>
    <s v="Interview Prep"/>
    <d v="2024-08-29T00:00:00"/>
    <x v="7"/>
    <n v="2"/>
    <s v="Silver"/>
    <s v="Service Booked"/>
    <n v="39992"/>
    <x v="3"/>
    <s v="Elizabeth Street"/>
    <s v="Fremantle"/>
    <n v="6160"/>
    <n v="250"/>
    <n v="500"/>
  </r>
  <r>
    <s v="Patton Allie"/>
    <s v="Resume (service fee)"/>
    <d v="2024-08-30T00:00:00"/>
    <x v="7"/>
    <n v="2"/>
    <s v="Silver"/>
    <s v="Service Booked"/>
    <n v="37668"/>
    <x v="1"/>
    <s v="Park Avenue"/>
    <s v="Wollongong"/>
    <n v="2500"/>
    <n v="600"/>
    <n v="1200"/>
  </r>
  <r>
    <s v="Allen Dakota"/>
    <s v="Mentoring program"/>
    <d v="2024-08-31T00:00:00"/>
    <x v="7"/>
    <n v="3"/>
    <s v="Gold"/>
    <s v="Cancelled"/>
    <n v="19470"/>
    <x v="3"/>
    <s v="Park Avenue"/>
    <s v="Perth"/>
    <n v="6000"/>
    <n v="1200"/>
    <n v="3600"/>
  </r>
  <r>
    <s v="Gates Braxton"/>
    <s v="Resume + LinkedIn Profile"/>
    <d v="2024-08-31T00:00:00"/>
    <x v="7"/>
    <n v="2"/>
    <s v="Silver"/>
    <s v="Delivered"/>
    <n v="22709"/>
    <x v="7"/>
    <s v="King Street"/>
    <s v="Darwin"/>
    <n v="800"/>
    <n v="800"/>
    <n v="1600"/>
  </r>
  <r>
    <s v="Reeves Ezequiel"/>
    <s v="Mentoring program"/>
    <d v="2024-08-31T00:00:00"/>
    <x v="7"/>
    <n v="1"/>
    <s v="Bronze"/>
    <s v="Service Booked"/>
    <n v="36464"/>
    <x v="5"/>
    <s v="George Street"/>
    <s v="Ballarat"/>
    <n v="3350"/>
    <n v="1200"/>
    <n v="1200"/>
  </r>
  <r>
    <s v="Leon Gunner"/>
    <s v="Mentoring program"/>
    <d v="2024-08-31T00:00:00"/>
    <x v="7"/>
    <n v="3"/>
    <s v="Gold"/>
    <s v="In Progress"/>
    <n v="30716"/>
    <x v="7"/>
    <s v="King Street"/>
    <s v="Darwin"/>
    <n v="800"/>
    <n v="1200"/>
    <n v="3600"/>
  </r>
  <r>
    <s v="Giles Sarai"/>
    <s v="Networking Strategy"/>
    <d v="2024-09-01T00:00:00"/>
    <x v="8"/>
    <n v="2"/>
    <s v="Silver"/>
    <s v="Delivered"/>
    <n v="22831"/>
    <x v="0"/>
    <s v="Park Avenue"/>
    <s v="Adelaide"/>
    <n v="5000"/>
    <n v="250"/>
    <n v="500"/>
  </r>
  <r>
    <s v="Stuart Molly"/>
    <s v="Resume (service fee)"/>
    <d v="2024-09-01T00:00:00"/>
    <x v="8"/>
    <n v="3"/>
    <s v="Gold"/>
    <s v="Service Booked"/>
    <n v="99293"/>
    <x v="0"/>
    <s v="King Street"/>
    <s v="Whyalla"/>
    <n v="5600"/>
    <n v="600"/>
    <n v="1800"/>
  </r>
  <r>
    <s v="Blankenship Jade"/>
    <s v="LinkedIn profile"/>
    <d v="2024-09-02T00:00:00"/>
    <x v="8"/>
    <n v="3"/>
    <s v="Gold"/>
    <s v="Delivered"/>
    <n v="3101"/>
    <x v="5"/>
    <s v="Main Street"/>
    <s v="Ballarat"/>
    <n v="3350"/>
    <n v="300"/>
    <n v="900"/>
  </r>
  <r>
    <s v="Craig Ayden"/>
    <s v="Interview Prep"/>
    <d v="2024-09-02T00:00:00"/>
    <x v="8"/>
    <n v="2"/>
    <s v="Silver"/>
    <s v="Service Booked"/>
    <n v="6350"/>
    <x v="4"/>
    <s v="Main Street"/>
    <s v="Canberra"/>
    <n v="2600"/>
    <n v="250"/>
    <n v="500"/>
  </r>
  <r>
    <s v="Flowers Kali"/>
    <s v="Resume (service fee)"/>
    <d v="2024-09-03T00:00:00"/>
    <x v="8"/>
    <n v="3"/>
    <s v="Gold"/>
    <s v="Service Booked"/>
    <n v="86013"/>
    <x v="3"/>
    <s v="Park Avenue"/>
    <s v="Broome"/>
    <n v="6725"/>
    <n v="600"/>
    <n v="1800"/>
  </r>
  <r>
    <s v="Sharp Austin"/>
    <s v="Mentoring program"/>
    <d v="2024-09-04T00:00:00"/>
    <x v="8"/>
    <n v="1"/>
    <s v="Bronze"/>
    <s v="Delivered"/>
    <n v="88665"/>
    <x v="2"/>
    <s v="King Street"/>
    <s v="Cairns"/>
    <n v="4870"/>
    <n v="1200"/>
    <n v="1200"/>
  </r>
  <r>
    <s v="Guerra Ryker"/>
    <s v="Resume (service fee)"/>
    <d v="2024-09-04T00:00:00"/>
    <x v="8"/>
    <n v="1"/>
    <s v="Bronze"/>
    <s v="In Progress"/>
    <n v="92896"/>
    <x v="2"/>
    <s v="George Street"/>
    <s v="Gold Coast"/>
    <n v="4217"/>
    <n v="600"/>
    <n v="600"/>
  </r>
  <r>
    <s v="Osborne Salem"/>
    <s v="Interview Prep"/>
    <d v="2024-09-04T00:00:00"/>
    <x v="8"/>
    <n v="3"/>
    <s v="Gold"/>
    <s v="Service Booked"/>
    <n v="68207"/>
    <x v="3"/>
    <s v="Park Avenue"/>
    <s v="Fremantle"/>
    <n v="6160"/>
    <n v="250"/>
    <n v="750"/>
  </r>
  <r>
    <s v="Watts Bailey"/>
    <s v="Resume (service fee)"/>
    <d v="2024-09-05T00:00:00"/>
    <x v="8"/>
    <n v="3"/>
    <s v="Gold"/>
    <s v="Service Booked"/>
    <n v="6565"/>
    <x v="1"/>
    <s v="King Street"/>
    <s v="Newcastle"/>
    <n v="2300"/>
    <n v="600"/>
    <n v="1800"/>
  </r>
  <r>
    <s v="Russell Bentley"/>
    <s v="Networking Strategy"/>
    <d v="2024-09-05T00:00:00"/>
    <x v="8"/>
    <n v="1"/>
    <s v="Bronze"/>
    <s v="Delivered"/>
    <n v="48408"/>
    <x v="2"/>
    <s v="Park Avenue"/>
    <s v="Gold Coast"/>
    <n v="4217"/>
    <n v="250"/>
    <n v="250"/>
  </r>
  <r>
    <s v="Chavez Cecilia"/>
    <s v="Resume + LinkedIn Profile"/>
    <d v="2024-09-05T00:00:00"/>
    <x v="8"/>
    <n v="3"/>
    <s v="Gold"/>
    <s v="Service Booked"/>
    <n v="32850"/>
    <x v="1"/>
    <s v="Main Street"/>
    <s v="Sydney"/>
    <n v="2000"/>
    <n v="800"/>
    <n v="2400"/>
  </r>
  <r>
    <s v="Stewart Nylah"/>
    <s v="Resume (service fee)"/>
    <d v="2024-09-05T00:00:00"/>
    <x v="8"/>
    <n v="3"/>
    <s v="Gold"/>
    <s v="Service Booked"/>
    <n v="72622"/>
    <x v="7"/>
    <s v="King Street"/>
    <s v="Alice Springs"/>
    <n v="870"/>
    <n v="600"/>
    <n v="1800"/>
  </r>
  <r>
    <s v="Ellison Zayn"/>
    <s v="Mentoring program"/>
    <d v="2024-09-06T00:00:00"/>
    <x v="8"/>
    <n v="2"/>
    <s v="Silver"/>
    <s v="Service Booked"/>
    <n v="88071"/>
    <x v="6"/>
    <s v="Elizabeth Street"/>
    <s v="Devonport"/>
    <n v="7310"/>
    <n v="1200"/>
    <n v="2400"/>
  </r>
  <r>
    <s v="Archer Layla"/>
    <s v="Resume (service fee)"/>
    <d v="2024-09-06T00:00:00"/>
    <x v="8"/>
    <n v="1"/>
    <s v="Bronze"/>
    <s v="Service Booked"/>
    <n v="81710"/>
    <x v="1"/>
    <s v="George Street"/>
    <s v="Wollongong"/>
    <n v="2500"/>
    <n v="600"/>
    <n v="600"/>
  </r>
  <r>
    <s v="Love Elsie"/>
    <s v="Networking Strategy"/>
    <d v="2024-09-06T00:00:00"/>
    <x v="8"/>
    <n v="2"/>
    <s v="Silver"/>
    <s v="In Progress"/>
    <n v="59764"/>
    <x v="0"/>
    <s v="George Street"/>
    <s v="Mount Gambier"/>
    <n v="5290"/>
    <n v="250"/>
    <n v="500"/>
  </r>
  <r>
    <s v="Frost Winter"/>
    <s v="Interview Prep"/>
    <d v="2024-09-06T00:00:00"/>
    <x v="8"/>
    <n v="3"/>
    <s v="Gold"/>
    <s v="Delivered"/>
    <n v="45245"/>
    <x v="2"/>
    <s v="King Street"/>
    <s v="Brisbane"/>
    <n v="4000"/>
    <n v="250"/>
    <n v="750"/>
  </r>
  <r>
    <s v="Bautista Parker"/>
    <s v="Mentoring program"/>
    <d v="2024-09-07T00:00:00"/>
    <x v="8"/>
    <n v="1"/>
    <s v="Bronze"/>
    <s v="Delivered"/>
    <n v="82031"/>
    <x v="6"/>
    <s v="King Street"/>
    <s v="Devonport"/>
    <n v="7310"/>
    <n v="1200"/>
    <n v="1200"/>
  </r>
  <r>
    <s v="Johnston Faith"/>
    <s v="LinkedIn profile"/>
    <d v="2024-09-08T00:00:00"/>
    <x v="8"/>
    <n v="3"/>
    <s v="Gold"/>
    <s v="Service Booked"/>
    <n v="84443"/>
    <x v="1"/>
    <s v="Elizabeth Street"/>
    <s v="Wollongong"/>
    <n v="2500"/>
    <n v="300"/>
    <n v="900"/>
  </r>
  <r>
    <s v="Wheeler Warren"/>
    <s v="Mentoring program"/>
    <d v="2024-09-08T00:00:00"/>
    <x v="8"/>
    <n v="2"/>
    <s v="Silver"/>
    <s v="Service Booked"/>
    <n v="68642"/>
    <x v="4"/>
    <s v="Park Avenue"/>
    <s v="Canberra"/>
    <n v="2600"/>
    <n v="1200"/>
    <n v="2400"/>
  </r>
  <r>
    <s v="Dillon Jaxton"/>
    <s v="Networking Strategy"/>
    <d v="2024-09-08T00:00:00"/>
    <x v="8"/>
    <n v="2"/>
    <s v="Silver"/>
    <s v="In Progress"/>
    <n v="79862"/>
    <x v="1"/>
    <s v="Elizabeth Street"/>
    <s v="Newcastle"/>
    <n v="2300"/>
    <n v="250"/>
    <n v="500"/>
  </r>
  <r>
    <s v="Marshall Cole"/>
    <s v="Resume (service fee)"/>
    <d v="2024-09-08T00:00:00"/>
    <x v="8"/>
    <n v="3"/>
    <s v="Gold"/>
    <s v="Service Booked"/>
    <n v="93541"/>
    <x v="1"/>
    <s v="Park Avenue"/>
    <s v="Wollongong"/>
    <n v="2500"/>
    <n v="600"/>
    <n v="1800"/>
  </r>
  <r>
    <s v="Burgess Bryson"/>
    <s v="Resume (service fee)"/>
    <d v="2024-09-09T00:00:00"/>
    <x v="8"/>
    <n v="2"/>
    <s v="Silver"/>
    <s v="Cancelled"/>
    <n v="90569"/>
    <x v="7"/>
    <s v="Main Street"/>
    <s v="Alice Springs"/>
    <n v="870"/>
    <n v="600"/>
    <n v="1200"/>
  </r>
  <r>
    <s v="Weaver Hallie"/>
    <s v="Mentoring program"/>
    <d v="2024-09-10T00:00:00"/>
    <x v="8"/>
    <n v="3"/>
    <s v="Gold"/>
    <s v="Delivered"/>
    <n v="70998"/>
    <x v="0"/>
    <s v="Park Avenue"/>
    <s v="Mount Gambier"/>
    <n v="5290"/>
    <n v="1200"/>
    <n v="3600"/>
  </r>
  <r>
    <s v="Wise Aspen"/>
    <s v="Interview Prep"/>
    <d v="2024-09-10T00:00:00"/>
    <x v="8"/>
    <n v="2"/>
    <s v="Silver"/>
    <s v="Service Booked"/>
    <n v="39135"/>
    <x v="2"/>
    <s v="King Street"/>
    <s v="Brisbane"/>
    <n v="4000"/>
    <n v="250"/>
    <n v="500"/>
  </r>
  <r>
    <s v="Nash Jaxon"/>
    <s v="Resume + LinkedIn Profile"/>
    <d v="2024-09-10T00:00:00"/>
    <x v="8"/>
    <n v="2"/>
    <s v="Silver"/>
    <s v="Service Booked"/>
    <n v="18216"/>
    <x v="5"/>
    <s v="Park Avenue"/>
    <s v="Geelong"/>
    <n v="3220"/>
    <n v="800"/>
    <n v="1600"/>
  </r>
  <r>
    <s v="Montgomery Harvey"/>
    <s v="Mentoring program"/>
    <d v="2024-09-11T00:00:00"/>
    <x v="8"/>
    <n v="2"/>
    <s v="Silver"/>
    <s v="Service Booked"/>
    <n v="27793"/>
    <x v="2"/>
    <s v="Park Avenue"/>
    <s v="Brisbane"/>
    <n v="4000"/>
    <n v="1200"/>
    <n v="2400"/>
  </r>
  <r>
    <s v="Elliott Stevie"/>
    <s v="Networking Strategy"/>
    <d v="2024-09-11T00:00:00"/>
    <x v="8"/>
    <n v="2"/>
    <s v="Silver"/>
    <s v="Delivered"/>
    <n v="33952"/>
    <x v="7"/>
    <s v="King Street"/>
    <s v="Alice Springs"/>
    <n v="870"/>
    <n v="250"/>
    <n v="500"/>
  </r>
  <r>
    <s v="Sandoval Brooklynn"/>
    <s v="Mentoring program"/>
    <d v="2024-09-11T00:00:00"/>
    <x v="8"/>
    <n v="2"/>
    <s v="Silver"/>
    <s v="Service Booked"/>
    <n v="91393"/>
    <x v="5"/>
    <s v="Park Avenue"/>
    <s v="Melbourne"/>
    <n v="3000"/>
    <n v="1200"/>
    <n v="2400"/>
  </r>
  <r>
    <s v="Robinson Walter"/>
    <s v="Resume + LinkedIn Profile"/>
    <d v="2024-09-11T00:00:00"/>
    <x v="8"/>
    <n v="1"/>
    <s v="Bronze"/>
    <s v="Service Booked"/>
    <n v="74397"/>
    <x v="3"/>
    <s v="Main Street"/>
    <s v="Perth"/>
    <n v="6000"/>
    <n v="800"/>
    <n v="800"/>
  </r>
  <r>
    <s v="Beasley Teagan"/>
    <s v="Interview Prep"/>
    <d v="2024-09-12T00:00:00"/>
    <x v="8"/>
    <n v="3"/>
    <s v="Gold"/>
    <s v="Service Booked"/>
    <n v="62550"/>
    <x v="5"/>
    <s v="George Street"/>
    <s v="Ballarat"/>
    <n v="3350"/>
    <n v="250"/>
    <n v="750"/>
  </r>
  <r>
    <s v="Berger Jason"/>
    <s v="LinkedIn profile"/>
    <d v="2024-09-13T00:00:00"/>
    <x v="8"/>
    <n v="1"/>
    <s v="Bronze"/>
    <s v="Service Booked"/>
    <n v="76047"/>
    <x v="1"/>
    <s v="Main Street"/>
    <s v="Wollongong"/>
    <n v="2500"/>
    <n v="300"/>
    <n v="300"/>
  </r>
  <r>
    <s v="Russo Payton"/>
    <s v="Mentoring program"/>
    <d v="2024-09-13T00:00:00"/>
    <x v="8"/>
    <n v="2"/>
    <s v="Silver"/>
    <s v="Delivered"/>
    <n v="30357"/>
    <x v="1"/>
    <s v="Elizabeth Street"/>
    <s v="Newcastle"/>
    <n v="2300"/>
    <n v="1200"/>
    <n v="2400"/>
  </r>
  <r>
    <s v="Mclean Thea"/>
    <s v="Mentoring program"/>
    <d v="2024-09-14T00:00:00"/>
    <x v="8"/>
    <n v="1"/>
    <s v="Bronze"/>
    <s v="Service Booked"/>
    <n v="58309"/>
    <x v="7"/>
    <s v="Park Avenue"/>
    <s v="Alice Springs"/>
    <n v="870"/>
    <n v="1200"/>
    <n v="1200"/>
  </r>
  <r>
    <s v="Buck Evelynn"/>
    <s v="Resume + LinkedIn Profile"/>
    <d v="2024-09-14T00:00:00"/>
    <x v="8"/>
    <n v="1"/>
    <s v="Bronze"/>
    <s v="Delivered"/>
    <n v="89491"/>
    <x v="3"/>
    <s v="Main Street"/>
    <s v="Broome"/>
    <n v="6725"/>
    <n v="800"/>
    <n v="800"/>
  </r>
  <r>
    <s v="Morales Helen"/>
    <s v="LinkedIn profile"/>
    <d v="2024-09-15T00:00:00"/>
    <x v="8"/>
    <n v="2"/>
    <s v="Silver"/>
    <s v="Service Booked"/>
    <n v="20665"/>
    <x v="6"/>
    <s v="King Street"/>
    <s v="Launceston"/>
    <n v="7250"/>
    <n v="300"/>
    <n v="600"/>
  </r>
  <r>
    <s v="Mejia Desmond"/>
    <s v="Mentoring program"/>
    <d v="2024-09-15T00:00:00"/>
    <x v="8"/>
    <n v="2"/>
    <s v="Silver"/>
    <s v="In Progress"/>
    <n v="51799"/>
    <x v="3"/>
    <s v="King Street"/>
    <s v="Broome"/>
    <n v="6725"/>
    <n v="1200"/>
    <n v="2400"/>
  </r>
  <r>
    <s v="Booker Elise"/>
    <s v="Mentoring program"/>
    <d v="2024-09-15T00:00:00"/>
    <x v="8"/>
    <n v="3"/>
    <s v="Gold"/>
    <s v="Delivered"/>
    <n v="93472"/>
    <x v="5"/>
    <s v="George Street"/>
    <s v="Melbourne"/>
    <n v="3000"/>
    <n v="1200"/>
    <n v="3600"/>
  </r>
  <r>
    <s v="Fitzgerald Brooke"/>
    <s v="Resume + LinkedIn Profile"/>
    <d v="2024-09-15T00:00:00"/>
    <x v="8"/>
    <n v="1"/>
    <s v="Bronze"/>
    <s v="Cancelled"/>
    <n v="51055"/>
    <x v="6"/>
    <s v="Main Street"/>
    <s v="Launceston"/>
    <n v="7250"/>
    <n v="800"/>
    <n v="800"/>
  </r>
  <r>
    <s v="Molina Gideon"/>
    <s v="Networking Strategy"/>
    <d v="2024-09-15T00:00:00"/>
    <x v="8"/>
    <n v="1"/>
    <s v="Bronze"/>
    <s v="Service Booked"/>
    <n v="64399"/>
    <x v="3"/>
    <s v="Elizabeth Street"/>
    <s v="Broome"/>
    <n v="6725"/>
    <n v="250"/>
    <n v="250"/>
  </r>
  <r>
    <s v="Ramsey Leland"/>
    <s v="LinkedIn profile"/>
    <d v="2024-09-16T00:00:00"/>
    <x v="8"/>
    <n v="3"/>
    <s v="Gold"/>
    <s v="In Progress"/>
    <n v="69741"/>
    <x v="3"/>
    <s v="King Street"/>
    <s v="Broome"/>
    <n v="6725"/>
    <n v="300"/>
    <n v="900"/>
  </r>
  <r>
    <s v="Shepherd Selah"/>
    <s v="Mentoring program"/>
    <d v="2024-09-16T00:00:00"/>
    <x v="8"/>
    <n v="3"/>
    <s v="Gold"/>
    <s v="Delivered"/>
    <n v="15135"/>
    <x v="4"/>
    <s v="Park Avenue"/>
    <s v="Canberra"/>
    <n v="2600"/>
    <n v="1200"/>
    <n v="3600"/>
  </r>
  <r>
    <s v="Colón Samara"/>
    <s v="LinkedIn profile"/>
    <d v="2024-09-16T00:00:00"/>
    <x v="8"/>
    <n v="1"/>
    <s v="Bronze"/>
    <s v="Service Booked"/>
    <n v="40767"/>
    <x v="5"/>
    <s v="Park Avenue"/>
    <s v="Geelong"/>
    <n v="3220"/>
    <n v="300"/>
    <n v="300"/>
  </r>
  <r>
    <s v="Khan Frances"/>
    <s v="Networking Strategy"/>
    <d v="2024-09-16T00:00:00"/>
    <x v="8"/>
    <n v="1"/>
    <s v="Bronze"/>
    <s v="Service Booked"/>
    <n v="87526"/>
    <x v="2"/>
    <s v="Elizabeth Street"/>
    <s v="Cairns"/>
    <n v="4870"/>
    <n v="250"/>
    <n v="250"/>
  </r>
  <r>
    <s v="Zuniga Miracle"/>
    <s v="Mentoring program"/>
    <d v="2024-09-16T00:00:00"/>
    <x v="8"/>
    <n v="1"/>
    <s v="Bronze"/>
    <s v="Delivered"/>
    <n v="12642"/>
    <x v="4"/>
    <s v="Elizabeth Street"/>
    <s v="Canberra"/>
    <n v="2600"/>
    <n v="1200"/>
    <n v="1200"/>
  </r>
  <r>
    <s v="Mahoney Selah"/>
    <s v="Resume (service fee)"/>
    <d v="2024-09-17T00:00:00"/>
    <x v="8"/>
    <n v="1"/>
    <s v="Bronze"/>
    <s v="Service Booked"/>
    <n v="82114"/>
    <x v="2"/>
    <s v="George Street"/>
    <s v="Brisbane"/>
    <n v="4000"/>
    <n v="600"/>
    <n v="600"/>
  </r>
  <r>
    <s v="Vega Blake"/>
    <s v="Resume (service fee)"/>
    <d v="2024-09-17T00:00:00"/>
    <x v="8"/>
    <n v="2"/>
    <s v="Silver"/>
    <s v="Delivered"/>
    <n v="85293"/>
    <x v="4"/>
    <s v="King Street"/>
    <s v="Canberra"/>
    <n v="2600"/>
    <n v="600"/>
    <n v="1200"/>
  </r>
  <r>
    <s v="Snow Xiomara"/>
    <s v="LinkedIn profile"/>
    <d v="2024-09-17T00:00:00"/>
    <x v="8"/>
    <n v="3"/>
    <s v="Gold"/>
    <s v="Delivered"/>
    <n v="39447"/>
    <x v="5"/>
    <s v="Park Avenue"/>
    <s v="Geelong"/>
    <n v="3220"/>
    <n v="300"/>
    <n v="900"/>
  </r>
  <r>
    <s v="Jensen Haven"/>
    <s v="Mentoring program"/>
    <d v="2024-09-17T00:00:00"/>
    <x v="8"/>
    <n v="2"/>
    <s v="Silver"/>
    <s v="Service Booked"/>
    <n v="63513"/>
    <x v="5"/>
    <s v="King Street"/>
    <s v="Ballarat"/>
    <n v="3350"/>
    <n v="1200"/>
    <n v="2400"/>
  </r>
  <r>
    <s v="Cantu Callen"/>
    <s v="LinkedIn profile"/>
    <d v="2024-09-18T00:00:00"/>
    <x v="8"/>
    <n v="2"/>
    <s v="Silver"/>
    <s v="Delivered"/>
    <n v="33800"/>
    <x v="3"/>
    <s v="George Street"/>
    <s v="Broome"/>
    <n v="6725"/>
    <n v="300"/>
    <n v="600"/>
  </r>
  <r>
    <s v="Thornton Alaina"/>
    <s v="Mentoring program"/>
    <d v="2024-09-19T00:00:00"/>
    <x v="8"/>
    <n v="3"/>
    <s v="Gold"/>
    <s v="Service Booked"/>
    <n v="70198"/>
    <x v="0"/>
    <s v="Elizabeth Street"/>
    <s v="Mount Gambier"/>
    <n v="5290"/>
    <n v="1200"/>
    <n v="3600"/>
  </r>
  <r>
    <s v="Spencer Rosemary"/>
    <s v="LinkedIn profile"/>
    <d v="2024-09-19T00:00:00"/>
    <x v="8"/>
    <n v="3"/>
    <s v="Gold"/>
    <s v="Service Booked"/>
    <n v="70610"/>
    <x v="4"/>
    <s v="Main Street"/>
    <s v="Canberra"/>
    <n v="2600"/>
    <n v="300"/>
    <n v="900"/>
  </r>
  <r>
    <s v="Riley Amaya"/>
    <s v="Interview Prep"/>
    <d v="2024-09-19T00:00:00"/>
    <x v="8"/>
    <n v="3"/>
    <s v="Gold"/>
    <s v="Service Booked"/>
    <n v="10096"/>
    <x v="5"/>
    <s v="King Street"/>
    <s v="Melbourne"/>
    <n v="3000"/>
    <n v="250"/>
    <n v="750"/>
  </r>
  <r>
    <s v="Travis Micah"/>
    <s v="Resume + LinkedIn Profile"/>
    <d v="2024-09-19T00:00:00"/>
    <x v="8"/>
    <n v="3"/>
    <s v="Gold"/>
    <s v="Service Booked"/>
    <n v="42805"/>
    <x v="6"/>
    <s v="Elizabeth Street"/>
    <s v="Hobart"/>
    <n v="7000"/>
    <n v="800"/>
    <n v="2400"/>
  </r>
  <r>
    <s v="Sharp Collins"/>
    <s v="Interview Prep"/>
    <d v="2024-09-20T00:00:00"/>
    <x v="8"/>
    <n v="3"/>
    <s v="Gold"/>
    <s v="Service Booked"/>
    <n v="91716"/>
    <x v="5"/>
    <s v="Park Avenue"/>
    <s v="Geelong"/>
    <n v="3220"/>
    <n v="250"/>
    <n v="750"/>
  </r>
  <r>
    <s v="Silva Preston"/>
    <s v="Mentoring program"/>
    <d v="2024-09-21T00:00:00"/>
    <x v="8"/>
    <n v="3"/>
    <s v="Gold"/>
    <s v="Service Booked"/>
    <n v="40939"/>
    <x v="3"/>
    <s v="Elizabeth Street"/>
    <s v="Perth"/>
    <n v="6000"/>
    <n v="1200"/>
    <n v="3600"/>
  </r>
  <r>
    <s v="Hunter Luna"/>
    <s v="Networking Strategy"/>
    <d v="2024-09-21T00:00:00"/>
    <x v="8"/>
    <n v="1"/>
    <s v="Bronze"/>
    <s v="Delivered"/>
    <n v="25308"/>
    <x v="4"/>
    <s v="Park Avenue"/>
    <s v="Canberra"/>
    <n v="2600"/>
    <n v="250"/>
    <n v="250"/>
  </r>
  <r>
    <s v="Dennis Judah"/>
    <s v="Mentoring program"/>
    <d v="2024-09-21T00:00:00"/>
    <x v="8"/>
    <n v="2"/>
    <s v="Silver"/>
    <s v="Delivered"/>
    <n v="89273"/>
    <x v="3"/>
    <s v="Park Avenue"/>
    <s v="Fremantle"/>
    <n v="6160"/>
    <n v="1200"/>
    <n v="2400"/>
  </r>
  <r>
    <s v="Simpson Alexandra"/>
    <s v="LinkedIn profile"/>
    <d v="2024-09-21T00:00:00"/>
    <x v="8"/>
    <n v="3"/>
    <s v="Gold"/>
    <s v="Delivered"/>
    <n v="95312"/>
    <x v="3"/>
    <s v="Main Street"/>
    <s v="Broome"/>
    <n v="6725"/>
    <n v="300"/>
    <n v="900"/>
  </r>
  <r>
    <s v="Singh Joaquin"/>
    <s v="Networking Strategy"/>
    <d v="2024-09-21T00:00:00"/>
    <x v="8"/>
    <n v="1"/>
    <s v="Bronze"/>
    <s v="In Progress"/>
    <n v="59782"/>
    <x v="5"/>
    <s v="Elizabeth Street"/>
    <s v="Melbourne"/>
    <n v="3000"/>
    <n v="250"/>
    <n v="250"/>
  </r>
  <r>
    <s v="Ball Myles"/>
    <s v="Resume + LinkedIn Profile"/>
    <d v="2024-09-21T00:00:00"/>
    <x v="8"/>
    <n v="1"/>
    <s v="Bronze"/>
    <s v="Service Booked"/>
    <n v="32220"/>
    <x v="4"/>
    <s v="Main Street"/>
    <s v="Canberra"/>
    <n v="2600"/>
    <n v="800"/>
    <n v="800"/>
  </r>
  <r>
    <s v="Esquivel Matias"/>
    <s v="Resume + LinkedIn Profile"/>
    <d v="2024-09-22T00:00:00"/>
    <x v="8"/>
    <n v="3"/>
    <s v="Gold"/>
    <s v="Cancelled"/>
    <n v="67821"/>
    <x v="7"/>
    <s v="King Street"/>
    <s v="Alice Springs"/>
    <n v="870"/>
    <n v="800"/>
    <n v="2400"/>
  </r>
  <r>
    <s v="Becker Owen"/>
    <s v="Resume (service fee)"/>
    <d v="2024-09-22T00:00:00"/>
    <x v="8"/>
    <n v="3"/>
    <s v="Gold"/>
    <s v="Delivered"/>
    <n v="82155"/>
    <x v="5"/>
    <s v="King Street"/>
    <s v="Melbourne"/>
    <n v="3000"/>
    <n v="600"/>
    <n v="1800"/>
  </r>
  <r>
    <s v="Bryan Noa"/>
    <s v="Interview Prep"/>
    <d v="2024-09-23T00:00:00"/>
    <x v="8"/>
    <n v="1"/>
    <s v="Bronze"/>
    <s v="In Progress"/>
    <n v="12506"/>
    <x v="1"/>
    <s v="Main Street"/>
    <s v="Wollongong"/>
    <n v="2500"/>
    <n v="250"/>
    <n v="250"/>
  </r>
  <r>
    <s v="Riley Brooklynn"/>
    <s v="Interview Prep"/>
    <d v="2024-09-23T00:00:00"/>
    <x v="8"/>
    <n v="1"/>
    <s v="Bronze"/>
    <s v="Service Booked"/>
    <n v="6856"/>
    <x v="0"/>
    <s v="Main Street"/>
    <s v="Adelaide"/>
    <n v="5000"/>
    <n v="250"/>
    <n v="250"/>
  </r>
  <r>
    <s v="Saunders Millie"/>
    <s v="Resume (service fee)"/>
    <d v="2024-09-23T00:00:00"/>
    <x v="8"/>
    <n v="2"/>
    <s v="Silver"/>
    <s v="Delivered"/>
    <n v="38273"/>
    <x v="6"/>
    <s v="Main Street"/>
    <s v="Devonport"/>
    <n v="7310"/>
    <n v="600"/>
    <n v="1200"/>
  </r>
  <r>
    <s v="Delarosa Joaquin"/>
    <s v="Resume (service fee)"/>
    <d v="2024-09-25T00:00:00"/>
    <x v="8"/>
    <n v="3"/>
    <s v="Gold"/>
    <s v="Delivered"/>
    <n v="59287"/>
    <x v="0"/>
    <s v="King Street"/>
    <s v="Mount Gambier"/>
    <n v="5290"/>
    <n v="600"/>
    <n v="1800"/>
  </r>
  <r>
    <s v="Mitchell Ailani"/>
    <s v="Mentoring program"/>
    <d v="2024-09-25T00:00:00"/>
    <x v="8"/>
    <n v="3"/>
    <s v="Gold"/>
    <s v="Service Booked"/>
    <n v="82476"/>
    <x v="7"/>
    <s v="King Street"/>
    <s v="Alice Springs"/>
    <n v="870"/>
    <n v="1200"/>
    <n v="3600"/>
  </r>
  <r>
    <s v="Rivers Kylo"/>
    <s v="LinkedIn profile"/>
    <d v="2024-09-25T00:00:00"/>
    <x v="8"/>
    <n v="3"/>
    <s v="Gold"/>
    <s v="Delivered"/>
    <n v="59341"/>
    <x v="7"/>
    <s v="Park Avenue"/>
    <s v="Alice Springs"/>
    <n v="870"/>
    <n v="300"/>
    <n v="900"/>
  </r>
  <r>
    <s v="Rich Brooklynn"/>
    <s v="Mentoring program"/>
    <d v="2024-09-25T00:00:00"/>
    <x v="8"/>
    <n v="2"/>
    <s v="Silver"/>
    <s v="Service Booked"/>
    <n v="61104"/>
    <x v="4"/>
    <s v="King Street"/>
    <s v="Canberra"/>
    <n v="2600"/>
    <n v="1200"/>
    <n v="2400"/>
  </r>
  <r>
    <s v="Dean Gunner"/>
    <s v="Mentoring program"/>
    <d v="2024-09-26T00:00:00"/>
    <x v="8"/>
    <n v="2"/>
    <s v="Silver"/>
    <s v="Delivered"/>
    <n v="55885"/>
    <x v="7"/>
    <s v="Main Street"/>
    <s v="Darwin"/>
    <n v="800"/>
    <n v="1200"/>
    <n v="2400"/>
  </r>
  <r>
    <s v="Anderson Santino"/>
    <s v="LinkedIn profile"/>
    <d v="2024-09-26T00:00:00"/>
    <x v="8"/>
    <n v="3"/>
    <s v="Gold"/>
    <s v="Service Booked"/>
    <n v="18405"/>
    <x v="4"/>
    <s v="King Street"/>
    <s v="Canberra"/>
    <n v="2600"/>
    <n v="300"/>
    <n v="900"/>
  </r>
  <r>
    <s v="Case Valeria"/>
    <s v="Resume + LinkedIn Profile"/>
    <d v="2024-09-26T00:00:00"/>
    <x v="8"/>
    <n v="2"/>
    <s v="Silver"/>
    <s v="Service Booked"/>
    <n v="56999"/>
    <x v="2"/>
    <s v="Park Avenue"/>
    <s v="Cairns"/>
    <n v="4870"/>
    <n v="800"/>
    <n v="1600"/>
  </r>
  <r>
    <s v="Ochoa Connor"/>
    <s v="Networking Strategy"/>
    <d v="2024-09-26T00:00:00"/>
    <x v="8"/>
    <n v="1"/>
    <s v="Bronze"/>
    <s v="Delivered"/>
    <n v="96483"/>
    <x v="1"/>
    <s v="Park Avenue"/>
    <s v="Sydney"/>
    <n v="2000"/>
    <n v="250"/>
    <n v="250"/>
  </r>
  <r>
    <s v="Kirby Sarai"/>
    <s v="Resume (service fee)"/>
    <d v="2024-09-26T00:00:00"/>
    <x v="8"/>
    <n v="1"/>
    <s v="Bronze"/>
    <s v="Service Booked"/>
    <n v="12522"/>
    <x v="6"/>
    <s v="Park Avenue"/>
    <s v="Hobart"/>
    <n v="7000"/>
    <n v="600"/>
    <n v="600"/>
  </r>
  <r>
    <s v="Chan Cassidy"/>
    <s v="Resume (service fee)"/>
    <d v="2024-09-27T00:00:00"/>
    <x v="8"/>
    <n v="2"/>
    <s v="Silver"/>
    <s v="Service Booked"/>
    <n v="44738"/>
    <x v="1"/>
    <s v="Main Street"/>
    <s v="Sydney"/>
    <n v="2000"/>
    <n v="600"/>
    <n v="1200"/>
  </r>
  <r>
    <s v="Kramer Xander"/>
    <s v="Resume + LinkedIn Profile"/>
    <d v="2024-09-27T00:00:00"/>
    <x v="8"/>
    <n v="2"/>
    <s v="Silver"/>
    <s v="Service Booked"/>
    <n v="96072"/>
    <x v="7"/>
    <s v="Park Avenue"/>
    <s v="Darwin"/>
    <n v="800"/>
    <n v="800"/>
    <n v="1600"/>
  </r>
  <r>
    <s v="Ochoa Wyatt"/>
    <s v="Mentoring program"/>
    <d v="2024-09-28T00:00:00"/>
    <x v="8"/>
    <n v="2"/>
    <s v="Silver"/>
    <s v="Delivered"/>
    <n v="33911"/>
    <x v="1"/>
    <s v="Elizabeth Street"/>
    <s v="Wollongong"/>
    <n v="2500"/>
    <n v="1200"/>
    <n v="2400"/>
  </r>
  <r>
    <s v="Henry Cora"/>
    <s v="Resume + LinkedIn Profile"/>
    <d v="2024-09-28T00:00:00"/>
    <x v="8"/>
    <n v="1"/>
    <s v="Bronze"/>
    <s v="Delivered"/>
    <n v="13464"/>
    <x v="2"/>
    <s v="George Street"/>
    <s v="Cairns"/>
    <n v="4870"/>
    <n v="800"/>
    <n v="800"/>
  </r>
  <r>
    <s v="Smith Ari"/>
    <s v="Interview Prep"/>
    <d v="2024-09-28T00:00:00"/>
    <x v="8"/>
    <n v="2"/>
    <s v="Silver"/>
    <s v="Delivered"/>
    <n v="41826"/>
    <x v="3"/>
    <s v="King Street"/>
    <s v="Broome"/>
    <n v="6725"/>
    <n v="250"/>
    <n v="500"/>
  </r>
  <r>
    <s v="Travis Sawyer"/>
    <s v="Mentoring program"/>
    <d v="2024-09-28T00:00:00"/>
    <x v="8"/>
    <n v="2"/>
    <s v="Silver"/>
    <s v="Delivered"/>
    <n v="18009"/>
    <x v="7"/>
    <s v="Park Avenue"/>
    <s v="Alice Springs"/>
    <n v="870"/>
    <n v="1200"/>
    <n v="2400"/>
  </r>
  <r>
    <s v="Blevins Alejandro"/>
    <s v="Mentoring program"/>
    <d v="2024-09-29T00:00:00"/>
    <x v="8"/>
    <n v="1"/>
    <s v="Bronze"/>
    <s v="Service Booked"/>
    <n v="48102"/>
    <x v="6"/>
    <s v="Park Avenue"/>
    <s v="Hobart"/>
    <n v="7000"/>
    <n v="1200"/>
    <n v="1200"/>
  </r>
  <r>
    <s v="Gregory Kairo"/>
    <s v="Resume + LinkedIn Profile"/>
    <d v="2024-09-29T00:00:00"/>
    <x v="8"/>
    <n v="1"/>
    <s v="Bronze"/>
    <s v="In Progress"/>
    <n v="22869"/>
    <x v="6"/>
    <s v="George Street"/>
    <s v="Launceston"/>
    <n v="7250"/>
    <n v="800"/>
    <n v="800"/>
  </r>
  <r>
    <s v="Craig Abel"/>
    <s v="Mentoring program"/>
    <d v="2024-09-29T00:00:00"/>
    <x v="8"/>
    <n v="3"/>
    <s v="Gold"/>
    <s v="Delivered"/>
    <n v="73272"/>
    <x v="7"/>
    <s v="Main Street"/>
    <s v="Alice Springs"/>
    <n v="870"/>
    <n v="1200"/>
    <n v="3600"/>
  </r>
  <r>
    <s v="Ahmed Milani"/>
    <s v="LinkedIn profile"/>
    <d v="2024-10-01T00:00:00"/>
    <x v="9"/>
    <n v="3"/>
    <s v="Gold"/>
    <s v="In Progress"/>
    <n v="3322"/>
    <x v="0"/>
    <s v="King Street"/>
    <s v="Whyalla"/>
    <n v="5600"/>
    <n v="300"/>
    <n v="900"/>
  </r>
  <r>
    <s v="Reed Haven"/>
    <s v="Resume + LinkedIn Profile"/>
    <d v="2024-10-02T00:00:00"/>
    <x v="9"/>
    <n v="1"/>
    <s v="Bronze"/>
    <s v="Cancelled"/>
    <n v="25681"/>
    <x v="0"/>
    <s v="King Street"/>
    <s v="Whyalla"/>
    <n v="5600"/>
    <n v="800"/>
    <n v="800"/>
  </r>
  <r>
    <s v="Pope Rose"/>
    <s v="Mentoring program"/>
    <d v="2024-10-02T00:00:00"/>
    <x v="9"/>
    <n v="2"/>
    <s v="Silver"/>
    <s v="Cancelled"/>
    <n v="88466"/>
    <x v="6"/>
    <s v="Park Avenue"/>
    <s v="Devonport"/>
    <n v="7310"/>
    <n v="1200"/>
    <n v="2400"/>
  </r>
  <r>
    <s v="Vo Kai"/>
    <s v="Mentoring program"/>
    <d v="2024-10-03T00:00:00"/>
    <x v="9"/>
    <n v="2"/>
    <s v="Silver"/>
    <s v="In Progress"/>
    <n v="92479"/>
    <x v="7"/>
    <s v="George Street"/>
    <s v="Alice Springs"/>
    <n v="870"/>
    <n v="1200"/>
    <n v="2400"/>
  </r>
  <r>
    <s v="Ashley Zaire"/>
    <s v="Networking Strategy"/>
    <d v="2024-10-03T00:00:00"/>
    <x v="9"/>
    <n v="2"/>
    <s v="Silver"/>
    <s v="In Progress"/>
    <n v="8187"/>
    <x v="7"/>
    <s v="Elizabeth Street"/>
    <s v="Darwin"/>
    <n v="800"/>
    <n v="250"/>
    <n v="500"/>
  </r>
  <r>
    <s v="Escobar Madelyn"/>
    <s v="LinkedIn profile"/>
    <d v="2024-10-04T00:00:00"/>
    <x v="9"/>
    <n v="1"/>
    <s v="Bronze"/>
    <s v="Delivered"/>
    <n v="85022"/>
    <x v="1"/>
    <s v="Elizabeth Street"/>
    <s v="Sydney"/>
    <n v="2000"/>
    <n v="300"/>
    <n v="300"/>
  </r>
  <r>
    <s v="Gross Theo"/>
    <s v="Mentoring program"/>
    <d v="2024-10-04T00:00:00"/>
    <x v="9"/>
    <n v="3"/>
    <s v="Gold"/>
    <s v="Service Booked"/>
    <n v="78322"/>
    <x v="3"/>
    <s v="Elizabeth Street"/>
    <s v="Fremantle"/>
    <n v="6160"/>
    <n v="1200"/>
    <n v="3600"/>
  </r>
  <r>
    <s v="Hunter Abigail"/>
    <s v="Interview Prep"/>
    <d v="2024-10-05T00:00:00"/>
    <x v="9"/>
    <n v="3"/>
    <s v="Gold"/>
    <s v="Service Booked"/>
    <n v="92727"/>
    <x v="2"/>
    <s v="Elizabeth Street"/>
    <s v="Brisbane"/>
    <n v="4000"/>
    <n v="250"/>
    <n v="750"/>
  </r>
  <r>
    <s v="Conner Arthur"/>
    <s v="Mentoring program"/>
    <d v="2024-10-05T00:00:00"/>
    <x v="9"/>
    <n v="1"/>
    <s v="Bronze"/>
    <s v="Delivered"/>
    <n v="81022"/>
    <x v="0"/>
    <s v="George Street"/>
    <s v="Mount Gambier"/>
    <n v="5290"/>
    <n v="1200"/>
    <n v="1200"/>
  </r>
  <r>
    <s v="Stokes Jace"/>
    <s v="Mentoring program"/>
    <d v="2024-10-06T00:00:00"/>
    <x v="9"/>
    <n v="1"/>
    <s v="Bronze"/>
    <s v="Delivered"/>
    <n v="23809"/>
    <x v="7"/>
    <s v="Elizabeth Street"/>
    <s v="Alice Springs"/>
    <n v="870"/>
    <n v="1200"/>
    <n v="1200"/>
  </r>
  <r>
    <s v="Hensley Sienna"/>
    <s v="Resume + LinkedIn Profile"/>
    <d v="2024-10-06T00:00:00"/>
    <x v="9"/>
    <n v="3"/>
    <s v="Gold"/>
    <s v="Delivered"/>
    <n v="25905"/>
    <x v="6"/>
    <s v="King Street"/>
    <s v="Launceston"/>
    <n v="7250"/>
    <n v="800"/>
    <n v="2400"/>
  </r>
  <r>
    <s v="Carr Madelynn"/>
    <s v="Mentoring program"/>
    <d v="2024-10-06T00:00:00"/>
    <x v="9"/>
    <n v="3"/>
    <s v="Gold"/>
    <s v="Delivered"/>
    <n v="89659"/>
    <x v="5"/>
    <s v="Elizabeth Street"/>
    <s v="Melbourne"/>
    <n v="3000"/>
    <n v="1200"/>
    <n v="3600"/>
  </r>
  <r>
    <s v="Estes Eduardo"/>
    <s v="Interview Prep"/>
    <d v="2024-10-06T00:00:00"/>
    <x v="9"/>
    <n v="3"/>
    <s v="Gold"/>
    <s v="Delivered"/>
    <n v="95441"/>
    <x v="6"/>
    <s v="Park Avenue"/>
    <s v="Launceston"/>
    <n v="7250"/>
    <n v="250"/>
    <n v="750"/>
  </r>
  <r>
    <s v="Hinton Josiah"/>
    <s v="Mentoring program"/>
    <d v="2024-10-07T00:00:00"/>
    <x v="9"/>
    <n v="1"/>
    <s v="Bronze"/>
    <s v="Service Booked"/>
    <n v="15417"/>
    <x v="2"/>
    <s v="Elizabeth Street"/>
    <s v="Gold Coast"/>
    <n v="4217"/>
    <n v="1200"/>
    <n v="1200"/>
  </r>
  <r>
    <s v="Griffin Isabella"/>
    <s v="Networking Strategy"/>
    <d v="2024-10-07T00:00:00"/>
    <x v="9"/>
    <n v="3"/>
    <s v="Gold"/>
    <s v="In Progress"/>
    <n v="60329"/>
    <x v="4"/>
    <s v="Main Street"/>
    <s v="Canberra"/>
    <n v="2600"/>
    <n v="250"/>
    <n v="750"/>
  </r>
  <r>
    <s v="Beil Kaleb"/>
    <s v="Resume (service fee)"/>
    <d v="2024-10-07T00:00:00"/>
    <x v="9"/>
    <n v="1"/>
    <s v="Bronze"/>
    <s v="Delivered"/>
    <n v="80363"/>
    <x v="0"/>
    <s v="George Street"/>
    <s v="Mount Gambier"/>
    <n v="5290"/>
    <n v="600"/>
    <n v="600"/>
  </r>
  <r>
    <s v="Weiss Fatima"/>
    <s v="Resume (service fee)"/>
    <d v="2024-10-07T00:00:00"/>
    <x v="9"/>
    <n v="3"/>
    <s v="Gold"/>
    <s v="Delivered"/>
    <n v="74187"/>
    <x v="7"/>
    <s v="Park Avenue"/>
    <s v="Darwin"/>
    <n v="800"/>
    <n v="600"/>
    <n v="1800"/>
  </r>
  <r>
    <s v="Poole Damian"/>
    <s v="Mentoring program"/>
    <d v="2024-10-08T00:00:00"/>
    <x v="9"/>
    <n v="2"/>
    <s v="Silver"/>
    <s v="Delivered"/>
    <n v="96385"/>
    <x v="2"/>
    <s v="Main Street"/>
    <s v="Cairns"/>
    <n v="4870"/>
    <n v="1200"/>
    <n v="2400"/>
  </r>
  <r>
    <s v="Kirk Mathias"/>
    <s v="Resume (service fee)"/>
    <d v="2024-10-09T00:00:00"/>
    <x v="9"/>
    <n v="3"/>
    <s v="Gold"/>
    <s v="Service Booked"/>
    <n v="72046"/>
    <x v="1"/>
    <s v="George Street"/>
    <s v="Wollongong"/>
    <n v="2500"/>
    <n v="600"/>
    <n v="1800"/>
  </r>
  <r>
    <s v="Hess Ronin"/>
    <s v="Mentoring program"/>
    <d v="2024-10-09T00:00:00"/>
    <x v="9"/>
    <n v="1"/>
    <s v="Bronze"/>
    <s v="Service Booked"/>
    <n v="39844"/>
    <x v="1"/>
    <s v="Park Avenue"/>
    <s v="Sydney"/>
    <n v="2000"/>
    <n v="1200"/>
    <n v="1200"/>
  </r>
  <r>
    <s v="Correa Kaiden"/>
    <s v="Mentoring program"/>
    <d v="2024-10-09T00:00:00"/>
    <x v="9"/>
    <n v="2"/>
    <s v="Silver"/>
    <s v="Service Booked"/>
    <n v="59327"/>
    <x v="4"/>
    <s v="King Street"/>
    <s v="Canberra"/>
    <n v="2600"/>
    <n v="1200"/>
    <n v="2400"/>
  </r>
  <r>
    <s v="Nolan Skylar"/>
    <s v="Networking Strategy"/>
    <d v="2024-10-09T00:00:00"/>
    <x v="9"/>
    <n v="2"/>
    <s v="Silver"/>
    <s v="Cancelled"/>
    <n v="96678"/>
    <x v="7"/>
    <s v="Park Avenue"/>
    <s v="Alice Springs"/>
    <n v="870"/>
    <n v="250"/>
    <n v="500"/>
  </r>
  <r>
    <s v="Bauer Melanie"/>
    <s v="Interview Prep"/>
    <d v="2024-10-10T00:00:00"/>
    <x v="9"/>
    <n v="1"/>
    <s v="Bronze"/>
    <s v="Service Booked"/>
    <n v="71842"/>
    <x v="2"/>
    <s v="George Street"/>
    <s v="Cairns"/>
    <n v="4870"/>
    <n v="250"/>
    <n v="250"/>
  </r>
  <r>
    <s v="Burton Grady"/>
    <s v="LinkedIn profile"/>
    <d v="2024-10-10T00:00:00"/>
    <x v="9"/>
    <n v="1"/>
    <s v="Bronze"/>
    <s v="Delivered"/>
    <n v="84789"/>
    <x v="6"/>
    <s v="Main Street"/>
    <s v="Devonport"/>
    <n v="7310"/>
    <n v="300"/>
    <n v="300"/>
  </r>
  <r>
    <s v="Gillespie Allison"/>
    <s v="LinkedIn profile"/>
    <d v="2024-10-10T00:00:00"/>
    <x v="9"/>
    <n v="3"/>
    <s v="Gold"/>
    <s v="Delivered"/>
    <n v="25421"/>
    <x v="7"/>
    <s v="Main Street"/>
    <s v="Alice Springs"/>
    <n v="870"/>
    <n v="300"/>
    <n v="900"/>
  </r>
  <r>
    <s v="Bartlett Manuel"/>
    <s v="Mentoring program"/>
    <d v="2024-10-11T00:00:00"/>
    <x v="9"/>
    <n v="3"/>
    <s v="Gold"/>
    <s v="Delivered"/>
    <n v="97402"/>
    <x v="2"/>
    <s v="Main Street"/>
    <s v="Cairns"/>
    <n v="4870"/>
    <n v="1200"/>
    <n v="3600"/>
  </r>
  <r>
    <s v="Palmer Zuri"/>
    <s v="Mentoring program"/>
    <d v="2024-10-11T00:00:00"/>
    <x v="9"/>
    <n v="1"/>
    <s v="Bronze"/>
    <s v="Service Booked"/>
    <n v="35139"/>
    <x v="3"/>
    <s v="Park Avenue"/>
    <s v="Fremantle"/>
    <n v="6160"/>
    <n v="1200"/>
    <n v="1200"/>
  </r>
  <r>
    <s v="Boyle Morgan"/>
    <s v="Resume (service fee)"/>
    <d v="2024-10-11T00:00:00"/>
    <x v="9"/>
    <n v="2"/>
    <s v="Silver"/>
    <s v="Delivered"/>
    <n v="98743"/>
    <x v="6"/>
    <s v="Main Street"/>
    <s v="Launceston"/>
    <n v="7250"/>
    <n v="600"/>
    <n v="1200"/>
  </r>
  <r>
    <s v="Horn Renata"/>
    <s v="Resume + LinkedIn Profile"/>
    <d v="2024-10-11T00:00:00"/>
    <x v="9"/>
    <n v="3"/>
    <s v="Gold"/>
    <s v="Cancelled"/>
    <n v="79236"/>
    <x v="3"/>
    <s v="George Street"/>
    <s v="Perth"/>
    <n v="6000"/>
    <n v="800"/>
    <n v="2400"/>
  </r>
  <r>
    <s v="Pacheco Erick"/>
    <s v="Interview Prep"/>
    <d v="2024-10-11T00:00:00"/>
    <x v="9"/>
    <n v="3"/>
    <s v="Gold"/>
    <s v="Service Booked"/>
    <n v="50723"/>
    <x v="7"/>
    <s v="Park Avenue"/>
    <s v="Darwin"/>
    <n v="800"/>
    <n v="250"/>
    <n v="750"/>
  </r>
  <r>
    <s v="Watts Dakota"/>
    <s v="LinkedIn profile"/>
    <d v="2024-10-12T00:00:00"/>
    <x v="9"/>
    <n v="2"/>
    <s v="Silver"/>
    <s v="Delivered"/>
    <n v="52326"/>
    <x v="6"/>
    <s v="King Street"/>
    <s v="Launceston"/>
    <n v="7250"/>
    <n v="300"/>
    <n v="600"/>
  </r>
  <r>
    <s v="Pitts Michelle"/>
    <s v="Networking Strategy"/>
    <d v="2024-10-12T00:00:00"/>
    <x v="9"/>
    <n v="1"/>
    <s v="Bronze"/>
    <s v="Service Booked"/>
    <n v="9746"/>
    <x v="7"/>
    <s v="Park Avenue"/>
    <s v="Alice Springs"/>
    <n v="870"/>
    <n v="250"/>
    <n v="250"/>
  </r>
  <r>
    <s v="Roy Arya"/>
    <s v="Networking Strategy"/>
    <d v="2024-10-12T00:00:00"/>
    <x v="9"/>
    <n v="2"/>
    <s v="Silver"/>
    <s v="In Progress"/>
    <n v="28242"/>
    <x v="3"/>
    <s v="Elizabeth Street"/>
    <s v="Perth"/>
    <n v="6000"/>
    <n v="250"/>
    <n v="500"/>
  </r>
  <r>
    <s v="Reynolds Alayna"/>
    <s v="Networking Strategy"/>
    <d v="2024-10-13T00:00:00"/>
    <x v="9"/>
    <n v="3"/>
    <s v="Gold"/>
    <s v="Delivered"/>
    <n v="17645"/>
    <x v="2"/>
    <s v="Park Avenue"/>
    <s v="Gold Coast"/>
    <n v="4217"/>
    <n v="250"/>
    <n v="750"/>
  </r>
  <r>
    <s v="Dixon Kylo"/>
    <s v="LinkedIn profile"/>
    <d v="2024-10-14T00:00:00"/>
    <x v="9"/>
    <n v="2"/>
    <s v="Silver"/>
    <s v="Service Booked"/>
    <n v="5578"/>
    <x v="2"/>
    <s v="George Street"/>
    <s v="Brisbane"/>
    <n v="4000"/>
    <n v="300"/>
    <n v="600"/>
  </r>
  <r>
    <s v="Magana Kyrie"/>
    <s v="LinkedIn profile"/>
    <d v="2024-10-15T00:00:00"/>
    <x v="9"/>
    <n v="3"/>
    <s v="Gold"/>
    <s v="Service Booked"/>
    <n v="57382"/>
    <x v="4"/>
    <s v="Main Street"/>
    <s v="Canberra"/>
    <n v="2600"/>
    <n v="300"/>
    <n v="900"/>
  </r>
  <r>
    <s v="Castaneda Rylee"/>
    <s v="Resume + LinkedIn Profile"/>
    <d v="2024-10-16T00:00:00"/>
    <x v="9"/>
    <n v="3"/>
    <s v="Gold"/>
    <s v="Service Booked"/>
    <n v="98534"/>
    <x v="1"/>
    <s v="Main Street"/>
    <s v="Wollongong"/>
    <n v="2500"/>
    <n v="800"/>
    <n v="2400"/>
  </r>
  <r>
    <s v="Wolfe Amari"/>
    <s v="Resume + LinkedIn Profile"/>
    <d v="2024-10-16T00:00:00"/>
    <x v="9"/>
    <n v="3"/>
    <s v="Gold"/>
    <s v="Delivered"/>
    <n v="16558"/>
    <x v="1"/>
    <s v="King Street"/>
    <s v="Newcastle"/>
    <n v="2300"/>
    <n v="800"/>
    <n v="2400"/>
  </r>
  <r>
    <s v="Sanford Rosie"/>
    <s v="Resume (service fee)"/>
    <d v="2024-10-16T00:00:00"/>
    <x v="9"/>
    <n v="2"/>
    <s v="Silver"/>
    <s v="Service Booked"/>
    <n v="50131"/>
    <x v="3"/>
    <s v="Park Avenue"/>
    <s v="Broome"/>
    <n v="6725"/>
    <n v="600"/>
    <n v="1200"/>
  </r>
  <r>
    <s v="Stafford Elaina"/>
    <s v="Mentoring program"/>
    <d v="2024-10-17T00:00:00"/>
    <x v="9"/>
    <n v="3"/>
    <s v="Gold"/>
    <s v="Service Booked"/>
    <n v="74581"/>
    <x v="0"/>
    <s v="George Street"/>
    <s v="Adelaide"/>
    <n v="5000"/>
    <n v="1200"/>
    <n v="3600"/>
  </r>
  <r>
    <s v="Johns Payton"/>
    <s v="Networking Strategy"/>
    <d v="2024-10-17T00:00:00"/>
    <x v="9"/>
    <n v="2"/>
    <s v="Silver"/>
    <s v="Delivered"/>
    <n v="70745"/>
    <x v="3"/>
    <s v="King Street"/>
    <s v="Broome"/>
    <n v="6725"/>
    <n v="250"/>
    <n v="500"/>
  </r>
  <r>
    <s v="Briggs Andy"/>
    <s v="Mentoring program"/>
    <d v="2024-10-18T00:00:00"/>
    <x v="9"/>
    <n v="2"/>
    <s v="Silver"/>
    <s v="Service Booked"/>
    <n v="55312"/>
    <x v="0"/>
    <s v="Elizabeth Street"/>
    <s v="Whyalla"/>
    <n v="5600"/>
    <n v="1200"/>
    <n v="2400"/>
  </r>
  <r>
    <s v="Fuentes Sutton"/>
    <s v="Mentoring program"/>
    <d v="2024-10-19T00:00:00"/>
    <x v="9"/>
    <n v="3"/>
    <s v="Gold"/>
    <s v="Service Booked"/>
    <n v="64509"/>
    <x v="2"/>
    <s v="Main Street"/>
    <s v="Gold Coast"/>
    <n v="4217"/>
    <n v="1200"/>
    <n v="3600"/>
  </r>
  <r>
    <s v="Lowery Isabelle"/>
    <s v="Networking Strategy"/>
    <d v="2024-10-20T00:00:00"/>
    <x v="9"/>
    <n v="1"/>
    <s v="Bronze"/>
    <s v="In Progress"/>
    <n v="58173"/>
    <x v="4"/>
    <s v="George Street"/>
    <s v="Canberra"/>
    <n v="2600"/>
    <n v="250"/>
    <n v="250"/>
  </r>
  <r>
    <s v="Joseph Fernanda"/>
    <s v="Resume (service fee)"/>
    <d v="2024-10-20T00:00:00"/>
    <x v="9"/>
    <n v="2"/>
    <s v="Silver"/>
    <s v="Delivered"/>
    <n v="56997"/>
    <x v="5"/>
    <s v="Main Street"/>
    <s v="Ballarat"/>
    <n v="3350"/>
    <n v="600"/>
    <n v="1200"/>
  </r>
  <r>
    <s v="Adams Valerie"/>
    <s v="Resume + LinkedIn Profile"/>
    <d v="2024-10-20T00:00:00"/>
    <x v="9"/>
    <n v="3"/>
    <s v="Gold"/>
    <s v="Delivered"/>
    <n v="95328"/>
    <x v="4"/>
    <s v="King Street"/>
    <s v="Canberra"/>
    <n v="2600"/>
    <n v="800"/>
    <n v="2400"/>
  </r>
  <r>
    <s v="Fletcher Kendrick"/>
    <s v="Mentoring program"/>
    <d v="2024-10-20T00:00:00"/>
    <x v="9"/>
    <n v="1"/>
    <s v="Bronze"/>
    <s v="Delivered"/>
    <n v="12655"/>
    <x v="5"/>
    <s v="George Street"/>
    <s v="Geelong"/>
    <n v="3220"/>
    <n v="1200"/>
    <n v="1200"/>
  </r>
  <r>
    <s v="Wong Julian"/>
    <s v="LinkedIn profile"/>
    <d v="2024-10-21T00:00:00"/>
    <x v="9"/>
    <n v="2"/>
    <s v="Silver"/>
    <s v="Delivered"/>
    <n v="55336"/>
    <x v="1"/>
    <s v="Main Street"/>
    <s v="Newcastle"/>
    <n v="2300"/>
    <n v="300"/>
    <n v="600"/>
  </r>
  <r>
    <s v="Klein Nash"/>
    <s v="LinkedIn profile"/>
    <d v="2024-10-21T00:00:00"/>
    <x v="9"/>
    <n v="2"/>
    <s v="Silver"/>
    <s v="Cancelled"/>
    <n v="24047"/>
    <x v="6"/>
    <s v="Elizabeth Street"/>
    <s v="Launceston"/>
    <n v="7250"/>
    <n v="300"/>
    <n v="600"/>
  </r>
  <r>
    <s v="Anderson Kaiden"/>
    <s v="LinkedIn profile"/>
    <d v="2024-10-23T00:00:00"/>
    <x v="9"/>
    <n v="1"/>
    <s v="Bronze"/>
    <s v="Service Booked"/>
    <n v="82168"/>
    <x v="6"/>
    <s v="King Street"/>
    <s v="Hobart"/>
    <n v="7000"/>
    <n v="300"/>
    <n v="300"/>
  </r>
  <r>
    <s v="Cooper Nasir"/>
    <s v="LinkedIn profile"/>
    <d v="2024-10-23T00:00:00"/>
    <x v="9"/>
    <n v="3"/>
    <s v="Gold"/>
    <s v="Delivered"/>
    <n v="70174"/>
    <x v="0"/>
    <s v="King Street"/>
    <s v="Adelaide"/>
    <n v="5000"/>
    <n v="300"/>
    <n v="900"/>
  </r>
  <r>
    <s v="Arias Everett"/>
    <s v="Resume (service fee)"/>
    <d v="2024-10-23T00:00:00"/>
    <x v="9"/>
    <n v="1"/>
    <s v="Bronze"/>
    <s v="Service Booked"/>
    <n v="37095"/>
    <x v="3"/>
    <s v="Elizabeth Street"/>
    <s v="Fremantle"/>
    <n v="6160"/>
    <n v="600"/>
    <n v="600"/>
  </r>
  <r>
    <s v="Mcdaniel Eliza"/>
    <s v="Interview Prep"/>
    <d v="2024-10-24T00:00:00"/>
    <x v="9"/>
    <n v="2"/>
    <s v="Silver"/>
    <s v="Service Booked"/>
    <n v="51450"/>
    <x v="5"/>
    <s v="Park Avenue"/>
    <s v="Ballarat"/>
    <n v="3350"/>
    <n v="250"/>
    <n v="500"/>
  </r>
  <r>
    <s v="Ayala Elaina"/>
    <s v="Mentoring program"/>
    <d v="2024-10-24T00:00:00"/>
    <x v="9"/>
    <n v="1"/>
    <s v="Bronze"/>
    <s v="Service Booked"/>
    <n v="15747"/>
    <x v="7"/>
    <s v="Park Avenue"/>
    <s v="Alice Springs"/>
    <n v="870"/>
    <n v="1200"/>
    <n v="1200"/>
  </r>
  <r>
    <s v="Stephens Taylor"/>
    <s v="Resume + LinkedIn Profile"/>
    <d v="2024-10-24T00:00:00"/>
    <x v="9"/>
    <n v="3"/>
    <s v="Gold"/>
    <s v="In Progress"/>
    <n v="69667"/>
    <x v="4"/>
    <s v="Park Avenue"/>
    <s v="Canberra"/>
    <n v="2600"/>
    <n v="800"/>
    <n v="2400"/>
  </r>
  <r>
    <s v="Truong Zoey"/>
    <s v="Mentoring program"/>
    <d v="2024-10-24T00:00:00"/>
    <x v="9"/>
    <n v="2"/>
    <s v="Silver"/>
    <s v="Service Booked"/>
    <n v="35329"/>
    <x v="1"/>
    <s v="Elizabeth Street"/>
    <s v="Wollongong"/>
    <n v="2500"/>
    <n v="1200"/>
    <n v="2400"/>
  </r>
  <r>
    <s v="Patel Elian"/>
    <s v="Mentoring program"/>
    <d v="2024-10-24T00:00:00"/>
    <x v="9"/>
    <n v="3"/>
    <s v="Gold"/>
    <s v="Service Booked"/>
    <n v="59332"/>
    <x v="2"/>
    <s v="Main Street"/>
    <s v="Brisbane"/>
    <n v="4000"/>
    <n v="1200"/>
    <n v="3600"/>
  </r>
  <r>
    <s v="Leon Elliott"/>
    <s v="Resume (service fee)"/>
    <d v="2024-10-25T00:00:00"/>
    <x v="9"/>
    <n v="3"/>
    <s v="Gold"/>
    <s v="Service Booked"/>
    <n v="52113"/>
    <x v="0"/>
    <s v="Elizabeth Street"/>
    <s v="Mount Gambier"/>
    <n v="5290"/>
    <n v="600"/>
    <n v="1800"/>
  </r>
  <r>
    <s v="Stone Isabel"/>
    <s v="LinkedIn profile"/>
    <d v="2024-10-25T00:00:00"/>
    <x v="9"/>
    <n v="1"/>
    <s v="Bronze"/>
    <s v="Cancelled"/>
    <n v="57145"/>
    <x v="6"/>
    <s v="Elizabeth Street"/>
    <s v="Launceston"/>
    <n v="7250"/>
    <n v="300"/>
    <n v="300"/>
  </r>
  <r>
    <s v="Rice Diana"/>
    <s v="Resume + LinkedIn Profile"/>
    <d v="2024-10-26T00:00:00"/>
    <x v="9"/>
    <n v="2"/>
    <s v="Silver"/>
    <s v="Delivered"/>
    <n v="72499"/>
    <x v="3"/>
    <s v="Main Street"/>
    <s v="Fremantle"/>
    <n v="6160"/>
    <n v="800"/>
    <n v="1600"/>
  </r>
  <r>
    <s v="Trejo Josephine"/>
    <s v="Resume + LinkedIn Profile"/>
    <d v="2024-10-26T00:00:00"/>
    <x v="9"/>
    <n v="3"/>
    <s v="Gold"/>
    <s v="Service Booked"/>
    <n v="17570"/>
    <x v="5"/>
    <s v="Elizabeth Street"/>
    <s v="Ballarat"/>
    <n v="3350"/>
    <n v="800"/>
    <n v="2400"/>
  </r>
  <r>
    <s v="Shepherd Hayden"/>
    <s v="Resume + LinkedIn Profile"/>
    <d v="2024-10-26T00:00:00"/>
    <x v="9"/>
    <n v="3"/>
    <s v="Gold"/>
    <s v="In Progress"/>
    <n v="10304"/>
    <x v="3"/>
    <s v="Elizabeth Street"/>
    <s v="Broome"/>
    <n v="6725"/>
    <n v="800"/>
    <n v="2400"/>
  </r>
  <r>
    <s v="Ballard Rylie"/>
    <s v="Mentoring program"/>
    <d v="2024-10-26T00:00:00"/>
    <x v="9"/>
    <n v="2"/>
    <s v="Silver"/>
    <s v="Delivered"/>
    <n v="42498"/>
    <x v="7"/>
    <s v="George Street"/>
    <s v="Darwin"/>
    <n v="800"/>
    <n v="1200"/>
    <n v="2400"/>
  </r>
  <r>
    <s v="Reyes Aaliyah"/>
    <s v="Resume + LinkedIn Profile"/>
    <d v="2024-10-26T00:00:00"/>
    <x v="9"/>
    <n v="3"/>
    <s v="Gold"/>
    <s v="Service Booked"/>
    <n v="44156"/>
    <x v="1"/>
    <s v="George Street"/>
    <s v="Newcastle"/>
    <n v="2300"/>
    <n v="800"/>
    <n v="2400"/>
  </r>
  <r>
    <s v="Drake Jimena"/>
    <s v="Networking Strategy"/>
    <d v="2024-10-26T00:00:00"/>
    <x v="9"/>
    <n v="3"/>
    <s v="Gold"/>
    <s v="Service Booked"/>
    <n v="16697"/>
    <x v="2"/>
    <s v="Elizabeth Street"/>
    <s v="Cairns"/>
    <n v="4870"/>
    <n v="250"/>
    <n v="750"/>
  </r>
  <r>
    <s v="Sims Cooper"/>
    <s v="Networking Strategy"/>
    <d v="2024-10-26T00:00:00"/>
    <x v="9"/>
    <n v="1"/>
    <s v="Bronze"/>
    <s v="Service Booked"/>
    <n v="42244"/>
    <x v="1"/>
    <s v="George Street"/>
    <s v="Wollongong"/>
    <n v="2500"/>
    <n v="250"/>
    <n v="250"/>
  </r>
  <r>
    <s v="Mann Cody"/>
    <s v="Mentoring program"/>
    <d v="2024-10-26T00:00:00"/>
    <x v="9"/>
    <n v="2"/>
    <s v="Silver"/>
    <s v="Delivered"/>
    <n v="76873"/>
    <x v="3"/>
    <s v="George Street"/>
    <s v="Fremantle"/>
    <n v="6160"/>
    <n v="1200"/>
    <n v="2400"/>
  </r>
  <r>
    <s v="Bailey Kevin"/>
    <s v="Interview Prep"/>
    <d v="2024-10-26T00:00:00"/>
    <x v="9"/>
    <n v="3"/>
    <s v="Gold"/>
    <s v="Service Booked"/>
    <n v="7319"/>
    <x v="0"/>
    <s v="Elizabeth Street"/>
    <s v="Mount Gambier"/>
    <n v="5290"/>
    <n v="250"/>
    <n v="750"/>
  </r>
  <r>
    <s v="Hamilton Asher"/>
    <s v="Networking Strategy"/>
    <d v="2024-10-27T00:00:00"/>
    <x v="9"/>
    <n v="2"/>
    <s v="Silver"/>
    <s v="Cancelled"/>
    <n v="92230"/>
    <x v="7"/>
    <s v="Elizabeth Street"/>
    <s v="Alice Springs"/>
    <n v="870"/>
    <n v="250"/>
    <n v="500"/>
  </r>
  <r>
    <s v="Ponce Nadia"/>
    <s v="Networking Strategy"/>
    <d v="2024-10-27T00:00:00"/>
    <x v="9"/>
    <n v="3"/>
    <s v="Gold"/>
    <s v="In Progress"/>
    <n v="48828"/>
    <x v="5"/>
    <s v="King Street"/>
    <s v="Ballarat"/>
    <n v="3350"/>
    <n v="250"/>
    <n v="750"/>
  </r>
  <r>
    <s v="Crosby Jasper"/>
    <s v="Networking Strategy"/>
    <d v="2024-10-27T00:00:00"/>
    <x v="9"/>
    <n v="3"/>
    <s v="Gold"/>
    <s v="Delivered"/>
    <n v="2090"/>
    <x v="4"/>
    <s v="Elizabeth Street"/>
    <s v="Canberra"/>
    <n v="2600"/>
    <n v="250"/>
    <n v="750"/>
  </r>
  <r>
    <s v="Greene Muhammad"/>
    <s v="LinkedIn profile"/>
    <d v="2024-10-27T00:00:00"/>
    <x v="9"/>
    <n v="1"/>
    <s v="Bronze"/>
    <s v="Cancelled"/>
    <n v="35453"/>
    <x v="1"/>
    <s v="George Street"/>
    <s v="Newcastle"/>
    <n v="2300"/>
    <n v="300"/>
    <n v="300"/>
  </r>
  <r>
    <s v="Richardson Marlee"/>
    <s v="Interview Prep"/>
    <d v="2024-10-28T00:00:00"/>
    <x v="9"/>
    <n v="2"/>
    <s v="Silver"/>
    <s v="Service Booked"/>
    <n v="48257"/>
    <x v="4"/>
    <s v="Park Avenue"/>
    <s v="Canberra"/>
    <n v="2600"/>
    <n v="250"/>
    <n v="500"/>
  </r>
  <r>
    <s v="Carey Rosie"/>
    <s v="Mentoring program"/>
    <d v="2024-10-29T00:00:00"/>
    <x v="9"/>
    <n v="3"/>
    <s v="Gold"/>
    <s v="Delivered"/>
    <n v="48249"/>
    <x v="1"/>
    <s v="George Street"/>
    <s v="Wollongong"/>
    <n v="2500"/>
    <n v="1200"/>
    <n v="3600"/>
  </r>
  <r>
    <s v="Sellers Gael"/>
    <s v="Interview Prep"/>
    <d v="2024-10-29T00:00:00"/>
    <x v="9"/>
    <n v="3"/>
    <s v="Gold"/>
    <s v="Delivered"/>
    <n v="95411"/>
    <x v="7"/>
    <s v="Park Avenue"/>
    <s v="Alice Springs"/>
    <n v="870"/>
    <n v="250"/>
    <n v="750"/>
  </r>
  <r>
    <s v="Graham Zyaire"/>
    <s v="LinkedIn profile"/>
    <d v="2024-10-29T00:00:00"/>
    <x v="9"/>
    <n v="1"/>
    <s v="Bronze"/>
    <s v="In Progress"/>
    <n v="12106"/>
    <x v="2"/>
    <s v="Main Street"/>
    <s v="Cairns"/>
    <n v="4870"/>
    <n v="300"/>
    <n v="300"/>
  </r>
  <r>
    <s v="Walsh Alijah"/>
    <s v="Networking Strategy"/>
    <d v="2024-10-30T00:00:00"/>
    <x v="9"/>
    <n v="2"/>
    <s v="Silver"/>
    <s v="Cancelled"/>
    <n v="96965"/>
    <x v="1"/>
    <s v="George Street"/>
    <s v="Sydney"/>
    <n v="2000"/>
    <n v="250"/>
    <n v="500"/>
  </r>
  <r>
    <s v="Huerta Avianna"/>
    <s v="Mentoring program"/>
    <d v="2024-10-31T00:00:00"/>
    <x v="9"/>
    <n v="2"/>
    <s v="Silver"/>
    <s v="In Progress"/>
    <n v="15747"/>
    <x v="4"/>
    <s v="Elizabeth Street"/>
    <s v="Canberra"/>
    <n v="2600"/>
    <n v="1200"/>
    <n v="2400"/>
  </r>
  <r>
    <s v="Blevins Logan"/>
    <s v="Mentoring program"/>
    <d v="2024-10-31T00:00:00"/>
    <x v="9"/>
    <n v="1"/>
    <s v="Bronze"/>
    <s v="Service Booked"/>
    <n v="75054"/>
    <x v="5"/>
    <s v="Main Street"/>
    <s v="Ballarat"/>
    <n v="3350"/>
    <n v="1200"/>
    <n v="1200"/>
  </r>
  <r>
    <s v="Singh Elise"/>
    <s v="Resume (service fee)"/>
    <d v="2024-10-31T00:00:00"/>
    <x v="9"/>
    <n v="2"/>
    <s v="Silver"/>
    <s v="Service Booked"/>
    <n v="82639"/>
    <x v="2"/>
    <s v="King Street"/>
    <s v="Brisbane"/>
    <n v="4000"/>
    <n v="600"/>
    <n v="1200"/>
  </r>
  <r>
    <s v="Hunter Luca"/>
    <s v="Resume (service fee)"/>
    <d v="2024-11-01T00:00:00"/>
    <x v="10"/>
    <n v="2"/>
    <s v="Silver"/>
    <s v="Service Booked"/>
    <n v="37556"/>
    <x v="1"/>
    <s v="Park Avenue"/>
    <s v="Wollongong"/>
    <n v="2500"/>
    <n v="600"/>
    <n v="1200"/>
  </r>
  <r>
    <s v="Gibson Romeo"/>
    <s v="Networking Strategy"/>
    <d v="2024-11-01T00:00:00"/>
    <x v="10"/>
    <n v="3"/>
    <s v="Gold"/>
    <s v="Service Booked"/>
    <n v="42347"/>
    <x v="6"/>
    <s v="Main Street"/>
    <s v="Launceston"/>
    <n v="7250"/>
    <n v="250"/>
    <n v="750"/>
  </r>
  <r>
    <s v="Cooper Makenna"/>
    <s v="Interview Prep"/>
    <d v="2024-11-01T00:00:00"/>
    <x v="10"/>
    <n v="2"/>
    <s v="Silver"/>
    <s v="Delivered"/>
    <n v="86889"/>
    <x v="5"/>
    <s v="King Street"/>
    <s v="Geelong"/>
    <n v="3220"/>
    <n v="250"/>
    <n v="500"/>
  </r>
  <r>
    <s v="Jaramillo Camilla"/>
    <s v="Resume + LinkedIn Profile"/>
    <d v="2024-11-02T00:00:00"/>
    <x v="10"/>
    <n v="1"/>
    <s v="Bronze"/>
    <s v="Cancelled"/>
    <n v="35625"/>
    <x v="1"/>
    <s v="Park Avenue"/>
    <s v="Newcastle"/>
    <n v="2300"/>
    <n v="800"/>
    <n v="800"/>
  </r>
  <r>
    <s v="Bradshaw Dax"/>
    <s v="LinkedIn profile"/>
    <d v="2024-11-03T00:00:00"/>
    <x v="10"/>
    <n v="3"/>
    <s v="Gold"/>
    <s v="Delivered"/>
    <n v="24519"/>
    <x v="0"/>
    <s v="Main Street"/>
    <s v="Adelaide"/>
    <n v="5000"/>
    <n v="300"/>
    <n v="900"/>
  </r>
  <r>
    <s v="Griffith Kashton"/>
    <s v="Resume (service fee)"/>
    <d v="2024-11-03T00:00:00"/>
    <x v="10"/>
    <n v="1"/>
    <s v="Bronze"/>
    <s v="In Progress"/>
    <n v="5589"/>
    <x v="0"/>
    <s v="Park Avenue"/>
    <s v="Whyalla"/>
    <n v="5600"/>
    <n v="600"/>
    <n v="600"/>
  </r>
  <r>
    <s v="Santiago Kobe"/>
    <s v="Interview Prep"/>
    <d v="2024-11-03T00:00:00"/>
    <x v="10"/>
    <n v="3"/>
    <s v="Gold"/>
    <s v="Delivered"/>
    <n v="23219"/>
    <x v="4"/>
    <s v="George Street"/>
    <s v="Canberra"/>
    <n v="2600"/>
    <n v="250"/>
    <n v="750"/>
  </r>
  <r>
    <s v="Washington Savannah"/>
    <s v="Mentoring program"/>
    <d v="2024-11-03T00:00:00"/>
    <x v="10"/>
    <n v="2"/>
    <s v="Silver"/>
    <s v="In Progress"/>
    <n v="48740"/>
    <x v="0"/>
    <s v="George Street"/>
    <s v="Mount Gambier"/>
    <n v="5290"/>
    <n v="1200"/>
    <n v="2400"/>
  </r>
  <r>
    <s v="Hobbs Adalyn"/>
    <s v="Mentoring program"/>
    <d v="2024-11-03T00:00:00"/>
    <x v="10"/>
    <n v="1"/>
    <s v="Bronze"/>
    <s v="Service Booked"/>
    <n v="31139"/>
    <x v="5"/>
    <s v="King Street"/>
    <s v="Melbourne"/>
    <n v="3000"/>
    <n v="1200"/>
    <n v="1200"/>
  </r>
  <r>
    <s v="Rosales Malik"/>
    <s v="Interview Prep"/>
    <d v="2024-11-04T00:00:00"/>
    <x v="10"/>
    <n v="1"/>
    <s v="Bronze"/>
    <s v="Service Booked"/>
    <n v="66610"/>
    <x v="6"/>
    <s v="Main Street"/>
    <s v="Devonport"/>
    <n v="7310"/>
    <n v="250"/>
    <n v="250"/>
  </r>
  <r>
    <s v="Mcintyre June"/>
    <s v="Mentoring program"/>
    <d v="2024-11-05T00:00:00"/>
    <x v="10"/>
    <n v="3"/>
    <s v="Gold"/>
    <s v="Cancelled"/>
    <n v="86279"/>
    <x v="5"/>
    <s v="Elizabeth Street"/>
    <s v="Ballarat"/>
    <n v="3350"/>
    <n v="1200"/>
    <n v="3600"/>
  </r>
  <r>
    <s v="Krueger Kaia"/>
    <s v="Mentoring program"/>
    <d v="2024-11-06T00:00:00"/>
    <x v="10"/>
    <n v="1"/>
    <s v="Bronze"/>
    <s v="Delivered"/>
    <n v="82175"/>
    <x v="7"/>
    <s v="Main Street"/>
    <s v="Darwin"/>
    <n v="800"/>
    <n v="1200"/>
    <n v="1200"/>
  </r>
  <r>
    <s v="Frazier Ella"/>
    <s v="Mentoring program"/>
    <d v="2024-11-07T00:00:00"/>
    <x v="10"/>
    <n v="1"/>
    <s v="Bronze"/>
    <s v="Service Booked"/>
    <n v="4375"/>
    <x v="7"/>
    <s v="Park Avenue"/>
    <s v="Darwin"/>
    <n v="800"/>
    <n v="1200"/>
    <n v="1200"/>
  </r>
  <r>
    <s v="Wilson Santiago"/>
    <s v="Resume (service fee)"/>
    <d v="2024-11-08T00:00:00"/>
    <x v="10"/>
    <n v="3"/>
    <s v="Gold"/>
    <s v="Service Booked"/>
    <n v="77176"/>
    <x v="7"/>
    <s v="Elizabeth Street"/>
    <s v="Alice Springs"/>
    <n v="870"/>
    <n v="600"/>
    <n v="1800"/>
  </r>
  <r>
    <s v="Myers Morgan"/>
    <s v="LinkedIn profile"/>
    <d v="2024-11-08T00:00:00"/>
    <x v="10"/>
    <n v="2"/>
    <s v="Silver"/>
    <s v="Service Booked"/>
    <n v="46944"/>
    <x v="7"/>
    <s v="King Street"/>
    <s v="Darwin"/>
    <n v="800"/>
    <n v="300"/>
    <n v="600"/>
  </r>
  <r>
    <s v="Pugh Gracelyn"/>
    <s v="Resume + LinkedIn Profile"/>
    <d v="2024-11-08T00:00:00"/>
    <x v="10"/>
    <n v="1"/>
    <s v="Bronze"/>
    <s v="In Progress"/>
    <n v="45182"/>
    <x v="0"/>
    <s v="Elizabeth Street"/>
    <s v="Adelaide"/>
    <n v="5000"/>
    <n v="800"/>
    <n v="800"/>
  </r>
  <r>
    <s v="Mccormick Alani"/>
    <s v="Mentoring program"/>
    <d v="2024-11-09T00:00:00"/>
    <x v="10"/>
    <n v="1"/>
    <s v="Bronze"/>
    <s v="Delivered"/>
    <n v="14702"/>
    <x v="4"/>
    <s v="George Street"/>
    <s v="Canberra"/>
    <n v="2600"/>
    <n v="1200"/>
    <n v="1200"/>
  </r>
  <r>
    <s v="Barajas Teagan"/>
    <s v="Mentoring program"/>
    <d v="2024-11-09T00:00:00"/>
    <x v="10"/>
    <n v="3"/>
    <s v="Gold"/>
    <s v="Service Booked"/>
    <n v="59281"/>
    <x v="6"/>
    <s v="Elizabeth Street"/>
    <s v="Launceston"/>
    <n v="7250"/>
    <n v="1200"/>
    <n v="3600"/>
  </r>
  <r>
    <s v="Burns Danielle"/>
    <s v="Networking Strategy"/>
    <d v="2024-11-09T00:00:00"/>
    <x v="10"/>
    <n v="2"/>
    <s v="Silver"/>
    <s v="Service Booked"/>
    <n v="6491"/>
    <x v="1"/>
    <s v="Elizabeth Street"/>
    <s v="Newcastle"/>
    <n v="2300"/>
    <n v="250"/>
    <n v="500"/>
  </r>
  <r>
    <s v="Esparza Connor"/>
    <s v="Mentoring program"/>
    <d v="2024-11-09T00:00:00"/>
    <x v="10"/>
    <n v="2"/>
    <s v="Silver"/>
    <s v="Cancelled"/>
    <n v="85585"/>
    <x v="6"/>
    <s v="King Street"/>
    <s v="Devonport"/>
    <n v="7310"/>
    <n v="1200"/>
    <n v="2400"/>
  </r>
  <r>
    <s v="Best Allison"/>
    <s v="Mentoring program"/>
    <d v="2024-11-09T00:00:00"/>
    <x v="10"/>
    <n v="2"/>
    <s v="Silver"/>
    <s v="Service Booked"/>
    <n v="17374"/>
    <x v="7"/>
    <s v="Main Street"/>
    <s v="Alice Springs"/>
    <n v="870"/>
    <n v="1200"/>
    <n v="2400"/>
  </r>
  <r>
    <s v="Velasquez Collin"/>
    <s v="Interview Prep"/>
    <d v="2024-11-10T00:00:00"/>
    <x v="10"/>
    <n v="2"/>
    <s v="Silver"/>
    <s v="Service Booked"/>
    <n v="81105"/>
    <x v="1"/>
    <s v="Park Avenue"/>
    <s v="Newcastle"/>
    <n v="2300"/>
    <n v="250"/>
    <n v="500"/>
  </r>
  <r>
    <s v="O’Connell Amir"/>
    <s v="Resume + LinkedIn Profile"/>
    <d v="2024-11-10T00:00:00"/>
    <x v="10"/>
    <n v="2"/>
    <s v="Silver"/>
    <s v="Cancelled"/>
    <n v="39697"/>
    <x v="5"/>
    <s v="Main Street"/>
    <s v="Melbourne"/>
    <n v="3000"/>
    <n v="800"/>
    <n v="1600"/>
  </r>
  <r>
    <s v="Cortéz Gael"/>
    <s v="Networking Strategy"/>
    <d v="2024-11-10T00:00:00"/>
    <x v="10"/>
    <n v="2"/>
    <s v="Silver"/>
    <s v="Delivered"/>
    <n v="10582"/>
    <x v="0"/>
    <s v="King Street"/>
    <s v="Adelaide"/>
    <n v="5000"/>
    <n v="250"/>
    <n v="500"/>
  </r>
  <r>
    <s v="Acosta Willa"/>
    <s v="LinkedIn profile"/>
    <d v="2024-11-11T00:00:00"/>
    <x v="10"/>
    <n v="1"/>
    <s v="Bronze"/>
    <s v="Cancelled"/>
    <n v="85362"/>
    <x v="0"/>
    <s v="George Street"/>
    <s v="Adelaide"/>
    <n v="5000"/>
    <n v="300"/>
    <n v="300"/>
  </r>
  <r>
    <s v="Schmitt Daniela"/>
    <s v="Networking Strategy"/>
    <d v="2024-11-11T00:00:00"/>
    <x v="10"/>
    <n v="3"/>
    <s v="Gold"/>
    <s v="Service Booked"/>
    <n v="79103"/>
    <x v="3"/>
    <s v="Park Avenue"/>
    <s v="Broome"/>
    <n v="6725"/>
    <n v="250"/>
    <n v="750"/>
  </r>
  <r>
    <s v="Landry Dream"/>
    <s v="Mentoring program"/>
    <d v="2024-11-11T00:00:00"/>
    <x v="10"/>
    <n v="3"/>
    <s v="Gold"/>
    <s v="Service Booked"/>
    <n v="46257"/>
    <x v="4"/>
    <s v="King Street"/>
    <s v="Canberra"/>
    <n v="2600"/>
    <n v="1200"/>
    <n v="3600"/>
  </r>
  <r>
    <s v="Barrett Emanuel"/>
    <s v="Mentoring program"/>
    <d v="2024-11-11T00:00:00"/>
    <x v="10"/>
    <n v="2"/>
    <s v="Silver"/>
    <s v="Service Booked"/>
    <n v="73260"/>
    <x v="0"/>
    <s v="George Street"/>
    <s v="Whyalla"/>
    <n v="5600"/>
    <n v="1200"/>
    <n v="2400"/>
  </r>
  <r>
    <s v="Bernal Fernando"/>
    <s v="Resume (service fee)"/>
    <d v="2024-11-11T00:00:00"/>
    <x v="10"/>
    <n v="1"/>
    <s v="Bronze"/>
    <s v="Delivered"/>
    <n v="54885"/>
    <x v="0"/>
    <s v="Main Street"/>
    <s v="Whyalla"/>
    <n v="5600"/>
    <n v="600"/>
    <n v="600"/>
  </r>
  <r>
    <s v="Campbell Angela"/>
    <s v="Mentoring program"/>
    <d v="2024-11-12T00:00:00"/>
    <x v="10"/>
    <n v="1"/>
    <s v="Bronze"/>
    <s v="Cancelled"/>
    <n v="72009"/>
    <x v="1"/>
    <s v="Park Avenue"/>
    <s v="Wollongong"/>
    <n v="2500"/>
    <n v="1200"/>
    <n v="1200"/>
  </r>
  <r>
    <s v="Gallagher Adaline"/>
    <s v="Resume (service fee)"/>
    <d v="2024-11-13T00:00:00"/>
    <x v="10"/>
    <n v="1"/>
    <s v="Bronze"/>
    <s v="Delivered"/>
    <n v="91161"/>
    <x v="7"/>
    <s v="George Street"/>
    <s v="Darwin"/>
    <n v="800"/>
    <n v="600"/>
    <n v="600"/>
  </r>
  <r>
    <s v="Duran Emilia"/>
    <s v="Networking Strategy"/>
    <d v="2024-11-13T00:00:00"/>
    <x v="10"/>
    <n v="1"/>
    <s v="Bronze"/>
    <s v="Delivered"/>
    <n v="15120"/>
    <x v="0"/>
    <s v="Park Avenue"/>
    <s v="Mount Gambier"/>
    <n v="5290"/>
    <n v="250"/>
    <n v="250"/>
  </r>
  <r>
    <s v="Fletcher Lyra"/>
    <s v="Resume + LinkedIn Profile"/>
    <d v="2024-11-13T00:00:00"/>
    <x v="10"/>
    <n v="3"/>
    <s v="Gold"/>
    <s v="Delivered"/>
    <n v="41151"/>
    <x v="7"/>
    <s v="Main Street"/>
    <s v="Alice Springs"/>
    <n v="870"/>
    <n v="800"/>
    <n v="2400"/>
  </r>
  <r>
    <s v="Gray Adelina"/>
    <s v="Resume + LinkedIn Profile"/>
    <d v="2024-11-14T00:00:00"/>
    <x v="10"/>
    <n v="1"/>
    <s v="Bronze"/>
    <s v="Delivered"/>
    <n v="41533"/>
    <x v="3"/>
    <s v="George Street"/>
    <s v="Broome"/>
    <n v="6725"/>
    <n v="800"/>
    <n v="800"/>
  </r>
  <r>
    <s v="Bishop Marley"/>
    <s v="Resume + LinkedIn Profile"/>
    <d v="2024-11-14T00:00:00"/>
    <x v="10"/>
    <n v="1"/>
    <s v="Bronze"/>
    <s v="Delivered"/>
    <n v="61770"/>
    <x v="0"/>
    <s v="George Street"/>
    <s v="Mount Gambier"/>
    <n v="5290"/>
    <n v="800"/>
    <n v="800"/>
  </r>
  <r>
    <s v="Dunlap Amira"/>
    <s v="Mentoring program"/>
    <d v="2024-11-15T00:00:00"/>
    <x v="10"/>
    <n v="1"/>
    <s v="Bronze"/>
    <s v="In Progress"/>
    <n v="99364"/>
    <x v="7"/>
    <s v="Main Street"/>
    <s v="Darwin"/>
    <n v="800"/>
    <n v="1200"/>
    <n v="1200"/>
  </r>
  <r>
    <s v="Harrell Esteban"/>
    <s v="LinkedIn profile"/>
    <d v="2024-11-15T00:00:00"/>
    <x v="10"/>
    <n v="3"/>
    <s v="Gold"/>
    <s v="Delivered"/>
    <n v="52533"/>
    <x v="5"/>
    <s v="George Street"/>
    <s v="Ballarat"/>
    <n v="3350"/>
    <n v="300"/>
    <n v="900"/>
  </r>
  <r>
    <s v="Frost Judah"/>
    <s v="Resume (service fee)"/>
    <d v="2024-11-15T00:00:00"/>
    <x v="10"/>
    <n v="1"/>
    <s v="Bronze"/>
    <s v="Service Booked"/>
    <n v="55994"/>
    <x v="3"/>
    <s v="Elizabeth Street"/>
    <s v="Fremantle"/>
    <n v="6160"/>
    <n v="600"/>
    <n v="600"/>
  </r>
  <r>
    <s v="Porter Felix"/>
    <s v="Mentoring program"/>
    <d v="2024-11-15T00:00:00"/>
    <x v="10"/>
    <n v="2"/>
    <s v="Silver"/>
    <s v="Delivered"/>
    <n v="76258"/>
    <x v="5"/>
    <s v="George Street"/>
    <s v="Ballarat"/>
    <n v="3350"/>
    <n v="1200"/>
    <n v="2400"/>
  </r>
  <r>
    <s v="Skinner William"/>
    <s v="LinkedIn profile"/>
    <d v="2024-11-15T00:00:00"/>
    <x v="10"/>
    <n v="2"/>
    <s v="Silver"/>
    <s v="Delivered"/>
    <n v="14754"/>
    <x v="3"/>
    <s v="George Street"/>
    <s v="Broome"/>
    <n v="6725"/>
    <n v="300"/>
    <n v="600"/>
  </r>
  <r>
    <s v="Velazquez Georgia"/>
    <s v="Resume + LinkedIn Profile"/>
    <d v="2024-11-15T00:00:00"/>
    <x v="10"/>
    <n v="1"/>
    <s v="Bronze"/>
    <s v="Delivered"/>
    <n v="40470"/>
    <x v="6"/>
    <s v="King Street"/>
    <s v="Launceston"/>
    <n v="7250"/>
    <n v="800"/>
    <n v="800"/>
  </r>
  <r>
    <s v="Trevino Demi"/>
    <s v="Mentoring program"/>
    <d v="2024-11-16T00:00:00"/>
    <x v="10"/>
    <n v="1"/>
    <s v="Bronze"/>
    <s v="Service Booked"/>
    <n v="12747"/>
    <x v="4"/>
    <s v="Main Street"/>
    <s v="Canberra"/>
    <n v="2600"/>
    <n v="1200"/>
    <n v="1200"/>
  </r>
  <r>
    <s v="Schwartz Kylo"/>
    <s v="Mentoring program"/>
    <d v="2024-11-16T00:00:00"/>
    <x v="10"/>
    <n v="3"/>
    <s v="Gold"/>
    <s v="Cancelled"/>
    <n v="78520"/>
    <x v="6"/>
    <s v="Park Avenue"/>
    <s v="Hobart"/>
    <n v="7000"/>
    <n v="1200"/>
    <n v="3600"/>
  </r>
  <r>
    <s v="Mcpherson Tucker"/>
    <s v="Resume (service fee)"/>
    <d v="2024-11-16T00:00:00"/>
    <x v="10"/>
    <n v="1"/>
    <s v="Bronze"/>
    <s v="Service Booked"/>
    <n v="42868"/>
    <x v="3"/>
    <s v="George Street"/>
    <s v="Perth"/>
    <n v="6000"/>
    <n v="600"/>
    <n v="600"/>
  </r>
  <r>
    <s v="Castro Nico"/>
    <s v="Interview Prep"/>
    <d v="2024-11-16T00:00:00"/>
    <x v="10"/>
    <n v="2"/>
    <s v="Silver"/>
    <s v="Service Booked"/>
    <n v="68214"/>
    <x v="3"/>
    <s v="King Street"/>
    <s v="Fremantle"/>
    <n v="6160"/>
    <n v="250"/>
    <n v="500"/>
  </r>
  <r>
    <s v="Murray Kyson"/>
    <s v="Resume (service fee)"/>
    <d v="2024-11-16T00:00:00"/>
    <x v="10"/>
    <n v="2"/>
    <s v="Silver"/>
    <s v="Service Booked"/>
    <n v="28797"/>
    <x v="5"/>
    <s v="George Street"/>
    <s v="Geelong"/>
    <n v="3220"/>
    <n v="600"/>
    <n v="1200"/>
  </r>
  <r>
    <s v="Browning Robert"/>
    <s v="Mentoring program"/>
    <d v="2024-11-16T00:00:00"/>
    <x v="10"/>
    <n v="3"/>
    <s v="Gold"/>
    <s v="Delivered"/>
    <n v="76521"/>
    <x v="5"/>
    <s v="George Street"/>
    <s v="Ballarat"/>
    <n v="3350"/>
    <n v="1200"/>
    <n v="3600"/>
  </r>
  <r>
    <s v="Marsh Aubrey"/>
    <s v="Resume + LinkedIn Profile"/>
    <d v="2024-11-16T00:00:00"/>
    <x v="10"/>
    <n v="3"/>
    <s v="Gold"/>
    <s v="Service Booked"/>
    <n v="51748"/>
    <x v="7"/>
    <s v="George Street"/>
    <s v="Darwin"/>
    <n v="800"/>
    <n v="800"/>
    <n v="2400"/>
  </r>
  <r>
    <s v="Donovan Denver"/>
    <s v="Mentoring program"/>
    <d v="2024-11-17T00:00:00"/>
    <x v="10"/>
    <n v="2"/>
    <s v="Silver"/>
    <s v="Cancelled"/>
    <n v="25255"/>
    <x v="4"/>
    <s v="Park Avenue"/>
    <s v="Canberra"/>
    <n v="2600"/>
    <n v="1200"/>
    <n v="2400"/>
  </r>
  <r>
    <s v="Potter Niko"/>
    <s v="Interview Prep"/>
    <d v="2024-11-17T00:00:00"/>
    <x v="10"/>
    <n v="2"/>
    <s v="Silver"/>
    <s v="Service Booked"/>
    <n v="58287"/>
    <x v="4"/>
    <s v="George Street"/>
    <s v="Canberra"/>
    <n v="2600"/>
    <n v="250"/>
    <n v="500"/>
  </r>
  <r>
    <s v="Thornton Luis"/>
    <s v="LinkedIn profile"/>
    <d v="2024-11-17T00:00:00"/>
    <x v="10"/>
    <n v="3"/>
    <s v="Gold"/>
    <s v="In Progress"/>
    <n v="82462"/>
    <x v="7"/>
    <s v="King Street"/>
    <s v="Darwin"/>
    <n v="800"/>
    <n v="300"/>
    <n v="900"/>
  </r>
  <r>
    <s v="Blackwell Finley"/>
    <s v="Mentoring program"/>
    <d v="2024-11-18T00:00:00"/>
    <x v="10"/>
    <n v="2"/>
    <s v="Silver"/>
    <s v="Service Booked"/>
    <n v="44041"/>
    <x v="1"/>
    <s v="King Street"/>
    <s v="Sydney"/>
    <n v="2000"/>
    <n v="1200"/>
    <n v="2400"/>
  </r>
  <r>
    <s v="Conley Elsie"/>
    <s v="Mentoring program"/>
    <d v="2024-11-18T00:00:00"/>
    <x v="10"/>
    <n v="3"/>
    <s v="Gold"/>
    <s v="Delivered"/>
    <n v="88262"/>
    <x v="2"/>
    <s v="Park Avenue"/>
    <s v="Gold Coast"/>
    <n v="4217"/>
    <n v="1200"/>
    <n v="3600"/>
  </r>
  <r>
    <s v="Mccall Weston"/>
    <s v="Networking Strategy"/>
    <d v="2024-11-18T00:00:00"/>
    <x v="10"/>
    <n v="1"/>
    <s v="Bronze"/>
    <s v="Cancelled"/>
    <n v="59043"/>
    <x v="5"/>
    <s v="Elizabeth Street"/>
    <s v="Melbourne"/>
    <n v="3000"/>
    <n v="250"/>
    <n v="250"/>
  </r>
  <r>
    <s v="Wong Makayla"/>
    <s v="Networking Strategy"/>
    <d v="2024-11-18T00:00:00"/>
    <x v="10"/>
    <n v="1"/>
    <s v="Bronze"/>
    <s v="Service Booked"/>
    <n v="60573"/>
    <x v="4"/>
    <s v="Park Avenue"/>
    <s v="Canberra"/>
    <n v="2600"/>
    <n v="250"/>
    <n v="250"/>
  </r>
  <r>
    <s v="Piñeda Sullivan"/>
    <s v="Mentoring program"/>
    <d v="2024-11-18T00:00:00"/>
    <x v="10"/>
    <n v="2"/>
    <s v="Silver"/>
    <s v="Delivered"/>
    <n v="883"/>
    <x v="3"/>
    <s v="Park Avenue"/>
    <s v="Fremantle"/>
    <n v="6160"/>
    <n v="1200"/>
    <n v="2400"/>
  </r>
  <r>
    <s v="Kaur Martin"/>
    <s v="LinkedIn profile"/>
    <d v="2024-11-18T00:00:00"/>
    <x v="10"/>
    <n v="2"/>
    <s v="Silver"/>
    <s v="Delivered"/>
    <n v="83006"/>
    <x v="2"/>
    <s v="Elizabeth Street"/>
    <s v="Brisbane"/>
    <n v="4000"/>
    <n v="300"/>
    <n v="600"/>
  </r>
  <r>
    <s v="Weaver Cash"/>
    <s v="Resume (service fee)"/>
    <d v="2024-11-19T00:00:00"/>
    <x v="10"/>
    <n v="3"/>
    <s v="Gold"/>
    <s v="Service Booked"/>
    <n v="2111"/>
    <x v="4"/>
    <s v="King Street"/>
    <s v="Canberra"/>
    <n v="2600"/>
    <n v="600"/>
    <n v="1800"/>
  </r>
  <r>
    <s v="Bruce Adan"/>
    <s v="Networking Strategy"/>
    <d v="2024-11-19T00:00:00"/>
    <x v="10"/>
    <n v="2"/>
    <s v="Silver"/>
    <s v="Delivered"/>
    <n v="25612"/>
    <x v="3"/>
    <s v="Park Avenue"/>
    <s v="Fremantle"/>
    <n v="6160"/>
    <n v="250"/>
    <n v="500"/>
  </r>
  <r>
    <s v="Mayer Steven"/>
    <s v="LinkedIn profile"/>
    <d v="2024-11-19T00:00:00"/>
    <x v="10"/>
    <n v="3"/>
    <s v="Gold"/>
    <s v="Service Booked"/>
    <n v="32220"/>
    <x v="4"/>
    <s v="Elizabeth Street"/>
    <s v="Canberra"/>
    <n v="2600"/>
    <n v="300"/>
    <n v="900"/>
  </r>
  <r>
    <s v="Charles Jade"/>
    <s v="LinkedIn profile"/>
    <d v="2024-11-19T00:00:00"/>
    <x v="10"/>
    <n v="2"/>
    <s v="Silver"/>
    <s v="Service Booked"/>
    <n v="84056"/>
    <x v="6"/>
    <s v="George Street"/>
    <s v="Devonport"/>
    <n v="7310"/>
    <n v="300"/>
    <n v="600"/>
  </r>
  <r>
    <s v="Horn Ivy"/>
    <s v="LinkedIn profile"/>
    <d v="2024-11-19T00:00:00"/>
    <x v="10"/>
    <n v="2"/>
    <s v="Silver"/>
    <s v="Delivered"/>
    <n v="11938"/>
    <x v="7"/>
    <s v="Elizabeth Street"/>
    <s v="Alice Springs"/>
    <n v="870"/>
    <n v="300"/>
    <n v="600"/>
  </r>
  <r>
    <s v="Truong Lia"/>
    <s v="Networking Strategy"/>
    <d v="2024-11-19T00:00:00"/>
    <x v="10"/>
    <n v="3"/>
    <s v="Gold"/>
    <s v="Delivered"/>
    <n v="48199"/>
    <x v="0"/>
    <s v="King Street"/>
    <s v="Adelaide"/>
    <n v="5000"/>
    <n v="250"/>
    <n v="750"/>
  </r>
  <r>
    <s v="Mcbride Ellis"/>
    <s v="LinkedIn profile"/>
    <d v="2024-11-20T00:00:00"/>
    <x v="10"/>
    <n v="2"/>
    <s v="Silver"/>
    <s v="Service Booked"/>
    <n v="25494"/>
    <x v="0"/>
    <s v="King Street"/>
    <s v="Mount Gambier"/>
    <n v="5290"/>
    <n v="300"/>
    <n v="600"/>
  </r>
  <r>
    <s v="Mueller Poppy"/>
    <s v="LinkedIn profile"/>
    <d v="2024-11-20T00:00:00"/>
    <x v="10"/>
    <n v="3"/>
    <s v="Gold"/>
    <s v="Delivered"/>
    <n v="96730"/>
    <x v="1"/>
    <s v="George Street"/>
    <s v="Wollongong"/>
    <n v="2500"/>
    <n v="300"/>
    <n v="900"/>
  </r>
  <r>
    <s v="Kent Kaia"/>
    <s v="Resume (service fee)"/>
    <d v="2024-11-21T00:00:00"/>
    <x v="10"/>
    <n v="1"/>
    <s v="Bronze"/>
    <s v="Service Booked"/>
    <n v="44916"/>
    <x v="7"/>
    <s v="Park Avenue"/>
    <s v="Alice Springs"/>
    <n v="870"/>
    <n v="600"/>
    <n v="600"/>
  </r>
  <r>
    <s v="Chang Esmeralda"/>
    <s v="Resume (service fee)"/>
    <d v="2024-11-21T00:00:00"/>
    <x v="10"/>
    <n v="2"/>
    <s v="Silver"/>
    <s v="Service Booked"/>
    <n v="66209"/>
    <x v="4"/>
    <s v="George Street"/>
    <s v="Canberra"/>
    <n v="2600"/>
    <n v="600"/>
    <n v="1200"/>
  </r>
  <r>
    <s v="Best Kaylee"/>
    <s v="Resume + LinkedIn Profile"/>
    <d v="2024-11-21T00:00:00"/>
    <x v="10"/>
    <n v="3"/>
    <s v="Gold"/>
    <s v="In Progress"/>
    <n v="94318"/>
    <x v="7"/>
    <s v="Main Street"/>
    <s v="Darwin"/>
    <n v="800"/>
    <n v="800"/>
    <n v="2400"/>
  </r>
  <r>
    <s v="Castillo Rosalie"/>
    <s v="Resume + LinkedIn Profile"/>
    <d v="2024-11-21T00:00:00"/>
    <x v="10"/>
    <n v="1"/>
    <s v="Bronze"/>
    <s v="Service Booked"/>
    <n v="37200"/>
    <x v="3"/>
    <s v="George Street"/>
    <s v="Broome"/>
    <n v="6725"/>
    <n v="800"/>
    <n v="800"/>
  </r>
  <r>
    <s v="Francis Amir"/>
    <s v="LinkedIn profile"/>
    <d v="2024-11-22T00:00:00"/>
    <x v="10"/>
    <n v="2"/>
    <s v="Silver"/>
    <s v="Delivered"/>
    <n v="68985"/>
    <x v="4"/>
    <s v="King Street"/>
    <s v="Canberra"/>
    <n v="2600"/>
    <n v="300"/>
    <n v="600"/>
  </r>
  <r>
    <s v="Stewart Rhett"/>
    <s v="Resume (service fee)"/>
    <d v="2024-11-22T00:00:00"/>
    <x v="10"/>
    <n v="2"/>
    <s v="Silver"/>
    <s v="Delivered"/>
    <n v="19981"/>
    <x v="4"/>
    <s v="Park Avenue"/>
    <s v="Canberra"/>
    <n v="2600"/>
    <n v="600"/>
    <n v="1200"/>
  </r>
  <r>
    <s v="Bonilla Sullivan"/>
    <s v="LinkedIn profile"/>
    <d v="2024-11-22T00:00:00"/>
    <x v="10"/>
    <n v="2"/>
    <s v="Silver"/>
    <s v="Service Booked"/>
    <n v="11248"/>
    <x v="5"/>
    <s v="Elizabeth Street"/>
    <s v="Melbourne"/>
    <n v="3000"/>
    <n v="300"/>
    <n v="600"/>
  </r>
  <r>
    <s v="Cardenas Myles"/>
    <s v="Mentoring program"/>
    <d v="2024-11-23T00:00:00"/>
    <x v="10"/>
    <n v="2"/>
    <s v="Silver"/>
    <s v="Service Booked"/>
    <n v="30861"/>
    <x v="2"/>
    <s v="Main Street"/>
    <s v="Cairns"/>
    <n v="4870"/>
    <n v="1200"/>
    <n v="2400"/>
  </r>
  <r>
    <s v="Sparks Christian"/>
    <s v="Networking Strategy"/>
    <d v="2024-11-23T00:00:00"/>
    <x v="10"/>
    <n v="2"/>
    <s v="Silver"/>
    <s v="Delivered"/>
    <n v="69165"/>
    <x v="5"/>
    <s v="King Street"/>
    <s v="Geelong"/>
    <n v="3220"/>
    <n v="250"/>
    <n v="500"/>
  </r>
  <r>
    <s v="Burgess Everleigh"/>
    <s v="Interview Prep"/>
    <d v="2024-11-23T00:00:00"/>
    <x v="10"/>
    <n v="3"/>
    <s v="Gold"/>
    <s v="Delivered"/>
    <n v="86566"/>
    <x v="1"/>
    <s v="King Street"/>
    <s v="Sydney"/>
    <n v="2000"/>
    <n v="250"/>
    <n v="750"/>
  </r>
  <r>
    <s v="Mcdonald Adrian"/>
    <s v="Networking Strategy"/>
    <d v="2024-11-23T00:00:00"/>
    <x v="10"/>
    <n v="1"/>
    <s v="Bronze"/>
    <s v="Delivered"/>
    <n v="3725"/>
    <x v="1"/>
    <s v="Main Street"/>
    <s v="Wollongong"/>
    <n v="2500"/>
    <n v="250"/>
    <n v="250"/>
  </r>
  <r>
    <s v="Ross Delilah"/>
    <s v="LinkedIn profile"/>
    <d v="2024-11-24T00:00:00"/>
    <x v="10"/>
    <n v="3"/>
    <s v="Gold"/>
    <s v="Service Booked"/>
    <n v="13468"/>
    <x v="5"/>
    <s v="Main Street"/>
    <s v="Ballarat"/>
    <n v="3350"/>
    <n v="300"/>
    <n v="900"/>
  </r>
  <r>
    <s v="Haley Sonny"/>
    <s v="LinkedIn profile"/>
    <d v="2024-11-24T00:00:00"/>
    <x v="10"/>
    <n v="2"/>
    <s v="Silver"/>
    <s v="Cancelled"/>
    <n v="86435"/>
    <x v="3"/>
    <s v="Park Avenue"/>
    <s v="Broome"/>
    <n v="6725"/>
    <n v="300"/>
    <n v="600"/>
  </r>
  <r>
    <s v="Bernal Finley"/>
    <s v="Interview Prep"/>
    <d v="2024-11-24T00:00:00"/>
    <x v="10"/>
    <n v="1"/>
    <s v="Bronze"/>
    <s v="Delivered"/>
    <n v="38559"/>
    <x v="6"/>
    <s v="Park Avenue"/>
    <s v="Hobart"/>
    <n v="7000"/>
    <n v="250"/>
    <n v="250"/>
  </r>
  <r>
    <s v="Cooper Tristan"/>
    <s v="Mentoring program"/>
    <d v="2024-11-24T00:00:00"/>
    <x v="10"/>
    <n v="3"/>
    <s v="Gold"/>
    <s v="In Progress"/>
    <n v="14344"/>
    <x v="7"/>
    <s v="Elizabeth Street"/>
    <s v="Alice Springs"/>
    <n v="870"/>
    <n v="1200"/>
    <n v="3600"/>
  </r>
  <r>
    <s v="Pollard Rory"/>
    <s v="LinkedIn profile"/>
    <d v="2024-11-25T00:00:00"/>
    <x v="10"/>
    <n v="3"/>
    <s v="Gold"/>
    <s v="In Progress"/>
    <n v="92297"/>
    <x v="0"/>
    <s v="Elizabeth Street"/>
    <s v="Adelaide"/>
    <n v="5000"/>
    <n v="300"/>
    <n v="900"/>
  </r>
  <r>
    <s v="Acevedo Lewis"/>
    <s v="LinkedIn profile"/>
    <d v="2024-11-25T00:00:00"/>
    <x v="10"/>
    <n v="2"/>
    <s v="Silver"/>
    <s v="Delivered"/>
    <n v="63867"/>
    <x v="4"/>
    <s v="Elizabeth Street"/>
    <s v="Canberra"/>
    <n v="2600"/>
    <n v="300"/>
    <n v="600"/>
  </r>
  <r>
    <s v="Foster Joy"/>
    <s v="Interview Prep"/>
    <d v="2024-11-26T00:00:00"/>
    <x v="10"/>
    <n v="2"/>
    <s v="Silver"/>
    <s v="In Progress"/>
    <n v="24866"/>
    <x v="2"/>
    <s v="George Street"/>
    <s v="Brisbane"/>
    <n v="4000"/>
    <n v="250"/>
    <n v="500"/>
  </r>
  <r>
    <s v="Quinn George"/>
    <s v="Networking Strategy"/>
    <d v="2024-11-26T00:00:00"/>
    <x v="10"/>
    <n v="2"/>
    <s v="Silver"/>
    <s v="Service Booked"/>
    <n v="333"/>
    <x v="6"/>
    <s v="Elizabeth Street"/>
    <s v="Launceston"/>
    <n v="7250"/>
    <n v="250"/>
    <n v="500"/>
  </r>
  <r>
    <s v="Krueger Aisha"/>
    <s v="Interview Prep"/>
    <d v="2024-11-26T00:00:00"/>
    <x v="10"/>
    <n v="1"/>
    <s v="Bronze"/>
    <s v="Service Booked"/>
    <n v="39163"/>
    <x v="1"/>
    <s v="Elizabeth Street"/>
    <s v="Wollongong"/>
    <n v="2500"/>
    <n v="250"/>
    <n v="250"/>
  </r>
  <r>
    <s v="Gonzalez Callie"/>
    <s v="Resume + LinkedIn Profile"/>
    <d v="2024-11-26T00:00:00"/>
    <x v="10"/>
    <n v="2"/>
    <s v="Silver"/>
    <s v="Service Booked"/>
    <n v="95351"/>
    <x v="3"/>
    <s v="George Street"/>
    <s v="Perth"/>
    <n v="6000"/>
    <n v="800"/>
    <n v="1600"/>
  </r>
  <r>
    <s v="Kelley Aurora"/>
    <s v="LinkedIn profile"/>
    <d v="2024-11-26T00:00:00"/>
    <x v="10"/>
    <n v="2"/>
    <s v="Silver"/>
    <s v="Service Booked"/>
    <n v="21920"/>
    <x v="2"/>
    <s v="Main Street"/>
    <s v="Brisbane"/>
    <n v="4000"/>
    <n v="300"/>
    <n v="600"/>
  </r>
  <r>
    <s v="Curtis Claire"/>
    <s v="Mentoring program"/>
    <d v="2024-11-27T00:00:00"/>
    <x v="10"/>
    <n v="3"/>
    <s v="Gold"/>
    <s v="Delivered"/>
    <n v="44477"/>
    <x v="7"/>
    <s v="Park Avenue"/>
    <s v="Alice Springs"/>
    <n v="870"/>
    <n v="1200"/>
    <n v="3600"/>
  </r>
  <r>
    <s v="Preston Leonidas"/>
    <s v="Networking Strategy"/>
    <d v="2024-11-28T00:00:00"/>
    <x v="10"/>
    <n v="2"/>
    <s v="Silver"/>
    <s v="Service Booked"/>
    <n v="78361"/>
    <x v="2"/>
    <s v="Elizabeth Street"/>
    <s v="Gold Coast"/>
    <n v="4217"/>
    <n v="250"/>
    <n v="500"/>
  </r>
  <r>
    <s v="Gonzalez Camilla"/>
    <s v="Resume + LinkedIn Profile"/>
    <d v="2024-11-29T00:00:00"/>
    <x v="10"/>
    <n v="1"/>
    <s v="Bronze"/>
    <s v="Service Booked"/>
    <n v="21011"/>
    <x v="4"/>
    <s v="Main Street"/>
    <s v="Canberra"/>
    <n v="2600"/>
    <n v="800"/>
    <n v="800"/>
  </r>
  <r>
    <s v="Hoffman Nicolas"/>
    <s v="Interview Prep"/>
    <d v="2024-11-29T00:00:00"/>
    <x v="10"/>
    <n v="2"/>
    <s v="Silver"/>
    <s v="Cancelled"/>
    <n v="81266"/>
    <x v="7"/>
    <s v="King Street"/>
    <s v="Darwin"/>
    <n v="800"/>
    <n v="250"/>
    <n v="500"/>
  </r>
  <r>
    <s v="Caldwell Aylin"/>
    <s v="Mentoring program"/>
    <d v="2024-11-29T00:00:00"/>
    <x v="10"/>
    <n v="2"/>
    <s v="Silver"/>
    <s v="In Progress"/>
    <n v="66602"/>
    <x v="3"/>
    <s v="George Street"/>
    <s v="Fremantle"/>
    <n v="6160"/>
    <n v="1200"/>
    <n v="2400"/>
  </r>
  <r>
    <s v="Watson Alessandra"/>
    <s v="Interview Prep"/>
    <d v="2024-11-30T00:00:00"/>
    <x v="10"/>
    <n v="1"/>
    <s v="Bronze"/>
    <s v="Service Booked"/>
    <n v="15346"/>
    <x v="5"/>
    <s v="Main Street"/>
    <s v="Ballarat"/>
    <n v="3350"/>
    <n v="250"/>
    <n v="250"/>
  </r>
  <r>
    <s v="Beil Jasper"/>
    <s v="LinkedIn profile"/>
    <d v="2024-11-30T00:00:00"/>
    <x v="10"/>
    <n v="1"/>
    <s v="Bronze"/>
    <s v="Delivered"/>
    <n v="6340"/>
    <x v="3"/>
    <s v="Main Street"/>
    <s v="Fremantle"/>
    <n v="6160"/>
    <n v="300"/>
    <n v="300"/>
  </r>
  <r>
    <s v="Goodwin Brody"/>
    <s v="LinkedIn profile"/>
    <d v="2024-12-01T00:00:00"/>
    <x v="11"/>
    <n v="2"/>
    <s v="Silver"/>
    <s v="Service Booked"/>
    <n v="63475"/>
    <x v="6"/>
    <s v="Park Avenue"/>
    <s v="Hobart"/>
    <n v="7000"/>
    <n v="300"/>
    <n v="600"/>
  </r>
  <r>
    <s v="Santana Clark"/>
    <s v="Resume (service fee)"/>
    <d v="2024-12-02T00:00:00"/>
    <x v="11"/>
    <n v="2"/>
    <s v="Silver"/>
    <s v="Delivered"/>
    <n v="26056"/>
    <x v="3"/>
    <s v="King Street"/>
    <s v="Fremantle"/>
    <n v="6160"/>
    <n v="600"/>
    <n v="1200"/>
  </r>
  <r>
    <s v="Whitehead Ayla"/>
    <s v="Mentoring program"/>
    <d v="2024-12-02T00:00:00"/>
    <x v="11"/>
    <n v="3"/>
    <s v="Gold"/>
    <s v="Service Booked"/>
    <n v="80263"/>
    <x v="3"/>
    <s v="George Street"/>
    <s v="Fremantle"/>
    <n v="6160"/>
    <n v="1200"/>
    <n v="3600"/>
  </r>
  <r>
    <s v="Keller Annalise"/>
    <s v="Interview Prep"/>
    <d v="2024-12-03T00:00:00"/>
    <x v="11"/>
    <n v="2"/>
    <s v="Silver"/>
    <s v="Service Booked"/>
    <n v="18895"/>
    <x v="5"/>
    <s v="George Street"/>
    <s v="Geelong"/>
    <n v="3220"/>
    <n v="250"/>
    <n v="500"/>
  </r>
  <r>
    <s v="Coleman Callen"/>
    <s v="Mentoring program"/>
    <d v="2024-12-04T00:00:00"/>
    <x v="11"/>
    <n v="3"/>
    <s v="Gold"/>
    <s v="Delivered"/>
    <n v="56751"/>
    <x v="4"/>
    <s v="George Street"/>
    <s v="Canberra"/>
    <n v="2600"/>
    <n v="1200"/>
    <n v="3600"/>
  </r>
  <r>
    <s v="Gill Phoenix"/>
    <s v="Resume (service fee)"/>
    <d v="2024-12-04T00:00:00"/>
    <x v="11"/>
    <n v="1"/>
    <s v="Bronze"/>
    <s v="Service Booked"/>
    <n v="34157"/>
    <x v="4"/>
    <s v="George Street"/>
    <s v="Canberra"/>
    <n v="2600"/>
    <n v="600"/>
    <n v="600"/>
  </r>
  <r>
    <s v="Baker King"/>
    <s v="LinkedIn profile"/>
    <d v="2024-12-05T00:00:00"/>
    <x v="11"/>
    <n v="2"/>
    <s v="Silver"/>
    <s v="Delivered"/>
    <n v="95350"/>
    <x v="5"/>
    <s v="Elizabeth Street"/>
    <s v="Ballarat"/>
    <n v="3350"/>
    <n v="300"/>
    <n v="600"/>
  </r>
  <r>
    <s v="Hancock Norah"/>
    <s v="Resume + LinkedIn Profile"/>
    <d v="2024-12-05T00:00:00"/>
    <x v="11"/>
    <n v="1"/>
    <s v="Bronze"/>
    <s v="Service Booked"/>
    <n v="10856"/>
    <x v="2"/>
    <s v="George Street"/>
    <s v="Gold Coast"/>
    <n v="4217"/>
    <n v="800"/>
    <n v="800"/>
  </r>
  <r>
    <s v="Rowland Gavin"/>
    <s v="Mentoring program"/>
    <d v="2024-12-05T00:00:00"/>
    <x v="11"/>
    <n v="2"/>
    <s v="Silver"/>
    <s v="Delivered"/>
    <n v="48283"/>
    <x v="3"/>
    <s v="King Street"/>
    <s v="Perth"/>
    <n v="6000"/>
    <n v="1200"/>
    <n v="2400"/>
  </r>
  <r>
    <s v="Nash Hallie"/>
    <s v="Networking Strategy"/>
    <d v="2024-12-05T00:00:00"/>
    <x v="11"/>
    <n v="1"/>
    <s v="Bronze"/>
    <s v="Cancelled"/>
    <n v="50616"/>
    <x v="5"/>
    <s v="Main Street"/>
    <s v="Ballarat"/>
    <n v="3350"/>
    <n v="250"/>
    <n v="250"/>
  </r>
  <r>
    <s v="Huang Amanda"/>
    <s v="LinkedIn profile"/>
    <d v="2024-12-06T00:00:00"/>
    <x v="11"/>
    <n v="1"/>
    <s v="Bronze"/>
    <s v="Service Booked"/>
    <n v="86465"/>
    <x v="4"/>
    <s v="King Street"/>
    <s v="Canberra"/>
    <n v="2600"/>
    <n v="300"/>
    <n v="300"/>
  </r>
  <r>
    <s v="Morris Kason"/>
    <s v="Resume (service fee)"/>
    <d v="2024-12-07T00:00:00"/>
    <x v="11"/>
    <n v="1"/>
    <s v="Bronze"/>
    <s v="Delivered"/>
    <n v="32286"/>
    <x v="5"/>
    <s v="Park Avenue"/>
    <s v="Ballarat"/>
    <n v="3350"/>
    <n v="600"/>
    <n v="600"/>
  </r>
  <r>
    <s v="Huynh Sarah"/>
    <s v="Resume + LinkedIn Profile"/>
    <d v="2024-12-07T00:00:00"/>
    <x v="11"/>
    <n v="3"/>
    <s v="Gold"/>
    <s v="In Progress"/>
    <n v="78647"/>
    <x v="5"/>
    <s v="Elizabeth Street"/>
    <s v="Melbourne"/>
    <n v="3000"/>
    <n v="800"/>
    <n v="2400"/>
  </r>
  <r>
    <s v="Hunt Bryce"/>
    <s v="Mentoring program"/>
    <d v="2024-12-07T00:00:00"/>
    <x v="11"/>
    <n v="1"/>
    <s v="Bronze"/>
    <s v="Service Booked"/>
    <n v="98000"/>
    <x v="7"/>
    <s v="Park Avenue"/>
    <s v="Alice Springs"/>
    <n v="870"/>
    <n v="1200"/>
    <n v="1200"/>
  </r>
  <r>
    <s v="Lamb Gracie"/>
    <s v="Interview Prep"/>
    <d v="2024-12-07T00:00:00"/>
    <x v="11"/>
    <n v="1"/>
    <s v="Bronze"/>
    <s v="Delivered"/>
    <n v="31112"/>
    <x v="4"/>
    <s v="Park Avenue"/>
    <s v="Canberra"/>
    <n v="2600"/>
    <n v="250"/>
    <n v="250"/>
  </r>
  <r>
    <s v="Thornton Bodie"/>
    <s v="Mentoring program"/>
    <d v="2024-12-08T00:00:00"/>
    <x v="11"/>
    <n v="2"/>
    <s v="Silver"/>
    <s v="Delivered"/>
    <n v="51229"/>
    <x v="6"/>
    <s v="Main Street"/>
    <s v="Launceston"/>
    <n v="7250"/>
    <n v="1200"/>
    <n v="2400"/>
  </r>
  <r>
    <s v="Pierce Andre"/>
    <s v="Resume + LinkedIn Profile"/>
    <d v="2024-12-09T00:00:00"/>
    <x v="11"/>
    <n v="2"/>
    <s v="Silver"/>
    <s v="Service Booked"/>
    <n v="36501"/>
    <x v="6"/>
    <s v="Main Street"/>
    <s v="Hobart"/>
    <n v="7000"/>
    <n v="800"/>
    <n v="1600"/>
  </r>
  <r>
    <s v="Hayden Manuel"/>
    <s v="Mentoring program"/>
    <d v="2024-12-10T00:00:00"/>
    <x v="11"/>
    <n v="3"/>
    <s v="Gold"/>
    <s v="Service Booked"/>
    <n v="9679"/>
    <x v="7"/>
    <s v="Elizabeth Street"/>
    <s v="Alice Springs"/>
    <n v="870"/>
    <n v="1200"/>
    <n v="3600"/>
  </r>
  <r>
    <s v="Rush Heidi"/>
    <s v="Networking Strategy"/>
    <d v="2024-12-10T00:00:00"/>
    <x v="11"/>
    <n v="2"/>
    <s v="Silver"/>
    <s v="In Progress"/>
    <n v="84197"/>
    <x v="3"/>
    <s v="George Street"/>
    <s v="Broome"/>
    <n v="6725"/>
    <n v="250"/>
    <n v="500"/>
  </r>
  <r>
    <s v="Sweeney Willa"/>
    <s v="Interview Prep"/>
    <d v="2024-12-10T00:00:00"/>
    <x v="11"/>
    <n v="1"/>
    <s v="Bronze"/>
    <s v="Delivered"/>
    <n v="45792"/>
    <x v="2"/>
    <s v="King Street"/>
    <s v="Cairns"/>
    <n v="4870"/>
    <n v="250"/>
    <n v="250"/>
  </r>
  <r>
    <s v="Rose Annabelle"/>
    <s v="Mentoring program"/>
    <d v="2024-12-11T00:00:00"/>
    <x v="11"/>
    <n v="3"/>
    <s v="Gold"/>
    <s v="Delivered"/>
    <n v="28331"/>
    <x v="0"/>
    <s v="Elizabeth Street"/>
    <s v="Whyalla"/>
    <n v="5600"/>
    <n v="1200"/>
    <n v="3600"/>
  </r>
  <r>
    <s v="Horn Mabel"/>
    <s v="Networking Strategy"/>
    <d v="2024-12-11T00:00:00"/>
    <x v="11"/>
    <n v="2"/>
    <s v="Silver"/>
    <s v="In Progress"/>
    <n v="81591"/>
    <x v="0"/>
    <s v="Main Street"/>
    <s v="Adelaide"/>
    <n v="5000"/>
    <n v="250"/>
    <n v="500"/>
  </r>
  <r>
    <s v="Case Jeremiah"/>
    <s v="Mentoring program"/>
    <d v="2024-12-11T00:00:00"/>
    <x v="11"/>
    <n v="3"/>
    <s v="Gold"/>
    <s v="Service Booked"/>
    <n v="97324"/>
    <x v="6"/>
    <s v="King Street"/>
    <s v="Devonport"/>
    <n v="7310"/>
    <n v="1200"/>
    <n v="3600"/>
  </r>
  <r>
    <s v="Harris Greyson"/>
    <s v="Networking Strategy"/>
    <d v="2024-12-11T00:00:00"/>
    <x v="11"/>
    <n v="1"/>
    <s v="Bronze"/>
    <s v="In Progress"/>
    <n v="65790"/>
    <x v="3"/>
    <s v="Elizabeth Street"/>
    <s v="Broome"/>
    <n v="6725"/>
    <n v="250"/>
    <n v="250"/>
  </r>
  <r>
    <s v="Costa Charlie"/>
    <s v="Mentoring program"/>
    <d v="2024-12-13T00:00:00"/>
    <x v="11"/>
    <n v="2"/>
    <s v="Silver"/>
    <s v="Service Booked"/>
    <n v="81659"/>
    <x v="3"/>
    <s v="King Street"/>
    <s v="Fremantle"/>
    <n v="6160"/>
    <n v="1200"/>
    <n v="2400"/>
  </r>
  <r>
    <s v="Barrera Ari"/>
    <s v="Resume (service fee)"/>
    <d v="2024-12-13T00:00:00"/>
    <x v="11"/>
    <n v="2"/>
    <s v="Silver"/>
    <s v="Service Booked"/>
    <n v="6981"/>
    <x v="7"/>
    <s v="Main Street"/>
    <s v="Darwin"/>
    <n v="800"/>
    <n v="600"/>
    <n v="1200"/>
  </r>
  <r>
    <s v="Escobar Declan"/>
    <s v="LinkedIn profile"/>
    <d v="2024-12-13T00:00:00"/>
    <x v="11"/>
    <n v="3"/>
    <s v="Gold"/>
    <s v="Service Booked"/>
    <n v="76917"/>
    <x v="2"/>
    <s v="Park Avenue"/>
    <s v="Brisbane"/>
    <n v="4000"/>
    <n v="300"/>
    <n v="900"/>
  </r>
  <r>
    <s v="Vargas Zayden"/>
    <s v="Mentoring program"/>
    <d v="2024-12-13T00:00:00"/>
    <x v="11"/>
    <n v="3"/>
    <s v="Gold"/>
    <s v="Delivered"/>
    <n v="51227"/>
    <x v="4"/>
    <s v="George Street"/>
    <s v="Canberra"/>
    <n v="2600"/>
    <n v="1200"/>
    <n v="3600"/>
  </r>
  <r>
    <s v="Chan Shiloh"/>
    <s v="LinkedIn profile"/>
    <d v="2024-12-14T00:00:00"/>
    <x v="11"/>
    <n v="2"/>
    <s v="Silver"/>
    <s v="In Progress"/>
    <n v="47390"/>
    <x v="5"/>
    <s v="George Street"/>
    <s v="Geelong"/>
    <n v="3220"/>
    <n v="300"/>
    <n v="600"/>
  </r>
  <r>
    <s v="Enriquez Asa"/>
    <s v="Resume (service fee)"/>
    <d v="2024-12-14T00:00:00"/>
    <x v="11"/>
    <n v="3"/>
    <s v="Gold"/>
    <s v="Service Booked"/>
    <n v="57395"/>
    <x v="0"/>
    <s v="George Street"/>
    <s v="Mount Gambier"/>
    <n v="5290"/>
    <n v="600"/>
    <n v="1800"/>
  </r>
  <r>
    <s v="Portillo Reed"/>
    <s v="Mentoring program"/>
    <d v="2024-12-14T00:00:00"/>
    <x v="11"/>
    <n v="3"/>
    <s v="Gold"/>
    <s v="Service Booked"/>
    <n v="46735"/>
    <x v="1"/>
    <s v="Main Street"/>
    <s v="Sydney"/>
    <n v="2000"/>
    <n v="1200"/>
    <n v="3600"/>
  </r>
  <r>
    <s v="Knapp Kendrick"/>
    <s v="Interview Prep"/>
    <d v="2024-12-14T00:00:00"/>
    <x v="11"/>
    <n v="2"/>
    <s v="Silver"/>
    <s v="Cancelled"/>
    <n v="4447"/>
    <x v="5"/>
    <s v="George Street"/>
    <s v="Melbourne"/>
    <n v="3000"/>
    <n v="250"/>
    <n v="500"/>
  </r>
  <r>
    <s v="Gardner Karson"/>
    <s v="Networking Strategy"/>
    <d v="2024-12-14T00:00:00"/>
    <x v="11"/>
    <n v="2"/>
    <s v="Silver"/>
    <s v="Service Booked"/>
    <n v="92135"/>
    <x v="4"/>
    <s v="Park Avenue"/>
    <s v="Canberra"/>
    <n v="2600"/>
    <n v="250"/>
    <n v="500"/>
  </r>
  <r>
    <s v="Robbins Crew"/>
    <s v="Mentoring program"/>
    <d v="2024-12-14T00:00:00"/>
    <x v="11"/>
    <n v="3"/>
    <s v="Gold"/>
    <s v="Service Booked"/>
    <n v="41150"/>
    <x v="2"/>
    <s v="Main Street"/>
    <s v="Cairns"/>
    <n v="4870"/>
    <n v="1200"/>
    <n v="3600"/>
  </r>
  <r>
    <s v="Skinner Gideon"/>
    <s v="Mentoring program"/>
    <d v="2024-12-15T00:00:00"/>
    <x v="11"/>
    <n v="2"/>
    <s v="Silver"/>
    <s v="Delivered"/>
    <n v="12825"/>
    <x v="6"/>
    <s v="King Street"/>
    <s v="Hobart"/>
    <n v="7000"/>
    <n v="1200"/>
    <n v="2400"/>
  </r>
  <r>
    <s v="Pham Willa"/>
    <s v="Networking Strategy"/>
    <d v="2024-12-16T00:00:00"/>
    <x v="11"/>
    <n v="2"/>
    <s v="Silver"/>
    <s v="Service Booked"/>
    <n v="73120"/>
    <x v="5"/>
    <s v="Main Street"/>
    <s v="Melbourne"/>
    <n v="3000"/>
    <n v="250"/>
    <n v="500"/>
  </r>
  <r>
    <s v="Deleon Daleyza"/>
    <s v="Resume + LinkedIn Profile"/>
    <d v="2024-12-16T00:00:00"/>
    <x v="11"/>
    <n v="2"/>
    <s v="Silver"/>
    <s v="Delivered"/>
    <n v="11867"/>
    <x v="0"/>
    <s v="King Street"/>
    <s v="Mount Gambier"/>
    <n v="5290"/>
    <n v="800"/>
    <n v="1600"/>
  </r>
  <r>
    <s v="Frank Camilo"/>
    <s v="Resume (service fee)"/>
    <d v="2024-12-16T00:00:00"/>
    <x v="11"/>
    <n v="2"/>
    <s v="Silver"/>
    <s v="Service Booked"/>
    <n v="29470"/>
    <x v="4"/>
    <s v="Elizabeth Street"/>
    <s v="Canberra"/>
    <n v="2600"/>
    <n v="600"/>
    <n v="1200"/>
  </r>
  <r>
    <s v="Barber Marcus"/>
    <s v="Mentoring program"/>
    <d v="2024-12-16T00:00:00"/>
    <x v="11"/>
    <n v="3"/>
    <s v="Gold"/>
    <s v="Delivered"/>
    <n v="10702"/>
    <x v="7"/>
    <s v="King Street"/>
    <s v="Darwin"/>
    <n v="800"/>
    <n v="1200"/>
    <n v="3600"/>
  </r>
  <r>
    <s v="Parks Leonardo"/>
    <s v="Resume (service fee)"/>
    <d v="2024-12-16T00:00:00"/>
    <x v="11"/>
    <n v="2"/>
    <s v="Silver"/>
    <s v="Delivered"/>
    <n v="75362"/>
    <x v="5"/>
    <s v="George Street"/>
    <s v="Melbourne"/>
    <n v="3000"/>
    <n v="600"/>
    <n v="1200"/>
  </r>
  <r>
    <s v="Walters Franklin"/>
    <s v="Resume + LinkedIn Profile"/>
    <d v="2024-12-16T00:00:00"/>
    <x v="11"/>
    <n v="1"/>
    <s v="Bronze"/>
    <s v="In Progress"/>
    <n v="43095"/>
    <x v="2"/>
    <s v="Elizabeth Street"/>
    <s v="Gold Coast"/>
    <n v="4217"/>
    <n v="800"/>
    <n v="800"/>
  </r>
  <r>
    <s v="Frank Collin"/>
    <s v="Interview Prep"/>
    <d v="2024-12-16T00:00:00"/>
    <x v="11"/>
    <n v="3"/>
    <s v="Gold"/>
    <s v="Service Booked"/>
    <n v="90489"/>
    <x v="1"/>
    <s v="Elizabeth Street"/>
    <s v="Newcastle"/>
    <n v="2300"/>
    <n v="250"/>
    <n v="750"/>
  </r>
  <r>
    <s v="Hampton Angelina"/>
    <s v="Networking Strategy"/>
    <d v="2024-12-16T00:00:00"/>
    <x v="11"/>
    <n v="2"/>
    <s v="Silver"/>
    <s v="Delivered"/>
    <n v="41356"/>
    <x v="1"/>
    <s v="Main Street"/>
    <s v="Newcastle"/>
    <n v="2300"/>
    <n v="250"/>
    <n v="500"/>
  </r>
  <r>
    <s v="Molina Cole"/>
    <s v="Resume (service fee)"/>
    <d v="2024-12-17T00:00:00"/>
    <x v="11"/>
    <n v="2"/>
    <s v="Silver"/>
    <s v="Cancelled"/>
    <n v="29627"/>
    <x v="2"/>
    <s v="Park Avenue"/>
    <s v="Cairns"/>
    <n v="4870"/>
    <n v="600"/>
    <n v="1200"/>
  </r>
  <r>
    <s v="Fisher Zara"/>
    <s v="Mentoring program"/>
    <d v="2024-12-18T00:00:00"/>
    <x v="11"/>
    <n v="3"/>
    <s v="Gold"/>
    <s v="In Progress"/>
    <n v="79066"/>
    <x v="0"/>
    <s v="George Street"/>
    <s v="Whyalla"/>
    <n v="5600"/>
    <n v="1200"/>
    <n v="3600"/>
  </r>
  <r>
    <s v="Holt Aspen"/>
    <s v="Networking Strategy"/>
    <d v="2024-12-18T00:00:00"/>
    <x v="11"/>
    <n v="3"/>
    <s v="Gold"/>
    <s v="Delivered"/>
    <n v="30338"/>
    <x v="0"/>
    <s v="Elizabeth Street"/>
    <s v="Whyalla"/>
    <n v="5600"/>
    <n v="250"/>
    <n v="750"/>
  </r>
  <r>
    <s v="Shaffer Luka"/>
    <s v="Interview Prep"/>
    <d v="2024-12-19T00:00:00"/>
    <x v="11"/>
    <n v="1"/>
    <s v="Bronze"/>
    <s v="Delivered"/>
    <n v="69927"/>
    <x v="1"/>
    <s v="Elizabeth Street"/>
    <s v="Newcastle"/>
    <n v="2300"/>
    <n v="250"/>
    <n v="250"/>
  </r>
  <r>
    <s v="Maldonado Elise"/>
    <s v="Mentoring program"/>
    <d v="2024-12-19T00:00:00"/>
    <x v="11"/>
    <n v="2"/>
    <s v="Silver"/>
    <s v="Service Booked"/>
    <n v="15337"/>
    <x v="1"/>
    <s v="Elizabeth Street"/>
    <s v="Wollongong"/>
    <n v="2500"/>
    <n v="1200"/>
    <n v="2400"/>
  </r>
  <r>
    <s v="Lucas Ruth"/>
    <s v="LinkedIn profile"/>
    <d v="2024-12-19T00:00:00"/>
    <x v="11"/>
    <n v="3"/>
    <s v="Gold"/>
    <s v="Service Booked"/>
    <n v="23943"/>
    <x v="3"/>
    <s v="Park Avenue"/>
    <s v="Fremantle"/>
    <n v="6160"/>
    <n v="300"/>
    <n v="900"/>
  </r>
  <r>
    <s v="Quintana Raya"/>
    <s v="Resume + LinkedIn Profile"/>
    <d v="2024-12-20T00:00:00"/>
    <x v="11"/>
    <n v="2"/>
    <s v="Silver"/>
    <s v="Service Booked"/>
    <n v="79218"/>
    <x v="2"/>
    <s v="Park Avenue"/>
    <s v="Gold Coast"/>
    <n v="4217"/>
    <n v="800"/>
    <n v="1600"/>
  </r>
  <r>
    <s v="Solis Catalina"/>
    <s v="LinkedIn profile"/>
    <d v="2024-12-20T00:00:00"/>
    <x v="11"/>
    <n v="1"/>
    <s v="Bronze"/>
    <s v="Delivered"/>
    <n v="20265"/>
    <x v="0"/>
    <s v="Main Street"/>
    <s v="Mount Gambier"/>
    <n v="5290"/>
    <n v="300"/>
    <n v="300"/>
  </r>
  <r>
    <s v="Atkins Joel"/>
    <s v="Mentoring program"/>
    <d v="2024-12-20T00:00:00"/>
    <x v="11"/>
    <n v="1"/>
    <s v="Bronze"/>
    <s v="Service Booked"/>
    <n v="97965"/>
    <x v="6"/>
    <s v="King Street"/>
    <s v="Launceston"/>
    <n v="7250"/>
    <n v="1200"/>
    <n v="1200"/>
  </r>
  <r>
    <s v="Rice Zayne"/>
    <s v="Mentoring program"/>
    <d v="2024-12-20T00:00:00"/>
    <x v="11"/>
    <n v="2"/>
    <s v="Silver"/>
    <s v="Service Booked"/>
    <n v="24211"/>
    <x v="4"/>
    <s v="King Street"/>
    <s v="Canberra"/>
    <n v="2600"/>
    <n v="1200"/>
    <n v="2400"/>
  </r>
  <r>
    <s v="Henry Maria"/>
    <s v="LinkedIn profile"/>
    <d v="2024-12-21T00:00:00"/>
    <x v="11"/>
    <n v="3"/>
    <s v="Gold"/>
    <s v="Delivered"/>
    <n v="48262"/>
    <x v="5"/>
    <s v="George Street"/>
    <s v="Melbourne"/>
    <n v="3000"/>
    <n v="300"/>
    <n v="900"/>
  </r>
  <r>
    <s v="Allen Alan"/>
    <s v="Resume (service fee)"/>
    <d v="2024-12-21T00:00:00"/>
    <x v="11"/>
    <n v="3"/>
    <s v="Gold"/>
    <s v="Service Booked"/>
    <n v="66702"/>
    <x v="1"/>
    <s v="King Street"/>
    <s v="Wollongong"/>
    <n v="2500"/>
    <n v="600"/>
    <n v="1800"/>
  </r>
  <r>
    <s v="Ellis Callan"/>
    <s v="Interview Prep"/>
    <d v="2024-12-21T00:00:00"/>
    <x v="11"/>
    <n v="3"/>
    <s v="Gold"/>
    <s v="Service Booked"/>
    <n v="69964"/>
    <x v="2"/>
    <s v="George Street"/>
    <s v="Cairns"/>
    <n v="4870"/>
    <n v="250"/>
    <n v="750"/>
  </r>
  <r>
    <s v="Winters Francis"/>
    <s v="Mentoring program"/>
    <d v="2024-12-22T00:00:00"/>
    <x v="11"/>
    <n v="1"/>
    <s v="Bronze"/>
    <s v="In Progress"/>
    <n v="36211"/>
    <x v="0"/>
    <s v="George Street"/>
    <s v="Mount Gambier"/>
    <n v="5290"/>
    <n v="1200"/>
    <n v="1200"/>
  </r>
  <r>
    <s v="Ponce Lucille"/>
    <s v="LinkedIn profile"/>
    <d v="2024-12-22T00:00:00"/>
    <x v="11"/>
    <n v="1"/>
    <s v="Bronze"/>
    <s v="Delivered"/>
    <n v="14043"/>
    <x v="2"/>
    <s v="King Street"/>
    <s v="Gold Coast"/>
    <n v="4217"/>
    <n v="300"/>
    <n v="300"/>
  </r>
  <r>
    <s v="Mitchell Everett"/>
    <s v="Mentoring program"/>
    <d v="2024-12-22T00:00:00"/>
    <x v="11"/>
    <n v="3"/>
    <s v="Gold"/>
    <s v="Delivered"/>
    <n v="12482"/>
    <x v="0"/>
    <s v="King Street"/>
    <s v="Adelaide"/>
    <n v="5000"/>
    <n v="1200"/>
    <n v="3600"/>
  </r>
  <r>
    <s v="Levy Aspen"/>
    <s v="Resume + LinkedIn Profile"/>
    <d v="2024-12-22T00:00:00"/>
    <x v="11"/>
    <n v="1"/>
    <s v="Bronze"/>
    <s v="Delivered"/>
    <n v="20808"/>
    <x v="7"/>
    <s v="Elizabeth Street"/>
    <s v="Alice Springs"/>
    <n v="870"/>
    <n v="800"/>
    <n v="800"/>
  </r>
  <r>
    <s v="Harrell Felix"/>
    <s v="Interview Prep"/>
    <d v="2024-12-22T00:00:00"/>
    <x v="11"/>
    <n v="2"/>
    <s v="Silver"/>
    <s v="In Progress"/>
    <n v="62804"/>
    <x v="5"/>
    <s v="Park Avenue"/>
    <s v="Ballarat"/>
    <n v="3350"/>
    <n v="250"/>
    <n v="500"/>
  </r>
  <r>
    <s v="Wilkins Maximus"/>
    <s v="Resume (service fee)"/>
    <d v="2024-12-23T00:00:00"/>
    <x v="11"/>
    <n v="2"/>
    <s v="Silver"/>
    <s v="Service Booked"/>
    <n v="1150"/>
    <x v="3"/>
    <s v="Park Avenue"/>
    <s v="Fremantle"/>
    <n v="6160"/>
    <n v="600"/>
    <n v="1200"/>
  </r>
  <r>
    <s v="Guzman Emery"/>
    <s v="Resume (service fee)"/>
    <d v="2024-12-24T00:00:00"/>
    <x v="11"/>
    <n v="3"/>
    <s v="Gold"/>
    <s v="Service Booked"/>
    <n v="35500"/>
    <x v="7"/>
    <s v="King Street"/>
    <s v="Darwin"/>
    <n v="800"/>
    <n v="600"/>
    <n v="1800"/>
  </r>
  <r>
    <s v="Randolph Pablo"/>
    <s v="Mentoring program"/>
    <d v="2024-12-24T00:00:00"/>
    <x v="11"/>
    <n v="3"/>
    <s v="Gold"/>
    <s v="Service Booked"/>
    <n v="9090"/>
    <x v="3"/>
    <s v="Main Street"/>
    <s v="Broome"/>
    <n v="6725"/>
    <n v="1200"/>
    <n v="3600"/>
  </r>
  <r>
    <s v="Garcia Dakota"/>
    <s v="Resume (service fee)"/>
    <d v="2024-12-25T00:00:00"/>
    <x v="11"/>
    <n v="1"/>
    <s v="Bronze"/>
    <s v="Service Booked"/>
    <n v="42884"/>
    <x v="0"/>
    <s v="George Street"/>
    <s v="Whyalla"/>
    <n v="5600"/>
    <n v="600"/>
    <n v="600"/>
  </r>
  <r>
    <s v="Waller Emerson"/>
    <s v="Networking Strategy"/>
    <d v="2024-12-25T00:00:00"/>
    <x v="11"/>
    <n v="3"/>
    <s v="Gold"/>
    <s v="In Progress"/>
    <n v="76403"/>
    <x v="2"/>
    <s v="George Street"/>
    <s v="Gold Coast"/>
    <n v="4217"/>
    <n v="250"/>
    <n v="750"/>
  </r>
  <r>
    <s v="Padilla Raymond"/>
    <s v="Networking Strategy"/>
    <d v="2024-12-25T00:00:00"/>
    <x v="11"/>
    <n v="3"/>
    <s v="Gold"/>
    <s v="Service Booked"/>
    <n v="87439"/>
    <x v="7"/>
    <s v="King Street"/>
    <s v="Darwin"/>
    <n v="800"/>
    <n v="250"/>
    <n v="750"/>
  </r>
  <r>
    <s v="Pollard Zander"/>
    <s v="Resume + LinkedIn Profile"/>
    <d v="2024-12-25T00:00:00"/>
    <x v="11"/>
    <n v="2"/>
    <s v="Silver"/>
    <s v="Service Booked"/>
    <n v="27804"/>
    <x v="1"/>
    <s v="Park Avenue"/>
    <s v="Wollongong"/>
    <n v="2500"/>
    <n v="800"/>
    <n v="1600"/>
  </r>
  <r>
    <s v="Gutierrez Joshua"/>
    <s v="Mentoring program"/>
    <d v="2024-12-26T00:00:00"/>
    <x v="11"/>
    <n v="2"/>
    <s v="Silver"/>
    <s v="Delivered"/>
    <n v="10042"/>
    <x v="2"/>
    <s v="Main Street"/>
    <s v="Cairns"/>
    <n v="4870"/>
    <n v="1200"/>
    <n v="2400"/>
  </r>
  <r>
    <s v="Ali Ronin"/>
    <s v="Resume + LinkedIn Profile"/>
    <d v="2024-12-27T00:00:00"/>
    <x v="11"/>
    <n v="2"/>
    <s v="Silver"/>
    <s v="Service Booked"/>
    <n v="50484"/>
    <x v="2"/>
    <s v="George Street"/>
    <s v="Cairns"/>
    <n v="4870"/>
    <n v="800"/>
    <n v="1600"/>
  </r>
  <r>
    <s v="Greer Hayden"/>
    <s v="Interview Prep"/>
    <d v="2024-12-27T00:00:00"/>
    <x v="11"/>
    <n v="3"/>
    <s v="Gold"/>
    <s v="Service Booked"/>
    <n v="84514"/>
    <x v="0"/>
    <s v="George Street"/>
    <s v="Adelaide"/>
    <n v="5000"/>
    <n v="250"/>
    <n v="750"/>
  </r>
  <r>
    <s v="Bonilla Melanie"/>
    <s v="Mentoring program"/>
    <d v="2024-12-27T00:00:00"/>
    <x v="11"/>
    <n v="3"/>
    <s v="Gold"/>
    <s v="Service Booked"/>
    <n v="55731"/>
    <x v="3"/>
    <s v="Elizabeth Street"/>
    <s v="Perth"/>
    <n v="6000"/>
    <n v="1200"/>
    <n v="3600"/>
  </r>
  <r>
    <s v="Silva Beau"/>
    <s v="LinkedIn profile"/>
    <d v="2024-12-28T00:00:00"/>
    <x v="11"/>
    <n v="3"/>
    <s v="Gold"/>
    <s v="Delivered"/>
    <n v="12310"/>
    <x v="0"/>
    <s v="Elizabeth Street"/>
    <s v="Whyalla"/>
    <n v="5600"/>
    <n v="300"/>
    <n v="900"/>
  </r>
  <r>
    <s v="Brock Helen"/>
    <s v="Resume (service fee)"/>
    <d v="2024-12-28T00:00:00"/>
    <x v="11"/>
    <n v="2"/>
    <s v="Silver"/>
    <s v="Service Booked"/>
    <n v="25991"/>
    <x v="7"/>
    <s v="Main Street"/>
    <s v="Alice Springs"/>
    <n v="870"/>
    <n v="600"/>
    <n v="1200"/>
  </r>
  <r>
    <s v="Flowers Killian"/>
    <s v="LinkedIn profile"/>
    <d v="2024-12-29T00:00:00"/>
    <x v="11"/>
    <n v="1"/>
    <s v="Bronze"/>
    <s v="Service Booked"/>
    <n v="9065"/>
    <x v="2"/>
    <s v="Park Avenue"/>
    <s v="Cairns"/>
    <n v="4870"/>
    <n v="300"/>
    <n v="300"/>
  </r>
  <r>
    <s v="Keller Aylin"/>
    <s v="Resume (service fee)"/>
    <d v="2024-12-30T00:00:00"/>
    <x v="11"/>
    <n v="3"/>
    <s v="Gold"/>
    <s v="In Progress"/>
    <n v="97108"/>
    <x v="6"/>
    <s v="King Street"/>
    <s v="Launceston"/>
    <n v="7250"/>
    <n v="600"/>
    <n v="1800"/>
  </r>
  <r>
    <s v="Cisneros Garrett"/>
    <s v="LinkedIn profile"/>
    <d v="2024-12-30T00:00:00"/>
    <x v="11"/>
    <n v="3"/>
    <s v="Gold"/>
    <s v="Service Booked"/>
    <n v="19736"/>
    <x v="3"/>
    <s v="Main Street"/>
    <s v="Fremantle"/>
    <n v="6160"/>
    <n v="300"/>
    <n v="900"/>
  </r>
  <r>
    <s v="Morales Heaven"/>
    <s v="Resume (service fee)"/>
    <d v="2024-12-31T00:00:00"/>
    <x v="11"/>
    <n v="1"/>
    <s v="Bronze"/>
    <s v="Delivered"/>
    <n v="20434"/>
    <x v="7"/>
    <s v="Park Avenue"/>
    <s v="Alice Springs"/>
    <n v="870"/>
    <n v="600"/>
    <n v="600"/>
  </r>
  <r>
    <s v="Livingston Chloe"/>
    <s v="Resume + LinkedIn Profile"/>
    <d v="2024-12-31T00:00:00"/>
    <x v="11"/>
    <n v="2"/>
    <s v="Silver"/>
    <s v="Service Booked"/>
    <n v="61986"/>
    <x v="0"/>
    <s v="Park Avenue"/>
    <s v="Adelaide"/>
    <n v="5000"/>
    <n v="800"/>
    <n v="1600"/>
  </r>
  <r>
    <s v="Nuñez Kyle"/>
    <s v="Networking Strategy"/>
    <d v="2024-12-31T00:00:00"/>
    <x v="11"/>
    <n v="1"/>
    <s v="Bronze"/>
    <s v="In Progress"/>
    <n v="24384"/>
    <x v="1"/>
    <s v="George Street"/>
    <s v="Newcastle"/>
    <n v="2300"/>
    <n v="250"/>
    <n v="250"/>
  </r>
  <r>
    <s v="Welch Timothy"/>
    <s v="Resume + LinkedIn Profile"/>
    <d v="2024-12-31T00:00:00"/>
    <x v="11"/>
    <n v="2"/>
    <s v="Silver"/>
    <s v="Delivered"/>
    <n v="98446"/>
    <x v="3"/>
    <s v="George Street"/>
    <s v="Fremantle"/>
    <n v="6160"/>
    <n v="800"/>
    <n v="1600"/>
  </r>
  <r>
    <s v="Curtis Blake"/>
    <s v="Networking Strategy"/>
    <d v="2024-12-31T00:00:00"/>
    <x v="11"/>
    <n v="3"/>
    <s v="Gold"/>
    <s v="Delivered"/>
    <n v="58734"/>
    <x v="5"/>
    <s v="George Street"/>
    <s v="Melbourne"/>
    <n v="3000"/>
    <n v="250"/>
    <n v="750"/>
  </r>
  <r>
    <m/>
    <m/>
    <m/>
    <x v="12"/>
    <m/>
    <m/>
    <m/>
    <m/>
    <x v="8"/>
    <m/>
    <m/>
    <m/>
    <m/>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1">
  <r>
    <x v="0"/>
    <d v="2024-01-01T00:00:00"/>
    <n v="2"/>
    <s v="Service Booked"/>
    <x v="0"/>
    <n v="0.25"/>
    <n v="279.25"/>
    <n v="1117"/>
    <n v="837.75"/>
  </r>
  <r>
    <x v="1"/>
    <d v="2024-01-01T00:00:00"/>
    <n v="3"/>
    <s v="Delivered"/>
    <x v="1"/>
    <n v="0.1"/>
    <n v="179"/>
    <n v="1790"/>
    <n v="1611"/>
  </r>
  <r>
    <x v="2"/>
    <d v="2024-01-01T00:00:00"/>
    <n v="1"/>
    <s v="Delivered"/>
    <x v="2"/>
    <n v="0.3"/>
    <n v="479.7"/>
    <n v="1599"/>
    <n v="1119.3"/>
  </r>
  <r>
    <x v="1"/>
    <d v="2024-01-01T00:00:00"/>
    <n v="1"/>
    <s v="Delivered"/>
    <x v="3"/>
    <n v="0.1"/>
    <n v="25.9"/>
    <n v="259"/>
    <n v="233.1"/>
  </r>
  <r>
    <x v="1"/>
    <d v="2024-01-01T00:00:00"/>
    <n v="3"/>
    <s v="Delivered"/>
    <x v="2"/>
    <n v="0.1"/>
    <n v="23.4"/>
    <n v="234"/>
    <n v="210.6"/>
  </r>
  <r>
    <x v="3"/>
    <d v="2024-01-02T00:00:00"/>
    <n v="2"/>
    <s v="In Progress"/>
    <x v="0"/>
    <n v="0.3"/>
    <n v="429.6"/>
    <n v="1432"/>
    <n v="1002.4"/>
  </r>
  <r>
    <x v="0"/>
    <d v="2024-01-02T00:00:00"/>
    <n v="1"/>
    <s v="In Progress"/>
    <x v="0"/>
    <n v="0.25"/>
    <n v="22.5"/>
    <n v="90"/>
    <n v="67.5"/>
  </r>
  <r>
    <x v="1"/>
    <d v="2024-01-03T00:00:00"/>
    <n v="1"/>
    <s v="Service Booked"/>
    <x v="4"/>
    <n v="0.1"/>
    <n v="68.3"/>
    <n v="683"/>
    <n v="614.70000000000005"/>
  </r>
  <r>
    <x v="2"/>
    <d v="2024-01-03T00:00:00"/>
    <n v="1"/>
    <s v="In Progress"/>
    <x v="5"/>
    <n v="0.3"/>
    <n v="263.10000000000002"/>
    <n v="877"/>
    <n v="613.9"/>
  </r>
  <r>
    <x v="2"/>
    <d v="2024-01-03T00:00:00"/>
    <n v="3"/>
    <s v="Service Booked"/>
    <x v="2"/>
    <n v="0.3"/>
    <n v="3.3"/>
    <n v="11"/>
    <n v="7.7"/>
  </r>
  <r>
    <x v="0"/>
    <d v="2024-01-04T00:00:00"/>
    <n v="1"/>
    <s v="Delivered"/>
    <x v="2"/>
    <n v="0.25"/>
    <n v="83.5"/>
    <n v="334"/>
    <n v="250.5"/>
  </r>
  <r>
    <x v="2"/>
    <d v="2024-01-04T00:00:00"/>
    <n v="2"/>
    <s v="Delivered"/>
    <x v="1"/>
    <n v="0.3"/>
    <n v="258.3"/>
    <n v="861"/>
    <n v="602.70000000000005"/>
  </r>
  <r>
    <x v="0"/>
    <d v="2024-01-04T00:00:00"/>
    <n v="2"/>
    <s v="Delivered"/>
    <x v="6"/>
    <n v="0.25"/>
    <n v="137"/>
    <n v="548"/>
    <n v="411"/>
  </r>
  <r>
    <x v="1"/>
    <d v="2024-01-05T00:00:00"/>
    <n v="1"/>
    <s v="Service Booked"/>
    <x v="2"/>
    <n v="0.1"/>
    <n v="48.6"/>
    <n v="486"/>
    <n v="437.4"/>
  </r>
  <r>
    <x v="0"/>
    <d v="2024-01-06T00:00:00"/>
    <n v="2"/>
    <s v="Service Booked"/>
    <x v="1"/>
    <n v="0.25"/>
    <n v="6.75"/>
    <n v="27"/>
    <n v="20.25"/>
  </r>
  <r>
    <x v="3"/>
    <d v="2024-01-06T00:00:00"/>
    <n v="1"/>
    <s v="Delivered"/>
    <x v="5"/>
    <n v="0.3"/>
    <n v="500.1"/>
    <n v="1667"/>
    <n v="1166.9000000000001"/>
  </r>
  <r>
    <x v="1"/>
    <d v="2024-01-06T00:00:00"/>
    <n v="2"/>
    <s v="Delivered"/>
    <x v="5"/>
    <n v="0.1"/>
    <n v="113.4"/>
    <n v="1134"/>
    <n v="1020.6"/>
  </r>
  <r>
    <x v="2"/>
    <d v="2024-01-06T00:00:00"/>
    <n v="1"/>
    <s v="Service Booked"/>
    <x v="5"/>
    <n v="0.3"/>
    <n v="345.3"/>
    <n v="1151"/>
    <n v="805.7"/>
  </r>
  <r>
    <x v="2"/>
    <d v="2024-01-06T00:00:00"/>
    <n v="2"/>
    <s v="Service Booked"/>
    <x v="4"/>
    <n v="0.3"/>
    <n v="405.9"/>
    <n v="1353"/>
    <n v="947.1"/>
  </r>
  <r>
    <x v="1"/>
    <d v="2024-01-07T00:00:00"/>
    <n v="2"/>
    <s v="Cancelled"/>
    <x v="4"/>
    <n v="0.1"/>
    <n v="175.1"/>
    <n v="1751"/>
    <n v="1575.9"/>
  </r>
  <r>
    <x v="3"/>
    <d v="2024-01-07T00:00:00"/>
    <n v="1"/>
    <s v="Service Booked"/>
    <x v="2"/>
    <n v="0.3"/>
    <n v="290.39999999999998"/>
    <n v="968"/>
    <n v="677.6"/>
  </r>
  <r>
    <x v="4"/>
    <d v="2024-01-07T00:00:00"/>
    <n v="1"/>
    <s v="Delivered"/>
    <x v="4"/>
    <n v="0.25"/>
    <n v="110.5"/>
    <n v="442"/>
    <n v="331.5"/>
  </r>
  <r>
    <x v="5"/>
    <d v="2024-01-07T00:00:00"/>
    <n v="1"/>
    <s v="Service Booked"/>
    <x v="7"/>
    <n v="0.2"/>
    <n v="216.6"/>
    <n v="1083"/>
    <n v="866.4"/>
  </r>
  <r>
    <x v="0"/>
    <d v="2024-01-08T00:00:00"/>
    <n v="3"/>
    <s v="Cancelled"/>
    <x v="3"/>
    <n v="0.25"/>
    <n v="181.5"/>
    <n v="726"/>
    <n v="544.5"/>
  </r>
  <r>
    <x v="5"/>
    <d v="2024-01-08T00:00:00"/>
    <n v="3"/>
    <s v="Delivered"/>
    <x v="1"/>
    <n v="0.2"/>
    <n v="217"/>
    <n v="1085"/>
    <n v="868"/>
  </r>
  <r>
    <x v="5"/>
    <d v="2024-01-09T00:00:00"/>
    <n v="3"/>
    <s v="Cancelled"/>
    <x v="1"/>
    <n v="0.2"/>
    <n v="154.6"/>
    <n v="773"/>
    <n v="618.4"/>
  </r>
  <r>
    <x v="0"/>
    <d v="2024-01-09T00:00:00"/>
    <n v="2"/>
    <s v="Delivered"/>
    <x v="6"/>
    <n v="0.25"/>
    <n v="345.25"/>
    <n v="1381"/>
    <n v="1035.75"/>
  </r>
  <r>
    <x v="2"/>
    <d v="2024-01-09T00:00:00"/>
    <n v="1"/>
    <s v="Delivered"/>
    <x v="0"/>
    <n v="0.3"/>
    <n v="414.3"/>
    <n v="1381"/>
    <n v="966.7"/>
  </r>
  <r>
    <x v="5"/>
    <d v="2024-01-09T00:00:00"/>
    <n v="2"/>
    <s v="Delivered"/>
    <x v="0"/>
    <n v="0.2"/>
    <n v="9.8000000000000007"/>
    <n v="49"/>
    <n v="39.200000000000003"/>
  </r>
  <r>
    <x v="0"/>
    <d v="2024-01-10T00:00:00"/>
    <n v="2"/>
    <s v="Delivered"/>
    <x v="2"/>
    <n v="0.25"/>
    <n v="385"/>
    <n v="1540"/>
    <n v="1155"/>
  </r>
  <r>
    <x v="5"/>
    <d v="2024-01-10T00:00:00"/>
    <n v="3"/>
    <s v="Delivered"/>
    <x v="2"/>
    <n v="0.2"/>
    <n v="42.4"/>
    <n v="212"/>
    <n v="169.6"/>
  </r>
  <r>
    <x v="4"/>
    <d v="2024-01-12T00:00:00"/>
    <n v="2"/>
    <s v="Delivered"/>
    <x v="6"/>
    <n v="0.25"/>
    <n v="48.75"/>
    <n v="195"/>
    <n v="146.25"/>
  </r>
  <r>
    <x v="2"/>
    <d v="2024-01-14T00:00:00"/>
    <n v="3"/>
    <s v="Service Booked"/>
    <x v="0"/>
    <n v="0.3"/>
    <n v="77.7"/>
    <n v="259"/>
    <n v="181.3"/>
  </r>
  <r>
    <x v="5"/>
    <d v="2024-01-14T00:00:00"/>
    <n v="2"/>
    <s v="Delivered"/>
    <x v="1"/>
    <n v="0.2"/>
    <n v="82"/>
    <n v="410"/>
    <n v="328"/>
  </r>
  <r>
    <x v="0"/>
    <d v="2024-01-15T00:00:00"/>
    <n v="2"/>
    <s v="Delivered"/>
    <x v="5"/>
    <n v="0.25"/>
    <n v="137.75"/>
    <n v="551"/>
    <n v="413.25"/>
  </r>
  <r>
    <x v="0"/>
    <d v="2024-01-15T00:00:00"/>
    <n v="1"/>
    <s v="In Progress"/>
    <x v="0"/>
    <n v="0.25"/>
    <n v="107.75"/>
    <n v="431"/>
    <n v="323.25"/>
  </r>
  <r>
    <x v="0"/>
    <d v="2024-01-15T00:00:00"/>
    <n v="1"/>
    <s v="Delivered"/>
    <x v="1"/>
    <n v="0.25"/>
    <n v="279"/>
    <n v="1116"/>
    <n v="837"/>
  </r>
  <r>
    <x v="2"/>
    <d v="2024-01-16T00:00:00"/>
    <n v="1"/>
    <s v="Delivered"/>
    <x v="3"/>
    <n v="0.3"/>
    <n v="352.5"/>
    <n v="1175"/>
    <n v="822.5"/>
  </r>
  <r>
    <x v="2"/>
    <d v="2024-01-16T00:00:00"/>
    <n v="1"/>
    <s v="Delivered"/>
    <x v="6"/>
    <n v="0.3"/>
    <n v="233.7"/>
    <n v="779"/>
    <n v="545.29999999999995"/>
  </r>
  <r>
    <x v="0"/>
    <d v="2024-01-16T00:00:00"/>
    <n v="2"/>
    <s v="Cancelled"/>
    <x v="7"/>
    <n v="0.25"/>
    <n v="405.5"/>
    <n v="1622"/>
    <n v="1216.5"/>
  </r>
  <r>
    <x v="2"/>
    <d v="2024-01-17T00:00:00"/>
    <n v="3"/>
    <s v="Delivered"/>
    <x v="0"/>
    <n v="0.3"/>
    <n v="38.700000000000003"/>
    <n v="129"/>
    <n v="90.3"/>
  </r>
  <r>
    <x v="4"/>
    <d v="2024-01-17T00:00:00"/>
    <n v="3"/>
    <s v="Service Booked"/>
    <x v="5"/>
    <n v="0.25"/>
    <n v="175.25"/>
    <n v="701"/>
    <n v="525.75"/>
  </r>
  <r>
    <x v="1"/>
    <d v="2024-01-18T00:00:00"/>
    <n v="1"/>
    <s v="Service Booked"/>
    <x v="5"/>
    <n v="0.1"/>
    <n v="110.5"/>
    <n v="1105"/>
    <n v="994.5"/>
  </r>
  <r>
    <x v="4"/>
    <d v="2024-01-19T00:00:00"/>
    <n v="1"/>
    <s v="Service Booked"/>
    <x v="4"/>
    <n v="0.25"/>
    <n v="341.5"/>
    <n v="1366"/>
    <n v="1024.5"/>
  </r>
  <r>
    <x v="3"/>
    <d v="2024-01-19T00:00:00"/>
    <n v="2"/>
    <s v="Service Booked"/>
    <x v="3"/>
    <n v="0.3"/>
    <n v="210.6"/>
    <n v="702"/>
    <n v="491.4"/>
  </r>
  <r>
    <x v="1"/>
    <d v="2024-01-19T00:00:00"/>
    <n v="2"/>
    <s v="Delivered"/>
    <x v="7"/>
    <n v="0.1"/>
    <n v="169.3"/>
    <n v="1693"/>
    <n v="1523.7"/>
  </r>
  <r>
    <x v="1"/>
    <d v="2024-01-20T00:00:00"/>
    <n v="1"/>
    <s v="Service Booked"/>
    <x v="0"/>
    <n v="0.1"/>
    <n v="167.4"/>
    <n v="1674"/>
    <n v="1506.6"/>
  </r>
  <r>
    <x v="5"/>
    <d v="2024-01-20T00:00:00"/>
    <n v="3"/>
    <s v="Service Booked"/>
    <x v="5"/>
    <n v="0.2"/>
    <n v="359.2"/>
    <n v="1796"/>
    <n v="1436.8"/>
  </r>
  <r>
    <x v="1"/>
    <d v="2024-01-21T00:00:00"/>
    <n v="3"/>
    <s v="Delivered"/>
    <x v="4"/>
    <n v="0.1"/>
    <n v="159.30000000000001"/>
    <n v="1593"/>
    <n v="1433.7"/>
  </r>
  <r>
    <x v="0"/>
    <d v="2024-01-22T00:00:00"/>
    <n v="3"/>
    <s v="Service Booked"/>
    <x v="6"/>
    <n v="0.25"/>
    <n v="243.5"/>
    <n v="974"/>
    <n v="730.5"/>
  </r>
  <r>
    <x v="1"/>
    <d v="2024-01-22T00:00:00"/>
    <n v="2"/>
    <s v="In Progress"/>
    <x v="0"/>
    <n v="0.1"/>
    <n v="59"/>
    <n v="590"/>
    <n v="531"/>
  </r>
  <r>
    <x v="5"/>
    <d v="2024-01-22T00:00:00"/>
    <n v="2"/>
    <s v="Delivered"/>
    <x v="3"/>
    <n v="0.2"/>
    <n v="319.2"/>
    <n v="1596"/>
    <n v="1276.8"/>
  </r>
  <r>
    <x v="0"/>
    <d v="2024-01-22T00:00:00"/>
    <n v="1"/>
    <s v="In Progress"/>
    <x v="2"/>
    <n v="0.25"/>
    <n v="233.25"/>
    <n v="933"/>
    <n v="699.75"/>
  </r>
  <r>
    <x v="5"/>
    <d v="2024-01-22T00:00:00"/>
    <n v="1"/>
    <s v="In Progress"/>
    <x v="1"/>
    <n v="0.2"/>
    <n v="95.8"/>
    <n v="479"/>
    <n v="383.2"/>
  </r>
  <r>
    <x v="3"/>
    <d v="2024-01-23T00:00:00"/>
    <n v="2"/>
    <s v="In Progress"/>
    <x v="7"/>
    <n v="0.3"/>
    <n v="356.1"/>
    <n v="1187"/>
    <n v="830.9"/>
  </r>
  <r>
    <x v="1"/>
    <d v="2024-01-23T00:00:00"/>
    <n v="1"/>
    <s v="Service Booked"/>
    <x v="2"/>
    <n v="0.1"/>
    <n v="122.8"/>
    <n v="1228"/>
    <n v="1105.2"/>
  </r>
  <r>
    <x v="4"/>
    <d v="2024-01-24T00:00:00"/>
    <n v="1"/>
    <s v="Delivered"/>
    <x v="4"/>
    <n v="0.25"/>
    <n v="170"/>
    <n v="680"/>
    <n v="510"/>
  </r>
  <r>
    <x v="2"/>
    <d v="2024-01-24T00:00:00"/>
    <n v="2"/>
    <s v="In Progress"/>
    <x v="7"/>
    <n v="0.3"/>
    <n v="78.599999999999994"/>
    <n v="262"/>
    <n v="183.4"/>
  </r>
  <r>
    <x v="4"/>
    <d v="2024-01-25T00:00:00"/>
    <n v="3"/>
    <s v="Cancelled"/>
    <x v="0"/>
    <n v="0.25"/>
    <n v="406.75"/>
    <n v="1627"/>
    <n v="1220.25"/>
  </r>
  <r>
    <x v="2"/>
    <d v="2024-01-25T00:00:00"/>
    <n v="3"/>
    <s v="Service Booked"/>
    <x v="0"/>
    <n v="0.3"/>
    <n v="71.7"/>
    <n v="239"/>
    <n v="167.3"/>
  </r>
  <r>
    <x v="0"/>
    <d v="2024-01-26T00:00:00"/>
    <n v="2"/>
    <s v="Delivered"/>
    <x v="5"/>
    <n v="0.25"/>
    <n v="67"/>
    <n v="268"/>
    <n v="201"/>
  </r>
  <r>
    <x v="4"/>
    <d v="2024-01-26T00:00:00"/>
    <n v="2"/>
    <s v="Service Booked"/>
    <x v="2"/>
    <n v="0.25"/>
    <n v="53.5"/>
    <n v="214"/>
    <n v="160.5"/>
  </r>
  <r>
    <x v="1"/>
    <d v="2024-01-28T00:00:00"/>
    <n v="2"/>
    <s v="Cancelled"/>
    <x v="4"/>
    <n v="0.1"/>
    <n v="66.599999999999994"/>
    <n v="666"/>
    <n v="599.4"/>
  </r>
  <r>
    <x v="3"/>
    <d v="2024-01-28T00:00:00"/>
    <n v="3"/>
    <s v="Delivered"/>
    <x v="1"/>
    <n v="0.3"/>
    <n v="64.5"/>
    <n v="215"/>
    <n v="150.5"/>
  </r>
  <r>
    <x v="1"/>
    <d v="2024-01-30T00:00:00"/>
    <n v="3"/>
    <s v="Service Booked"/>
    <x v="1"/>
    <n v="0.1"/>
    <n v="183.6"/>
    <n v="1836"/>
    <n v="1652.4"/>
  </r>
  <r>
    <x v="2"/>
    <d v="2024-01-30T00:00:00"/>
    <n v="2"/>
    <s v="In Progress"/>
    <x v="7"/>
    <n v="0.3"/>
    <n v="39"/>
    <n v="130"/>
    <n v="91"/>
  </r>
  <r>
    <x v="3"/>
    <d v="2024-01-30T00:00:00"/>
    <n v="2"/>
    <s v="Service Booked"/>
    <x v="4"/>
    <n v="0.3"/>
    <n v="371.1"/>
    <n v="1237"/>
    <n v="865.9"/>
  </r>
  <r>
    <x v="5"/>
    <d v="2024-01-30T00:00:00"/>
    <n v="1"/>
    <s v="Delivered"/>
    <x v="4"/>
    <n v="0.2"/>
    <n v="102.6"/>
    <n v="513"/>
    <n v="410.4"/>
  </r>
  <r>
    <x v="1"/>
    <d v="2024-01-31T00:00:00"/>
    <n v="1"/>
    <s v="In Progress"/>
    <x v="5"/>
    <n v="0.1"/>
    <n v="59.8"/>
    <n v="598"/>
    <n v="538.20000000000005"/>
  </r>
  <r>
    <x v="1"/>
    <d v="2024-01-31T00:00:00"/>
    <n v="1"/>
    <s v="Delivered"/>
    <x v="5"/>
    <n v="0.1"/>
    <n v="160.30000000000001"/>
    <n v="1603"/>
    <n v="1442.7"/>
  </r>
  <r>
    <x v="0"/>
    <d v="2024-01-31T00:00:00"/>
    <n v="3"/>
    <s v="Service Booked"/>
    <x v="2"/>
    <n v="0.25"/>
    <n v="314.5"/>
    <n v="1258"/>
    <n v="943.5"/>
  </r>
  <r>
    <x v="0"/>
    <d v="2024-01-31T00:00:00"/>
    <n v="3"/>
    <s v="Delivered"/>
    <x v="4"/>
    <n v="0.25"/>
    <n v="95"/>
    <n v="380"/>
    <n v="285"/>
  </r>
  <r>
    <x v="3"/>
    <d v="2024-01-31T00:00:00"/>
    <n v="1"/>
    <s v="Cancelled"/>
    <x v="1"/>
    <n v="0.3"/>
    <n v="335.7"/>
    <n v="1119"/>
    <n v="783.3"/>
  </r>
  <r>
    <x v="4"/>
    <d v="2024-02-01T00:00:00"/>
    <n v="2"/>
    <s v="Delivered"/>
    <x v="1"/>
    <n v="0.25"/>
    <n v="168.75"/>
    <n v="675"/>
    <n v="506.25"/>
  </r>
  <r>
    <x v="4"/>
    <d v="2024-02-01T00:00:00"/>
    <n v="1"/>
    <s v="Delivered"/>
    <x v="1"/>
    <n v="0.25"/>
    <n v="411"/>
    <n v="1644"/>
    <n v="1233"/>
  </r>
  <r>
    <x v="5"/>
    <d v="2024-02-01T00:00:00"/>
    <n v="3"/>
    <s v="Service Booked"/>
    <x v="5"/>
    <n v="0.2"/>
    <n v="177.2"/>
    <n v="886"/>
    <n v="708.8"/>
  </r>
  <r>
    <x v="5"/>
    <d v="2024-02-01T00:00:00"/>
    <n v="2"/>
    <s v="Service Booked"/>
    <x v="3"/>
    <n v="0.2"/>
    <n v="73"/>
    <n v="365"/>
    <n v="292"/>
  </r>
  <r>
    <x v="1"/>
    <d v="2024-02-01T00:00:00"/>
    <n v="1"/>
    <s v="Service Booked"/>
    <x v="6"/>
    <n v="0.1"/>
    <n v="34.4"/>
    <n v="344"/>
    <n v="309.60000000000002"/>
  </r>
  <r>
    <x v="5"/>
    <d v="2024-02-01T00:00:00"/>
    <n v="3"/>
    <s v="Cancelled"/>
    <x v="1"/>
    <n v="0.2"/>
    <n v="333.4"/>
    <n v="1667"/>
    <n v="1333.6"/>
  </r>
  <r>
    <x v="2"/>
    <d v="2024-02-02T00:00:00"/>
    <n v="3"/>
    <s v="Delivered"/>
    <x v="5"/>
    <n v="0.3"/>
    <n v="5.0999999999999996"/>
    <n v="17"/>
    <n v="11.9"/>
  </r>
  <r>
    <x v="2"/>
    <d v="2024-02-02T00:00:00"/>
    <n v="3"/>
    <s v="Service Booked"/>
    <x v="5"/>
    <n v="0.3"/>
    <n v="312.3"/>
    <n v="1041"/>
    <n v="728.7"/>
  </r>
  <r>
    <x v="4"/>
    <d v="2024-02-02T00:00:00"/>
    <n v="3"/>
    <s v="Delivered"/>
    <x v="4"/>
    <n v="0.25"/>
    <n v="400.75"/>
    <n v="1603"/>
    <n v="1202.25"/>
  </r>
  <r>
    <x v="5"/>
    <d v="2024-02-02T00:00:00"/>
    <n v="1"/>
    <s v="Service Booked"/>
    <x v="5"/>
    <n v="0.2"/>
    <n v="170.6"/>
    <n v="853"/>
    <n v="682.4"/>
  </r>
  <r>
    <x v="0"/>
    <d v="2024-02-02T00:00:00"/>
    <n v="2"/>
    <s v="Service Booked"/>
    <x v="7"/>
    <n v="0.25"/>
    <n v="102.75"/>
    <n v="411"/>
    <n v="308.25"/>
  </r>
  <r>
    <x v="0"/>
    <d v="2024-02-02T00:00:00"/>
    <n v="2"/>
    <s v="Cancelled"/>
    <x v="4"/>
    <n v="0.25"/>
    <n v="272.75"/>
    <n v="1091"/>
    <n v="818.25"/>
  </r>
  <r>
    <x v="4"/>
    <d v="2024-02-03T00:00:00"/>
    <n v="1"/>
    <s v="Cancelled"/>
    <x v="4"/>
    <n v="0.25"/>
    <n v="100.75"/>
    <n v="403"/>
    <n v="302.25"/>
  </r>
  <r>
    <x v="4"/>
    <d v="2024-02-03T00:00:00"/>
    <n v="2"/>
    <s v="Cancelled"/>
    <x v="1"/>
    <n v="0.25"/>
    <n v="373.75"/>
    <n v="1495"/>
    <n v="1121.25"/>
  </r>
  <r>
    <x v="0"/>
    <d v="2024-02-04T00:00:00"/>
    <n v="3"/>
    <s v="Service Booked"/>
    <x v="1"/>
    <n v="0.25"/>
    <n v="62.5"/>
    <n v="250"/>
    <n v="187.5"/>
  </r>
  <r>
    <x v="3"/>
    <d v="2024-02-04T00:00:00"/>
    <n v="1"/>
    <s v="Delivered"/>
    <x v="4"/>
    <n v="0.3"/>
    <n v="310.8"/>
    <n v="1036"/>
    <n v="725.2"/>
  </r>
  <r>
    <x v="5"/>
    <d v="2024-02-04T00:00:00"/>
    <n v="1"/>
    <s v="Cancelled"/>
    <x v="3"/>
    <n v="0.2"/>
    <n v="233.6"/>
    <n v="1168"/>
    <n v="934.4"/>
  </r>
  <r>
    <x v="2"/>
    <d v="2024-02-04T00:00:00"/>
    <n v="2"/>
    <s v="Cancelled"/>
    <x v="3"/>
    <n v="0.3"/>
    <n v="324.3"/>
    <n v="1081"/>
    <n v="756.7"/>
  </r>
  <r>
    <x v="0"/>
    <d v="2024-02-04T00:00:00"/>
    <n v="2"/>
    <s v="Service Booked"/>
    <x v="5"/>
    <n v="0.25"/>
    <n v="386.75"/>
    <n v="1547"/>
    <n v="1160.25"/>
  </r>
  <r>
    <x v="3"/>
    <d v="2024-02-05T00:00:00"/>
    <n v="2"/>
    <s v="Delivered"/>
    <x v="0"/>
    <n v="0.3"/>
    <n v="152.1"/>
    <n v="507"/>
    <n v="354.9"/>
  </r>
  <r>
    <x v="3"/>
    <d v="2024-02-06T00:00:00"/>
    <n v="1"/>
    <s v="In Progress"/>
    <x v="4"/>
    <n v="0.3"/>
    <n v="117"/>
    <n v="390"/>
    <n v="273"/>
  </r>
  <r>
    <x v="0"/>
    <d v="2024-02-06T00:00:00"/>
    <n v="2"/>
    <s v="Delivered"/>
    <x v="3"/>
    <n v="0.25"/>
    <n v="239.5"/>
    <n v="958"/>
    <n v="718.5"/>
  </r>
  <r>
    <x v="0"/>
    <d v="2024-02-06T00:00:00"/>
    <n v="2"/>
    <s v="In Progress"/>
    <x v="6"/>
    <n v="0.25"/>
    <n v="86.75"/>
    <n v="347"/>
    <n v="260.25"/>
  </r>
  <r>
    <x v="4"/>
    <d v="2024-02-08T00:00:00"/>
    <n v="2"/>
    <s v="Service Booked"/>
    <x v="6"/>
    <n v="0.25"/>
    <n v="353.25"/>
    <n v="1413"/>
    <n v="1059.75"/>
  </r>
  <r>
    <x v="1"/>
    <d v="2024-02-08T00:00:00"/>
    <n v="2"/>
    <s v="Delivered"/>
    <x v="0"/>
    <n v="0.1"/>
    <n v="138.4"/>
    <n v="1384"/>
    <n v="1245.5999999999999"/>
  </r>
  <r>
    <x v="1"/>
    <d v="2024-02-08T00:00:00"/>
    <n v="2"/>
    <s v="In Progress"/>
    <x v="1"/>
    <n v="0.1"/>
    <n v="28.6"/>
    <n v="286"/>
    <n v="257.39999999999998"/>
  </r>
  <r>
    <x v="1"/>
    <d v="2024-02-09T00:00:00"/>
    <n v="3"/>
    <s v="Delivered"/>
    <x v="5"/>
    <n v="0.1"/>
    <n v="159.6"/>
    <n v="1596"/>
    <n v="1436.4"/>
  </r>
  <r>
    <x v="2"/>
    <d v="2024-02-09T00:00:00"/>
    <n v="3"/>
    <s v="Service Booked"/>
    <x v="3"/>
    <n v="0.3"/>
    <n v="385.2"/>
    <n v="1284"/>
    <n v="898.8"/>
  </r>
  <r>
    <x v="4"/>
    <d v="2024-02-10T00:00:00"/>
    <n v="3"/>
    <s v="In Progress"/>
    <x v="5"/>
    <n v="0.25"/>
    <n v="260.5"/>
    <n v="1042"/>
    <n v="781.5"/>
  </r>
  <r>
    <x v="5"/>
    <d v="2024-02-11T00:00:00"/>
    <n v="1"/>
    <s v="In Progress"/>
    <x v="0"/>
    <n v="0.2"/>
    <n v="296.39999999999998"/>
    <n v="1482"/>
    <n v="1185.5999999999999"/>
  </r>
  <r>
    <x v="3"/>
    <d v="2024-02-11T00:00:00"/>
    <n v="3"/>
    <s v="Delivered"/>
    <x v="3"/>
    <n v="0.3"/>
    <n v="384.9"/>
    <n v="1283"/>
    <n v="898.1"/>
  </r>
  <r>
    <x v="2"/>
    <d v="2024-02-12T00:00:00"/>
    <n v="3"/>
    <s v="Delivered"/>
    <x v="4"/>
    <n v="0.3"/>
    <n v="431.1"/>
    <n v="1437"/>
    <n v="1005.9"/>
  </r>
  <r>
    <x v="5"/>
    <d v="2024-02-12T00:00:00"/>
    <n v="2"/>
    <s v="Delivered"/>
    <x v="2"/>
    <n v="0.2"/>
    <n v="302.2"/>
    <n v="1511"/>
    <n v="1208.8"/>
  </r>
  <r>
    <x v="2"/>
    <d v="2024-02-12T00:00:00"/>
    <n v="3"/>
    <s v="Delivered"/>
    <x v="0"/>
    <n v="0.3"/>
    <n v="105.9"/>
    <n v="353"/>
    <n v="247.1"/>
  </r>
  <r>
    <x v="4"/>
    <d v="2024-02-12T00:00:00"/>
    <n v="2"/>
    <s v="Delivered"/>
    <x v="6"/>
    <n v="0.25"/>
    <n v="259.5"/>
    <n v="1038"/>
    <n v="778.5"/>
  </r>
  <r>
    <x v="4"/>
    <d v="2024-02-13T00:00:00"/>
    <n v="2"/>
    <s v="Delivered"/>
    <x v="3"/>
    <n v="0.25"/>
    <n v="268.75"/>
    <n v="1075"/>
    <n v="806.25"/>
  </r>
  <r>
    <x v="5"/>
    <d v="2024-02-13T00:00:00"/>
    <n v="1"/>
    <s v="Delivered"/>
    <x v="0"/>
    <n v="0.2"/>
    <n v="319"/>
    <n v="1595"/>
    <n v="1276"/>
  </r>
  <r>
    <x v="1"/>
    <d v="2024-02-13T00:00:00"/>
    <n v="3"/>
    <s v="In Progress"/>
    <x v="3"/>
    <n v="0.1"/>
    <n v="171.3"/>
    <n v="1713"/>
    <n v="1541.7"/>
  </r>
  <r>
    <x v="1"/>
    <d v="2024-02-15T00:00:00"/>
    <n v="1"/>
    <s v="Delivered"/>
    <x v="5"/>
    <n v="0.1"/>
    <n v="178.2"/>
    <n v="1782"/>
    <n v="1603.8"/>
  </r>
  <r>
    <x v="4"/>
    <d v="2024-02-15T00:00:00"/>
    <n v="3"/>
    <s v="Delivered"/>
    <x v="3"/>
    <n v="0.25"/>
    <n v="166.75"/>
    <n v="667"/>
    <n v="500.25"/>
  </r>
  <r>
    <x v="5"/>
    <d v="2024-02-15T00:00:00"/>
    <n v="2"/>
    <s v="Cancelled"/>
    <x v="5"/>
    <n v="0.2"/>
    <n v="253.6"/>
    <n v="1268"/>
    <n v="1014.4"/>
  </r>
  <r>
    <x v="0"/>
    <d v="2024-02-16T00:00:00"/>
    <n v="2"/>
    <s v="Service Booked"/>
    <x v="7"/>
    <n v="0.25"/>
    <n v="294"/>
    <n v="1176"/>
    <n v="882"/>
  </r>
  <r>
    <x v="1"/>
    <d v="2024-02-16T00:00:00"/>
    <n v="3"/>
    <s v="Service Booked"/>
    <x v="0"/>
    <n v="0.1"/>
    <n v="91.1"/>
    <n v="911"/>
    <n v="819.9"/>
  </r>
  <r>
    <x v="3"/>
    <d v="2024-02-16T00:00:00"/>
    <n v="3"/>
    <s v="In Progress"/>
    <x v="6"/>
    <n v="0.3"/>
    <n v="12"/>
    <n v="40"/>
    <n v="28"/>
  </r>
  <r>
    <x v="2"/>
    <d v="2024-02-17T00:00:00"/>
    <n v="3"/>
    <s v="In Progress"/>
    <x v="4"/>
    <n v="0.3"/>
    <n v="319.5"/>
    <n v="1065"/>
    <n v="745.5"/>
  </r>
  <r>
    <x v="0"/>
    <d v="2024-02-17T00:00:00"/>
    <n v="3"/>
    <s v="Delivered"/>
    <x v="6"/>
    <n v="0.25"/>
    <n v="380.75"/>
    <n v="1523"/>
    <n v="1142.25"/>
  </r>
  <r>
    <x v="3"/>
    <d v="2024-02-18T00:00:00"/>
    <n v="2"/>
    <s v="Delivered"/>
    <x v="0"/>
    <n v="0.3"/>
    <n v="522.9"/>
    <n v="1743"/>
    <n v="1220.0999999999999"/>
  </r>
  <r>
    <x v="5"/>
    <d v="2024-02-18T00:00:00"/>
    <n v="2"/>
    <s v="Service Booked"/>
    <x v="5"/>
    <n v="0.2"/>
    <n v="240.4"/>
    <n v="1202"/>
    <n v="961.6"/>
  </r>
  <r>
    <x v="3"/>
    <d v="2024-02-18T00:00:00"/>
    <n v="1"/>
    <s v="Delivered"/>
    <x v="5"/>
    <n v="0.3"/>
    <n v="119.7"/>
    <n v="399"/>
    <n v="279.3"/>
  </r>
  <r>
    <x v="1"/>
    <d v="2024-02-18T00:00:00"/>
    <n v="3"/>
    <s v="Service Booked"/>
    <x v="7"/>
    <n v="0.1"/>
    <n v="94.5"/>
    <n v="945"/>
    <n v="850.5"/>
  </r>
  <r>
    <x v="0"/>
    <d v="2024-02-18T00:00:00"/>
    <n v="2"/>
    <s v="Delivered"/>
    <x v="0"/>
    <n v="0.25"/>
    <n v="348.5"/>
    <n v="1394"/>
    <n v="1045.5"/>
  </r>
  <r>
    <x v="4"/>
    <d v="2024-02-18T00:00:00"/>
    <n v="3"/>
    <s v="Delivered"/>
    <x v="0"/>
    <n v="0.25"/>
    <n v="285.75"/>
    <n v="1143"/>
    <n v="857.25"/>
  </r>
  <r>
    <x v="1"/>
    <d v="2024-02-18T00:00:00"/>
    <n v="3"/>
    <s v="In Progress"/>
    <x v="0"/>
    <n v="0.1"/>
    <n v="128.30000000000001"/>
    <n v="1283"/>
    <n v="1154.7"/>
  </r>
  <r>
    <x v="5"/>
    <d v="2024-02-18T00:00:00"/>
    <n v="2"/>
    <s v="Service Booked"/>
    <x v="0"/>
    <n v="0.2"/>
    <n v="291.2"/>
    <n v="1456"/>
    <n v="1164.8"/>
  </r>
  <r>
    <x v="0"/>
    <d v="2024-02-19T00:00:00"/>
    <n v="2"/>
    <s v="Service Booked"/>
    <x v="7"/>
    <n v="0.25"/>
    <n v="289.75"/>
    <n v="1159"/>
    <n v="869.25"/>
  </r>
  <r>
    <x v="4"/>
    <d v="2024-02-19T00:00:00"/>
    <n v="2"/>
    <s v="In Progress"/>
    <x v="1"/>
    <n v="0.25"/>
    <n v="108.25"/>
    <n v="433"/>
    <n v="324.75"/>
  </r>
  <r>
    <x v="2"/>
    <d v="2024-02-20T00:00:00"/>
    <n v="2"/>
    <s v="Cancelled"/>
    <x v="5"/>
    <n v="0.3"/>
    <n v="168.3"/>
    <n v="561"/>
    <n v="392.7"/>
  </r>
  <r>
    <x v="3"/>
    <d v="2024-02-20T00:00:00"/>
    <n v="2"/>
    <s v="Service Booked"/>
    <x v="0"/>
    <n v="0.3"/>
    <n v="459.6"/>
    <n v="1532"/>
    <n v="1072.4000000000001"/>
  </r>
  <r>
    <x v="5"/>
    <d v="2024-02-21T00:00:00"/>
    <n v="2"/>
    <s v="Service Booked"/>
    <x v="0"/>
    <n v="0.2"/>
    <n v="245.2"/>
    <n v="1226"/>
    <n v="980.8"/>
  </r>
  <r>
    <x v="0"/>
    <d v="2024-02-21T00:00:00"/>
    <n v="1"/>
    <s v="Cancelled"/>
    <x v="3"/>
    <n v="0.25"/>
    <n v="294.5"/>
    <n v="1178"/>
    <n v="883.5"/>
  </r>
  <r>
    <x v="3"/>
    <d v="2024-02-21T00:00:00"/>
    <n v="3"/>
    <s v="Service Booked"/>
    <x v="7"/>
    <n v="0.3"/>
    <n v="309.3"/>
    <n v="1031"/>
    <n v="721.7"/>
  </r>
  <r>
    <x v="4"/>
    <d v="2024-02-21T00:00:00"/>
    <n v="3"/>
    <s v="Service Booked"/>
    <x v="2"/>
    <n v="0.25"/>
    <n v="4.25"/>
    <n v="17"/>
    <n v="12.75"/>
  </r>
  <r>
    <x v="1"/>
    <d v="2024-02-22T00:00:00"/>
    <n v="1"/>
    <s v="In Progress"/>
    <x v="4"/>
    <n v="0.1"/>
    <n v="59.1"/>
    <n v="591"/>
    <n v="531.9"/>
  </r>
  <r>
    <x v="5"/>
    <d v="2024-02-22T00:00:00"/>
    <n v="1"/>
    <s v="Delivered"/>
    <x v="7"/>
    <n v="0.2"/>
    <n v="138.4"/>
    <n v="692"/>
    <n v="553.6"/>
  </r>
  <r>
    <x v="5"/>
    <d v="2024-02-22T00:00:00"/>
    <n v="1"/>
    <s v="Service Booked"/>
    <x v="1"/>
    <n v="0.2"/>
    <n v="193"/>
    <n v="965"/>
    <n v="772"/>
  </r>
  <r>
    <x v="4"/>
    <d v="2024-02-23T00:00:00"/>
    <n v="3"/>
    <s v="Delivered"/>
    <x v="7"/>
    <n v="0.25"/>
    <n v="219"/>
    <n v="876"/>
    <n v="657"/>
  </r>
  <r>
    <x v="5"/>
    <d v="2024-02-24T00:00:00"/>
    <n v="3"/>
    <s v="Delivered"/>
    <x v="7"/>
    <n v="0.2"/>
    <n v="178"/>
    <n v="890"/>
    <n v="712"/>
  </r>
  <r>
    <x v="4"/>
    <d v="2024-02-25T00:00:00"/>
    <n v="1"/>
    <s v="Delivered"/>
    <x v="2"/>
    <n v="0.25"/>
    <n v="213.5"/>
    <n v="854"/>
    <n v="640.5"/>
  </r>
  <r>
    <x v="0"/>
    <d v="2024-02-26T00:00:00"/>
    <n v="2"/>
    <s v="Service Booked"/>
    <x v="7"/>
    <n v="0.25"/>
    <n v="323.25"/>
    <n v="1293"/>
    <n v="969.75"/>
  </r>
  <r>
    <x v="1"/>
    <d v="2024-02-26T00:00:00"/>
    <n v="2"/>
    <s v="Service Booked"/>
    <x v="3"/>
    <n v="0.1"/>
    <n v="79.400000000000006"/>
    <n v="794"/>
    <n v="714.6"/>
  </r>
  <r>
    <x v="3"/>
    <d v="2024-02-27T00:00:00"/>
    <n v="2"/>
    <s v="In Progress"/>
    <x v="1"/>
    <n v="0.3"/>
    <n v="364.5"/>
    <n v="1215"/>
    <n v="850.5"/>
  </r>
  <r>
    <x v="0"/>
    <d v="2024-02-28T00:00:00"/>
    <n v="1"/>
    <s v="Delivered"/>
    <x v="2"/>
    <n v="0.25"/>
    <n v="80.25"/>
    <n v="321"/>
    <n v="240.75"/>
  </r>
  <r>
    <x v="5"/>
    <d v="2024-02-28T00:00:00"/>
    <n v="2"/>
    <s v="Service Booked"/>
    <x v="2"/>
    <n v="0.2"/>
    <n v="298.60000000000002"/>
    <n v="1493"/>
    <n v="1194.4000000000001"/>
  </r>
  <r>
    <x v="3"/>
    <d v="2024-02-28T00:00:00"/>
    <n v="1"/>
    <s v="Service Booked"/>
    <x v="5"/>
    <n v="0.3"/>
    <n v="351.3"/>
    <n v="1171"/>
    <n v="819.7"/>
  </r>
  <r>
    <x v="0"/>
    <d v="2024-02-28T00:00:00"/>
    <n v="3"/>
    <s v="Service Booked"/>
    <x v="0"/>
    <n v="0.25"/>
    <n v="40.5"/>
    <n v="162"/>
    <n v="121.5"/>
  </r>
  <r>
    <x v="0"/>
    <d v="2024-02-28T00:00:00"/>
    <n v="3"/>
    <s v="Delivered"/>
    <x v="3"/>
    <n v="0.25"/>
    <n v="356.5"/>
    <n v="1426"/>
    <n v="1069.5"/>
  </r>
  <r>
    <x v="4"/>
    <d v="2024-02-29T00:00:00"/>
    <n v="1"/>
    <s v="Delivered"/>
    <x v="2"/>
    <n v="0.25"/>
    <n v="309.75"/>
    <n v="1239"/>
    <n v="929.25"/>
  </r>
  <r>
    <x v="1"/>
    <d v="2024-02-29T00:00:00"/>
    <n v="1"/>
    <s v="Service Booked"/>
    <x v="5"/>
    <n v="0.1"/>
    <n v="30.5"/>
    <n v="305"/>
    <n v="274.5"/>
  </r>
  <r>
    <x v="3"/>
    <d v="2024-03-01T00:00:00"/>
    <n v="2"/>
    <s v="Delivered"/>
    <x v="5"/>
    <n v="0.3"/>
    <n v="94.2"/>
    <n v="314"/>
    <n v="219.8"/>
  </r>
  <r>
    <x v="5"/>
    <d v="2024-03-01T00:00:00"/>
    <n v="2"/>
    <s v="Service Booked"/>
    <x v="0"/>
    <n v="0.2"/>
    <n v="115"/>
    <n v="575"/>
    <n v="460"/>
  </r>
  <r>
    <x v="0"/>
    <d v="2024-03-01T00:00:00"/>
    <n v="3"/>
    <s v="Service Booked"/>
    <x v="0"/>
    <n v="0.25"/>
    <n v="353.75"/>
    <n v="1415"/>
    <n v="1061.25"/>
  </r>
  <r>
    <x v="0"/>
    <d v="2024-03-02T00:00:00"/>
    <n v="3"/>
    <s v="Service Booked"/>
    <x v="5"/>
    <n v="0.25"/>
    <n v="75.25"/>
    <n v="301"/>
    <n v="225.75"/>
  </r>
  <r>
    <x v="4"/>
    <d v="2024-03-02T00:00:00"/>
    <n v="1"/>
    <s v="Service Booked"/>
    <x v="7"/>
    <n v="0.25"/>
    <n v="403.75"/>
    <n v="1615"/>
    <n v="1211.25"/>
  </r>
  <r>
    <x v="4"/>
    <d v="2024-03-02T00:00:00"/>
    <n v="3"/>
    <s v="Delivered"/>
    <x v="6"/>
    <n v="0.25"/>
    <n v="222.25"/>
    <n v="889"/>
    <n v="666.75"/>
  </r>
  <r>
    <x v="0"/>
    <d v="2024-03-02T00:00:00"/>
    <n v="3"/>
    <s v="In Progress"/>
    <x v="2"/>
    <n v="0.25"/>
    <n v="127.75"/>
    <n v="511"/>
    <n v="383.25"/>
  </r>
  <r>
    <x v="3"/>
    <d v="2024-03-02T00:00:00"/>
    <n v="3"/>
    <s v="Delivered"/>
    <x v="4"/>
    <n v="0.3"/>
    <n v="5.0999999999999996"/>
    <n v="17"/>
    <n v="11.9"/>
  </r>
  <r>
    <x v="2"/>
    <d v="2024-03-02T00:00:00"/>
    <n v="2"/>
    <s v="Service Booked"/>
    <x v="0"/>
    <n v="0.3"/>
    <n v="423.3"/>
    <n v="1411"/>
    <n v="987.7"/>
  </r>
  <r>
    <x v="3"/>
    <d v="2024-03-03T00:00:00"/>
    <n v="3"/>
    <s v="Delivered"/>
    <x v="3"/>
    <n v="0.3"/>
    <n v="110.7"/>
    <n v="369"/>
    <n v="258.3"/>
  </r>
  <r>
    <x v="0"/>
    <d v="2024-03-03T00:00:00"/>
    <n v="1"/>
    <s v="In Progress"/>
    <x v="2"/>
    <n v="0.25"/>
    <n v="168.75"/>
    <n v="675"/>
    <n v="506.25"/>
  </r>
  <r>
    <x v="1"/>
    <d v="2024-03-03T00:00:00"/>
    <n v="2"/>
    <s v="Delivered"/>
    <x v="4"/>
    <n v="0.1"/>
    <n v="58.9"/>
    <n v="589"/>
    <n v="530.1"/>
  </r>
  <r>
    <x v="1"/>
    <d v="2024-03-03T00:00:00"/>
    <n v="2"/>
    <s v="Delivered"/>
    <x v="4"/>
    <n v="0.1"/>
    <n v="173.2"/>
    <n v="1732"/>
    <n v="1558.8"/>
  </r>
  <r>
    <x v="4"/>
    <d v="2024-03-03T00:00:00"/>
    <n v="1"/>
    <s v="Cancelled"/>
    <x v="1"/>
    <n v="0.25"/>
    <n v="439.5"/>
    <n v="1758"/>
    <n v="1318.5"/>
  </r>
  <r>
    <x v="2"/>
    <d v="2024-03-04T00:00:00"/>
    <n v="2"/>
    <s v="Delivered"/>
    <x v="0"/>
    <n v="0.3"/>
    <n v="558"/>
    <n v="1860"/>
    <n v="1302"/>
  </r>
  <r>
    <x v="0"/>
    <d v="2024-03-04T00:00:00"/>
    <n v="2"/>
    <s v="Delivered"/>
    <x v="0"/>
    <n v="0.25"/>
    <n v="309.25"/>
    <n v="1237"/>
    <n v="927.75"/>
  </r>
  <r>
    <x v="1"/>
    <d v="2024-03-04T00:00:00"/>
    <n v="1"/>
    <s v="Service Booked"/>
    <x v="1"/>
    <n v="0.1"/>
    <n v="70.400000000000006"/>
    <n v="704"/>
    <n v="633.6"/>
  </r>
  <r>
    <x v="0"/>
    <d v="2024-03-04T00:00:00"/>
    <n v="2"/>
    <s v="Cancelled"/>
    <x v="7"/>
    <n v="0.25"/>
    <n v="261.25"/>
    <n v="1045"/>
    <n v="783.75"/>
  </r>
  <r>
    <x v="0"/>
    <d v="2024-03-05T00:00:00"/>
    <n v="2"/>
    <s v="Delivered"/>
    <x v="3"/>
    <n v="0.25"/>
    <n v="116.5"/>
    <n v="466"/>
    <n v="349.5"/>
  </r>
  <r>
    <x v="0"/>
    <d v="2024-03-05T00:00:00"/>
    <n v="1"/>
    <s v="Delivered"/>
    <x v="3"/>
    <n v="0.25"/>
    <n v="66.75"/>
    <n v="267"/>
    <n v="200.25"/>
  </r>
  <r>
    <x v="2"/>
    <d v="2024-03-06T00:00:00"/>
    <n v="3"/>
    <s v="Delivered"/>
    <x v="5"/>
    <n v="0.3"/>
    <n v="228.3"/>
    <n v="761"/>
    <n v="532.70000000000005"/>
  </r>
  <r>
    <x v="1"/>
    <d v="2024-03-06T00:00:00"/>
    <n v="3"/>
    <s v="In Progress"/>
    <x v="0"/>
    <n v="0.1"/>
    <n v="96.1"/>
    <n v="961"/>
    <n v="864.9"/>
  </r>
  <r>
    <x v="0"/>
    <d v="2024-03-06T00:00:00"/>
    <n v="1"/>
    <s v="Service Booked"/>
    <x v="1"/>
    <n v="0.25"/>
    <n v="373.5"/>
    <n v="1494"/>
    <n v="1120.5"/>
  </r>
  <r>
    <x v="5"/>
    <d v="2024-03-07T00:00:00"/>
    <n v="2"/>
    <s v="Service Booked"/>
    <x v="6"/>
    <n v="0.2"/>
    <n v="117.8"/>
    <n v="589"/>
    <n v="471.2"/>
  </r>
  <r>
    <x v="0"/>
    <d v="2024-03-07T00:00:00"/>
    <n v="3"/>
    <s v="Service Booked"/>
    <x v="6"/>
    <n v="0.25"/>
    <n v="90.25"/>
    <n v="361"/>
    <n v="270.75"/>
  </r>
  <r>
    <x v="1"/>
    <d v="2024-03-07T00:00:00"/>
    <n v="2"/>
    <s v="Service Booked"/>
    <x v="3"/>
    <n v="0.1"/>
    <n v="153.19999999999999"/>
    <n v="1532"/>
    <n v="1378.8"/>
  </r>
  <r>
    <x v="0"/>
    <d v="2024-03-07T00:00:00"/>
    <n v="1"/>
    <s v="Delivered"/>
    <x v="4"/>
    <n v="0.25"/>
    <n v="365.25"/>
    <n v="1461"/>
    <n v="1095.75"/>
  </r>
  <r>
    <x v="0"/>
    <d v="2024-03-07T00:00:00"/>
    <n v="2"/>
    <s v="Delivered"/>
    <x v="1"/>
    <n v="0.25"/>
    <n v="374"/>
    <n v="1496"/>
    <n v="1122"/>
  </r>
  <r>
    <x v="0"/>
    <d v="2024-03-07T00:00:00"/>
    <n v="2"/>
    <s v="Service Booked"/>
    <x v="3"/>
    <n v="0.25"/>
    <n v="275"/>
    <n v="1100"/>
    <n v="825"/>
  </r>
  <r>
    <x v="1"/>
    <d v="2024-03-08T00:00:00"/>
    <n v="3"/>
    <s v="Service Booked"/>
    <x v="0"/>
    <n v="0.1"/>
    <n v="148"/>
    <n v="1480"/>
    <n v="1332"/>
  </r>
  <r>
    <x v="0"/>
    <d v="2024-03-08T00:00:00"/>
    <n v="2"/>
    <s v="In Progress"/>
    <x v="0"/>
    <n v="0.25"/>
    <n v="103.75"/>
    <n v="415"/>
    <n v="311.25"/>
  </r>
  <r>
    <x v="3"/>
    <d v="2024-03-08T00:00:00"/>
    <n v="1"/>
    <s v="Delivered"/>
    <x v="1"/>
    <n v="0.3"/>
    <n v="378"/>
    <n v="1260"/>
    <n v="882"/>
  </r>
  <r>
    <x v="2"/>
    <d v="2024-03-08T00:00:00"/>
    <n v="1"/>
    <s v="In Progress"/>
    <x v="5"/>
    <n v="0.3"/>
    <n v="311.7"/>
    <n v="1039"/>
    <n v="727.3"/>
  </r>
  <r>
    <x v="0"/>
    <d v="2024-03-09T00:00:00"/>
    <n v="2"/>
    <s v="Delivered"/>
    <x v="1"/>
    <n v="0.25"/>
    <n v="100.75"/>
    <n v="403"/>
    <n v="302.25"/>
  </r>
  <r>
    <x v="5"/>
    <d v="2024-03-09T00:00:00"/>
    <n v="1"/>
    <s v="Service Booked"/>
    <x v="4"/>
    <n v="0.2"/>
    <n v="129.4"/>
    <n v="647"/>
    <n v="517.6"/>
  </r>
  <r>
    <x v="0"/>
    <d v="2024-03-09T00:00:00"/>
    <n v="1"/>
    <s v="Service Booked"/>
    <x v="1"/>
    <n v="0.25"/>
    <n v="83.5"/>
    <n v="334"/>
    <n v="250.5"/>
  </r>
  <r>
    <x v="5"/>
    <d v="2024-03-09T00:00:00"/>
    <n v="2"/>
    <s v="Cancelled"/>
    <x v="1"/>
    <n v="0.2"/>
    <n v="4.5999999999999996"/>
    <n v="23"/>
    <n v="18.399999999999999"/>
  </r>
  <r>
    <x v="2"/>
    <d v="2024-03-10T00:00:00"/>
    <n v="3"/>
    <s v="Delivered"/>
    <x v="4"/>
    <n v="0.3"/>
    <n v="123.3"/>
    <n v="411"/>
    <n v="287.7"/>
  </r>
  <r>
    <x v="5"/>
    <d v="2024-03-10T00:00:00"/>
    <n v="1"/>
    <s v="Service Booked"/>
    <x v="1"/>
    <n v="0.2"/>
    <n v="141"/>
    <n v="705"/>
    <n v="564"/>
  </r>
  <r>
    <x v="0"/>
    <d v="2024-03-11T00:00:00"/>
    <n v="2"/>
    <s v="Delivered"/>
    <x v="5"/>
    <n v="0.25"/>
    <n v="133"/>
    <n v="532"/>
    <n v="399"/>
  </r>
  <r>
    <x v="5"/>
    <d v="2024-03-11T00:00:00"/>
    <n v="3"/>
    <s v="In Progress"/>
    <x v="2"/>
    <n v="0.2"/>
    <n v="349.4"/>
    <n v="1747"/>
    <n v="1397.6"/>
  </r>
  <r>
    <x v="1"/>
    <d v="2024-03-12T00:00:00"/>
    <n v="3"/>
    <s v="Delivered"/>
    <x v="2"/>
    <n v="0.1"/>
    <n v="56.1"/>
    <n v="561"/>
    <n v="504.9"/>
  </r>
  <r>
    <x v="4"/>
    <d v="2024-03-12T00:00:00"/>
    <n v="2"/>
    <s v="Delivered"/>
    <x v="2"/>
    <n v="0.25"/>
    <n v="279.25"/>
    <n v="1117"/>
    <n v="837.75"/>
  </r>
  <r>
    <x v="3"/>
    <d v="2024-03-12T00:00:00"/>
    <n v="2"/>
    <s v="Service Booked"/>
    <x v="4"/>
    <n v="0.3"/>
    <n v="273.3"/>
    <n v="911"/>
    <n v="637.70000000000005"/>
  </r>
  <r>
    <x v="4"/>
    <d v="2024-03-12T00:00:00"/>
    <n v="2"/>
    <s v="Delivered"/>
    <x v="6"/>
    <n v="0.25"/>
    <n v="321.25"/>
    <n v="1285"/>
    <n v="963.75"/>
  </r>
  <r>
    <x v="0"/>
    <d v="2024-03-12T00:00:00"/>
    <n v="2"/>
    <s v="Cancelled"/>
    <x v="0"/>
    <n v="0.25"/>
    <n v="208"/>
    <n v="832"/>
    <n v="624"/>
  </r>
  <r>
    <x v="2"/>
    <d v="2024-03-13T00:00:00"/>
    <n v="3"/>
    <s v="Delivered"/>
    <x v="0"/>
    <n v="0.3"/>
    <n v="451.5"/>
    <n v="1505"/>
    <n v="1053.5"/>
  </r>
  <r>
    <x v="5"/>
    <d v="2024-03-13T00:00:00"/>
    <n v="1"/>
    <s v="Cancelled"/>
    <x v="6"/>
    <n v="0.2"/>
    <n v="275.39999999999998"/>
    <n v="1377"/>
    <n v="1101.5999999999999"/>
  </r>
  <r>
    <x v="1"/>
    <d v="2024-03-13T00:00:00"/>
    <n v="1"/>
    <s v="Service Booked"/>
    <x v="6"/>
    <n v="0.1"/>
    <n v="117.6"/>
    <n v="1176"/>
    <n v="1058.4000000000001"/>
  </r>
  <r>
    <x v="3"/>
    <d v="2024-03-14T00:00:00"/>
    <n v="2"/>
    <s v="Delivered"/>
    <x v="4"/>
    <n v="0.3"/>
    <n v="397.5"/>
    <n v="1325"/>
    <n v="927.5"/>
  </r>
  <r>
    <x v="3"/>
    <d v="2024-03-14T00:00:00"/>
    <n v="2"/>
    <s v="Delivered"/>
    <x v="7"/>
    <n v="0.3"/>
    <n v="162.9"/>
    <n v="543"/>
    <n v="380.1"/>
  </r>
  <r>
    <x v="1"/>
    <d v="2024-03-14T00:00:00"/>
    <n v="3"/>
    <s v="Delivered"/>
    <x v="1"/>
    <n v="0.1"/>
    <n v="66.8"/>
    <n v="668"/>
    <n v="601.20000000000005"/>
  </r>
  <r>
    <x v="3"/>
    <d v="2024-03-14T00:00:00"/>
    <n v="1"/>
    <s v="Service Booked"/>
    <x v="0"/>
    <n v="0.3"/>
    <n v="388.8"/>
    <n v="1296"/>
    <n v="907.2"/>
  </r>
  <r>
    <x v="5"/>
    <d v="2024-03-17T00:00:00"/>
    <n v="2"/>
    <s v="Delivered"/>
    <x v="1"/>
    <n v="0.2"/>
    <n v="338.2"/>
    <n v="1691"/>
    <n v="1352.8"/>
  </r>
  <r>
    <x v="3"/>
    <d v="2024-03-17T00:00:00"/>
    <n v="2"/>
    <s v="Delivered"/>
    <x v="3"/>
    <n v="0.3"/>
    <n v="515.70000000000005"/>
    <n v="1719"/>
    <n v="1203.3"/>
  </r>
  <r>
    <x v="5"/>
    <d v="2024-03-18T00:00:00"/>
    <n v="2"/>
    <s v="Service Booked"/>
    <x v="5"/>
    <n v="0.2"/>
    <n v="223"/>
    <n v="1115"/>
    <n v="892"/>
  </r>
  <r>
    <x v="0"/>
    <d v="2024-03-18T00:00:00"/>
    <n v="1"/>
    <s v="Service Booked"/>
    <x v="4"/>
    <n v="0.25"/>
    <n v="25.75"/>
    <n v="103"/>
    <n v="77.25"/>
  </r>
  <r>
    <x v="5"/>
    <d v="2024-03-18T00:00:00"/>
    <n v="1"/>
    <s v="Service Booked"/>
    <x v="5"/>
    <n v="0.2"/>
    <n v="108"/>
    <n v="540"/>
    <n v="432"/>
  </r>
  <r>
    <x v="0"/>
    <d v="2024-03-18T00:00:00"/>
    <n v="1"/>
    <s v="Delivered"/>
    <x v="1"/>
    <n v="0.25"/>
    <n v="66.75"/>
    <n v="267"/>
    <n v="200.25"/>
  </r>
  <r>
    <x v="3"/>
    <d v="2024-03-19T00:00:00"/>
    <n v="3"/>
    <s v="Service Booked"/>
    <x v="6"/>
    <n v="0.3"/>
    <n v="365.4"/>
    <n v="1218"/>
    <n v="852.6"/>
  </r>
  <r>
    <x v="0"/>
    <d v="2024-03-19T00:00:00"/>
    <n v="3"/>
    <s v="In Progress"/>
    <x v="6"/>
    <n v="0.25"/>
    <n v="316.75"/>
    <n v="1267"/>
    <n v="950.25"/>
  </r>
  <r>
    <x v="1"/>
    <d v="2024-03-19T00:00:00"/>
    <n v="1"/>
    <s v="Delivered"/>
    <x v="7"/>
    <n v="0.1"/>
    <n v="134.1"/>
    <n v="1341"/>
    <n v="1206.9000000000001"/>
  </r>
  <r>
    <x v="4"/>
    <d v="2024-03-19T00:00:00"/>
    <n v="2"/>
    <s v="Service Booked"/>
    <x v="2"/>
    <n v="0.25"/>
    <n v="7.5"/>
    <n v="30"/>
    <n v="22.5"/>
  </r>
  <r>
    <x v="0"/>
    <d v="2024-03-19T00:00:00"/>
    <n v="1"/>
    <s v="Service Booked"/>
    <x v="3"/>
    <n v="0.25"/>
    <n v="414.5"/>
    <n v="1658"/>
    <n v="1243.5"/>
  </r>
  <r>
    <x v="4"/>
    <d v="2024-03-20T00:00:00"/>
    <n v="1"/>
    <s v="In Progress"/>
    <x v="0"/>
    <n v="0.25"/>
    <n v="376.25"/>
    <n v="1505"/>
    <n v="1128.75"/>
  </r>
  <r>
    <x v="3"/>
    <d v="2024-03-20T00:00:00"/>
    <n v="3"/>
    <s v="Service Booked"/>
    <x v="6"/>
    <n v="0.3"/>
    <n v="201.9"/>
    <n v="673"/>
    <n v="471.1"/>
  </r>
  <r>
    <x v="5"/>
    <d v="2024-03-20T00:00:00"/>
    <n v="3"/>
    <s v="Delivered"/>
    <x v="7"/>
    <n v="0.2"/>
    <n v="337.8"/>
    <n v="1689"/>
    <n v="1351.2"/>
  </r>
  <r>
    <x v="2"/>
    <d v="2024-03-21T00:00:00"/>
    <n v="1"/>
    <s v="In Progress"/>
    <x v="1"/>
    <n v="0.3"/>
    <n v="173.7"/>
    <n v="579"/>
    <n v="405.3"/>
  </r>
  <r>
    <x v="0"/>
    <d v="2024-03-21T00:00:00"/>
    <n v="3"/>
    <s v="Service Booked"/>
    <x v="5"/>
    <n v="0.25"/>
    <n v="132.5"/>
    <n v="530"/>
    <n v="397.5"/>
  </r>
  <r>
    <x v="2"/>
    <d v="2024-03-21T00:00:00"/>
    <n v="1"/>
    <s v="Delivered"/>
    <x v="4"/>
    <n v="0.3"/>
    <n v="454.2"/>
    <n v="1514"/>
    <n v="1059.8"/>
  </r>
  <r>
    <x v="0"/>
    <d v="2024-03-22T00:00:00"/>
    <n v="2"/>
    <s v="In Progress"/>
    <x v="0"/>
    <n v="0.25"/>
    <n v="239.25"/>
    <n v="957"/>
    <n v="717.75"/>
  </r>
  <r>
    <x v="0"/>
    <d v="2024-03-22T00:00:00"/>
    <n v="2"/>
    <s v="Service Booked"/>
    <x v="1"/>
    <n v="0.25"/>
    <n v="56.5"/>
    <n v="226"/>
    <n v="169.5"/>
  </r>
  <r>
    <x v="0"/>
    <d v="2024-03-22T00:00:00"/>
    <n v="2"/>
    <s v="Delivered"/>
    <x v="6"/>
    <n v="0.25"/>
    <n v="262"/>
    <n v="1048"/>
    <n v="786"/>
  </r>
  <r>
    <x v="3"/>
    <d v="2024-03-23T00:00:00"/>
    <n v="3"/>
    <s v="Delivered"/>
    <x v="2"/>
    <n v="0.3"/>
    <n v="491.1"/>
    <n v="1637"/>
    <n v="1145.9000000000001"/>
  </r>
  <r>
    <x v="4"/>
    <d v="2024-03-23T00:00:00"/>
    <n v="2"/>
    <s v="Delivered"/>
    <x v="3"/>
    <n v="0.25"/>
    <n v="189"/>
    <n v="756"/>
    <n v="567"/>
  </r>
  <r>
    <x v="4"/>
    <d v="2024-03-24T00:00:00"/>
    <n v="2"/>
    <s v="Delivered"/>
    <x v="6"/>
    <n v="0.25"/>
    <n v="198.5"/>
    <n v="794"/>
    <n v="595.5"/>
  </r>
  <r>
    <x v="1"/>
    <d v="2024-03-24T00:00:00"/>
    <n v="2"/>
    <s v="Delivered"/>
    <x v="7"/>
    <n v="0.1"/>
    <n v="114.5"/>
    <n v="1145"/>
    <n v="1030.5"/>
  </r>
  <r>
    <x v="4"/>
    <d v="2024-03-24T00:00:00"/>
    <n v="3"/>
    <s v="Service Booked"/>
    <x v="3"/>
    <n v="0.25"/>
    <n v="369"/>
    <n v="1476"/>
    <n v="1107"/>
  </r>
  <r>
    <x v="0"/>
    <d v="2024-03-25T00:00:00"/>
    <n v="3"/>
    <s v="Cancelled"/>
    <x v="7"/>
    <n v="0.25"/>
    <n v="88"/>
    <n v="352"/>
    <n v="264"/>
  </r>
  <r>
    <x v="0"/>
    <d v="2024-03-25T00:00:00"/>
    <n v="1"/>
    <s v="Delivered"/>
    <x v="7"/>
    <n v="0.25"/>
    <n v="301.75"/>
    <n v="1207"/>
    <n v="905.25"/>
  </r>
  <r>
    <x v="2"/>
    <d v="2024-03-25T00:00:00"/>
    <n v="2"/>
    <s v="Service Booked"/>
    <x v="1"/>
    <n v="0.3"/>
    <n v="498.9"/>
    <n v="1663"/>
    <n v="1164.0999999999999"/>
  </r>
  <r>
    <x v="0"/>
    <d v="2024-03-25T00:00:00"/>
    <n v="3"/>
    <s v="Service Booked"/>
    <x v="2"/>
    <n v="0.25"/>
    <n v="190.75"/>
    <n v="763"/>
    <n v="572.25"/>
  </r>
  <r>
    <x v="1"/>
    <d v="2024-03-26T00:00:00"/>
    <n v="1"/>
    <s v="Service Booked"/>
    <x v="3"/>
    <n v="0.1"/>
    <n v="68"/>
    <n v="680"/>
    <n v="612"/>
  </r>
  <r>
    <x v="1"/>
    <d v="2024-03-27T00:00:00"/>
    <n v="2"/>
    <s v="Delivered"/>
    <x v="6"/>
    <n v="0.1"/>
    <n v="116.9"/>
    <n v="1169"/>
    <n v="1052.0999999999999"/>
  </r>
  <r>
    <x v="2"/>
    <d v="2024-03-27T00:00:00"/>
    <n v="1"/>
    <s v="Service Booked"/>
    <x v="6"/>
    <n v="0.3"/>
    <n v="141.30000000000001"/>
    <n v="471"/>
    <n v="329.7"/>
  </r>
  <r>
    <x v="4"/>
    <d v="2024-03-27T00:00:00"/>
    <n v="1"/>
    <s v="Service Booked"/>
    <x v="4"/>
    <n v="0.25"/>
    <n v="419"/>
    <n v="1676"/>
    <n v="1257"/>
  </r>
  <r>
    <x v="1"/>
    <d v="2024-03-27T00:00:00"/>
    <n v="1"/>
    <s v="Delivered"/>
    <x v="3"/>
    <n v="0.1"/>
    <n v="112.5"/>
    <n v="1125"/>
    <n v="1012.5"/>
  </r>
  <r>
    <x v="0"/>
    <d v="2024-03-27T00:00:00"/>
    <n v="1"/>
    <s v="In Progress"/>
    <x v="6"/>
    <n v="0.25"/>
    <n v="64"/>
    <n v="256"/>
    <n v="192"/>
  </r>
  <r>
    <x v="3"/>
    <d v="2024-03-27T00:00:00"/>
    <n v="1"/>
    <s v="Delivered"/>
    <x v="4"/>
    <n v="0.3"/>
    <n v="121.2"/>
    <n v="404"/>
    <n v="282.8"/>
  </r>
  <r>
    <x v="4"/>
    <d v="2024-03-28T00:00:00"/>
    <n v="3"/>
    <s v="Delivered"/>
    <x v="7"/>
    <n v="0.25"/>
    <n v="229.5"/>
    <n v="918"/>
    <n v="688.5"/>
  </r>
  <r>
    <x v="5"/>
    <d v="2024-03-28T00:00:00"/>
    <n v="2"/>
    <s v="Service Booked"/>
    <x v="2"/>
    <n v="0.2"/>
    <n v="83.4"/>
    <n v="417"/>
    <n v="333.6"/>
  </r>
  <r>
    <x v="5"/>
    <d v="2024-03-28T00:00:00"/>
    <n v="1"/>
    <s v="Service Booked"/>
    <x v="2"/>
    <n v="0.2"/>
    <n v="133.19999999999999"/>
    <n v="666"/>
    <n v="532.79999999999995"/>
  </r>
  <r>
    <x v="4"/>
    <d v="2024-03-28T00:00:00"/>
    <n v="1"/>
    <s v="Service Booked"/>
    <x v="3"/>
    <n v="0.25"/>
    <n v="214.25"/>
    <n v="857"/>
    <n v="642.75"/>
  </r>
  <r>
    <x v="5"/>
    <d v="2024-03-31T00:00:00"/>
    <n v="2"/>
    <s v="Delivered"/>
    <x v="7"/>
    <n v="0.2"/>
    <n v="184"/>
    <n v="920"/>
    <n v="736"/>
  </r>
  <r>
    <x v="1"/>
    <d v="2024-03-31T00:00:00"/>
    <n v="3"/>
    <s v="In Progress"/>
    <x v="0"/>
    <n v="0.1"/>
    <n v="17.600000000000001"/>
    <n v="176"/>
    <n v="158.4"/>
  </r>
  <r>
    <x v="0"/>
    <d v="2024-04-01T00:00:00"/>
    <n v="2"/>
    <s v="Service Booked"/>
    <x v="7"/>
    <n v="0.25"/>
    <n v="200.5"/>
    <n v="802"/>
    <n v="601.5"/>
  </r>
  <r>
    <x v="2"/>
    <d v="2024-04-01T00:00:00"/>
    <n v="3"/>
    <s v="Service Booked"/>
    <x v="7"/>
    <n v="0.3"/>
    <n v="241.8"/>
    <n v="806"/>
    <n v="564.20000000000005"/>
  </r>
  <r>
    <x v="2"/>
    <d v="2024-04-02T00:00:00"/>
    <n v="2"/>
    <s v="Cancelled"/>
    <x v="6"/>
    <n v="0.3"/>
    <n v="390.9"/>
    <n v="1303"/>
    <n v="912.1"/>
  </r>
  <r>
    <x v="3"/>
    <d v="2024-04-02T00:00:00"/>
    <n v="2"/>
    <s v="Service Booked"/>
    <x v="3"/>
    <n v="0.3"/>
    <n v="488.4"/>
    <n v="1628"/>
    <n v="1139.5999999999999"/>
  </r>
  <r>
    <x v="5"/>
    <d v="2024-04-03T00:00:00"/>
    <n v="1"/>
    <s v="In Progress"/>
    <x v="5"/>
    <n v="0.2"/>
    <n v="28.8"/>
    <n v="144"/>
    <n v="115.2"/>
  </r>
  <r>
    <x v="1"/>
    <d v="2024-04-03T00:00:00"/>
    <n v="3"/>
    <s v="Delivered"/>
    <x v="2"/>
    <n v="0.1"/>
    <n v="138.9"/>
    <n v="1389"/>
    <n v="1250.0999999999999"/>
  </r>
  <r>
    <x v="4"/>
    <d v="2024-04-03T00:00:00"/>
    <n v="1"/>
    <s v="Service Booked"/>
    <x v="2"/>
    <n v="0.25"/>
    <n v="319.5"/>
    <n v="1278"/>
    <n v="958.5"/>
  </r>
  <r>
    <x v="2"/>
    <d v="2024-04-04T00:00:00"/>
    <n v="3"/>
    <s v="Delivered"/>
    <x v="4"/>
    <n v="0.3"/>
    <n v="51.6"/>
    <n v="172"/>
    <n v="120.4"/>
  </r>
  <r>
    <x v="0"/>
    <d v="2024-04-04T00:00:00"/>
    <n v="2"/>
    <s v="Service Booked"/>
    <x v="6"/>
    <n v="0.25"/>
    <n v="224.25"/>
    <n v="897"/>
    <n v="672.75"/>
  </r>
  <r>
    <x v="3"/>
    <d v="2024-04-04T00:00:00"/>
    <n v="2"/>
    <s v="Cancelled"/>
    <x v="5"/>
    <n v="0.3"/>
    <n v="315"/>
    <n v="1050"/>
    <n v="735"/>
  </r>
  <r>
    <x v="4"/>
    <d v="2024-04-05T00:00:00"/>
    <n v="2"/>
    <s v="Delivered"/>
    <x v="7"/>
    <n v="0.25"/>
    <n v="14.25"/>
    <n v="57"/>
    <n v="42.75"/>
  </r>
  <r>
    <x v="4"/>
    <d v="2024-04-05T00:00:00"/>
    <n v="1"/>
    <s v="Delivered"/>
    <x v="5"/>
    <n v="0.25"/>
    <n v="40.25"/>
    <n v="161"/>
    <n v="120.75"/>
  </r>
  <r>
    <x v="3"/>
    <d v="2024-04-05T00:00:00"/>
    <n v="3"/>
    <s v="Cancelled"/>
    <x v="5"/>
    <n v="0.3"/>
    <n v="313.5"/>
    <n v="1045"/>
    <n v="731.5"/>
  </r>
  <r>
    <x v="0"/>
    <d v="2024-04-06T00:00:00"/>
    <n v="2"/>
    <s v="Delivered"/>
    <x v="4"/>
    <n v="0.25"/>
    <n v="361.5"/>
    <n v="1446"/>
    <n v="1084.5"/>
  </r>
  <r>
    <x v="0"/>
    <d v="2024-04-06T00:00:00"/>
    <n v="3"/>
    <s v="Cancelled"/>
    <x v="3"/>
    <n v="0.25"/>
    <n v="142.75"/>
    <n v="571"/>
    <n v="428.25"/>
  </r>
  <r>
    <x v="0"/>
    <d v="2024-04-07T00:00:00"/>
    <n v="2"/>
    <s v="Delivered"/>
    <x v="7"/>
    <n v="0.25"/>
    <n v="333"/>
    <n v="1332"/>
    <n v="999"/>
  </r>
  <r>
    <x v="2"/>
    <d v="2024-04-07T00:00:00"/>
    <n v="3"/>
    <s v="Cancelled"/>
    <x v="3"/>
    <n v="0.3"/>
    <n v="112.5"/>
    <n v="375"/>
    <n v="262.5"/>
  </r>
  <r>
    <x v="4"/>
    <d v="2024-04-07T00:00:00"/>
    <n v="3"/>
    <s v="Delivered"/>
    <x v="4"/>
    <n v="0.25"/>
    <n v="155.5"/>
    <n v="622"/>
    <n v="466.5"/>
  </r>
  <r>
    <x v="3"/>
    <d v="2024-04-08T00:00:00"/>
    <n v="3"/>
    <s v="Service Booked"/>
    <x v="3"/>
    <n v="0.3"/>
    <n v="288.89999999999998"/>
    <n v="963"/>
    <n v="674.1"/>
  </r>
  <r>
    <x v="3"/>
    <d v="2024-04-08T00:00:00"/>
    <n v="3"/>
    <s v="Service Booked"/>
    <x v="7"/>
    <n v="0.3"/>
    <n v="104.7"/>
    <n v="349"/>
    <n v="244.3"/>
  </r>
  <r>
    <x v="1"/>
    <d v="2024-04-09T00:00:00"/>
    <n v="1"/>
    <s v="Delivered"/>
    <x v="2"/>
    <n v="0.1"/>
    <n v="90.8"/>
    <n v="908"/>
    <n v="817.2"/>
  </r>
  <r>
    <x v="5"/>
    <d v="2024-04-09T00:00:00"/>
    <n v="3"/>
    <s v="Service Booked"/>
    <x v="3"/>
    <n v="0.2"/>
    <n v="145"/>
    <n v="725"/>
    <n v="580"/>
  </r>
  <r>
    <x v="2"/>
    <d v="2024-04-09T00:00:00"/>
    <n v="2"/>
    <s v="Delivered"/>
    <x v="1"/>
    <n v="0.3"/>
    <n v="323.10000000000002"/>
    <n v="1077"/>
    <n v="753.9"/>
  </r>
  <r>
    <x v="2"/>
    <d v="2024-04-09T00:00:00"/>
    <n v="2"/>
    <s v="Delivered"/>
    <x v="7"/>
    <n v="0.3"/>
    <n v="108"/>
    <n v="360"/>
    <n v="252"/>
  </r>
  <r>
    <x v="0"/>
    <d v="2024-04-10T00:00:00"/>
    <n v="3"/>
    <s v="Delivered"/>
    <x v="0"/>
    <n v="0.25"/>
    <n v="430.75"/>
    <n v="1723"/>
    <n v="1292.25"/>
  </r>
  <r>
    <x v="4"/>
    <d v="2024-04-11T00:00:00"/>
    <n v="2"/>
    <s v="Delivered"/>
    <x v="6"/>
    <n v="0.25"/>
    <n v="418.5"/>
    <n v="1674"/>
    <n v="1255.5"/>
  </r>
  <r>
    <x v="3"/>
    <d v="2024-04-12T00:00:00"/>
    <n v="1"/>
    <s v="Cancelled"/>
    <x v="1"/>
    <n v="0.3"/>
    <n v="299.10000000000002"/>
    <n v="997"/>
    <n v="697.9"/>
  </r>
  <r>
    <x v="2"/>
    <d v="2024-04-13T00:00:00"/>
    <n v="2"/>
    <s v="Delivered"/>
    <x v="3"/>
    <n v="0.3"/>
    <n v="414.6"/>
    <n v="1382"/>
    <n v="967.4"/>
  </r>
  <r>
    <x v="3"/>
    <d v="2024-04-13T00:00:00"/>
    <n v="1"/>
    <s v="Cancelled"/>
    <x v="5"/>
    <n v="0.3"/>
    <n v="375"/>
    <n v="1250"/>
    <n v="875"/>
  </r>
  <r>
    <x v="0"/>
    <d v="2024-04-13T00:00:00"/>
    <n v="2"/>
    <s v="In Progress"/>
    <x v="1"/>
    <n v="0.25"/>
    <n v="25"/>
    <n v="100"/>
    <n v="75"/>
  </r>
  <r>
    <x v="3"/>
    <d v="2024-04-13T00:00:00"/>
    <n v="3"/>
    <s v="Delivered"/>
    <x v="3"/>
    <n v="0.3"/>
    <n v="331.5"/>
    <n v="1105"/>
    <n v="773.5"/>
  </r>
  <r>
    <x v="5"/>
    <d v="2024-04-14T00:00:00"/>
    <n v="2"/>
    <s v="Delivered"/>
    <x v="7"/>
    <n v="0.2"/>
    <n v="198"/>
    <n v="990"/>
    <n v="792"/>
  </r>
  <r>
    <x v="4"/>
    <d v="2024-04-14T00:00:00"/>
    <n v="3"/>
    <s v="Delivered"/>
    <x v="2"/>
    <n v="0.25"/>
    <n v="151"/>
    <n v="604"/>
    <n v="453"/>
  </r>
  <r>
    <x v="0"/>
    <d v="2024-04-14T00:00:00"/>
    <n v="1"/>
    <s v="Delivered"/>
    <x v="1"/>
    <n v="0.25"/>
    <n v="295.25"/>
    <n v="1181"/>
    <n v="885.75"/>
  </r>
  <r>
    <x v="1"/>
    <d v="2024-04-14T00:00:00"/>
    <n v="3"/>
    <s v="Delivered"/>
    <x v="1"/>
    <n v="0.1"/>
    <n v="136.19999999999999"/>
    <n v="1362"/>
    <n v="1225.8"/>
  </r>
  <r>
    <x v="1"/>
    <d v="2024-04-16T00:00:00"/>
    <n v="3"/>
    <s v="Delivered"/>
    <x v="6"/>
    <n v="0.1"/>
    <n v="77.599999999999994"/>
    <n v="776"/>
    <n v="698.4"/>
  </r>
  <r>
    <x v="2"/>
    <d v="2024-04-16T00:00:00"/>
    <n v="3"/>
    <s v="Delivered"/>
    <x v="2"/>
    <n v="0.3"/>
    <n v="205.8"/>
    <n v="686"/>
    <n v="480.2"/>
  </r>
  <r>
    <x v="1"/>
    <d v="2024-04-16T00:00:00"/>
    <n v="1"/>
    <s v="Service Booked"/>
    <x v="6"/>
    <n v="0.1"/>
    <n v="27.6"/>
    <n v="276"/>
    <n v="248.4"/>
  </r>
  <r>
    <x v="1"/>
    <d v="2024-04-16T00:00:00"/>
    <n v="3"/>
    <s v="Delivered"/>
    <x v="4"/>
    <n v="0.1"/>
    <n v="5.2"/>
    <n v="52"/>
    <n v="46.8"/>
  </r>
  <r>
    <x v="3"/>
    <d v="2024-04-16T00:00:00"/>
    <n v="2"/>
    <s v="In Progress"/>
    <x v="6"/>
    <n v="0.3"/>
    <n v="403.5"/>
    <n v="1345"/>
    <n v="941.5"/>
  </r>
  <r>
    <x v="5"/>
    <d v="2024-04-17T00:00:00"/>
    <n v="3"/>
    <s v="Service Booked"/>
    <x v="4"/>
    <n v="0.2"/>
    <n v="304.60000000000002"/>
    <n v="1523"/>
    <n v="1218.4000000000001"/>
  </r>
  <r>
    <x v="0"/>
    <d v="2024-04-18T00:00:00"/>
    <n v="3"/>
    <s v="Service Booked"/>
    <x v="3"/>
    <n v="0.25"/>
    <n v="154.25"/>
    <n v="617"/>
    <n v="462.75"/>
  </r>
  <r>
    <x v="5"/>
    <d v="2024-04-18T00:00:00"/>
    <n v="1"/>
    <s v="Delivered"/>
    <x v="3"/>
    <n v="0.2"/>
    <n v="24"/>
    <n v="120"/>
    <n v="96"/>
  </r>
  <r>
    <x v="2"/>
    <d v="2024-04-18T00:00:00"/>
    <n v="3"/>
    <s v="Service Booked"/>
    <x v="5"/>
    <n v="0.3"/>
    <n v="182.4"/>
    <n v="608"/>
    <n v="425.6"/>
  </r>
  <r>
    <x v="1"/>
    <d v="2024-04-18T00:00:00"/>
    <n v="1"/>
    <s v="Delivered"/>
    <x v="5"/>
    <n v="0.1"/>
    <n v="142.5"/>
    <n v="1425"/>
    <n v="1282.5"/>
  </r>
  <r>
    <x v="1"/>
    <d v="2024-04-19T00:00:00"/>
    <n v="2"/>
    <s v="Service Booked"/>
    <x v="6"/>
    <n v="0.1"/>
    <n v="159.5"/>
    <n v="1595"/>
    <n v="1435.5"/>
  </r>
  <r>
    <x v="1"/>
    <d v="2024-04-19T00:00:00"/>
    <n v="3"/>
    <s v="Delivered"/>
    <x v="5"/>
    <n v="0.1"/>
    <n v="170.8"/>
    <n v="1708"/>
    <n v="1537.2"/>
  </r>
  <r>
    <x v="1"/>
    <d v="2024-04-19T00:00:00"/>
    <n v="2"/>
    <s v="Service Booked"/>
    <x v="6"/>
    <n v="0.1"/>
    <n v="9.5"/>
    <n v="95"/>
    <n v="85.5"/>
  </r>
  <r>
    <x v="2"/>
    <d v="2024-04-19T00:00:00"/>
    <n v="2"/>
    <s v="Cancelled"/>
    <x v="2"/>
    <n v="0.3"/>
    <n v="35.1"/>
    <n v="117"/>
    <n v="81.900000000000006"/>
  </r>
  <r>
    <x v="4"/>
    <d v="2024-04-20T00:00:00"/>
    <n v="1"/>
    <s v="Delivered"/>
    <x v="3"/>
    <n v="0.25"/>
    <n v="30"/>
    <n v="120"/>
    <n v="90"/>
  </r>
  <r>
    <x v="2"/>
    <d v="2024-04-20T00:00:00"/>
    <n v="2"/>
    <s v="Delivered"/>
    <x v="5"/>
    <n v="0.3"/>
    <n v="455.4"/>
    <n v="1518"/>
    <n v="1062.5999999999999"/>
  </r>
  <r>
    <x v="2"/>
    <d v="2024-04-21T00:00:00"/>
    <n v="2"/>
    <s v="Delivered"/>
    <x v="3"/>
    <n v="0.3"/>
    <n v="463.8"/>
    <n v="1546"/>
    <n v="1082.2"/>
  </r>
  <r>
    <x v="5"/>
    <d v="2024-04-21T00:00:00"/>
    <n v="2"/>
    <s v="Delivered"/>
    <x v="3"/>
    <n v="0.2"/>
    <n v="9.8000000000000007"/>
    <n v="49"/>
    <n v="39.200000000000003"/>
  </r>
  <r>
    <x v="0"/>
    <d v="2024-04-22T00:00:00"/>
    <n v="3"/>
    <s v="Service Booked"/>
    <x v="1"/>
    <n v="0.25"/>
    <n v="152.25"/>
    <n v="609"/>
    <n v="456.75"/>
  </r>
  <r>
    <x v="3"/>
    <d v="2024-04-22T00:00:00"/>
    <n v="3"/>
    <s v="Service Booked"/>
    <x v="7"/>
    <n v="0.3"/>
    <n v="126.9"/>
    <n v="423"/>
    <n v="296.10000000000002"/>
  </r>
  <r>
    <x v="4"/>
    <d v="2024-04-22T00:00:00"/>
    <n v="3"/>
    <s v="Service Booked"/>
    <x v="6"/>
    <n v="0.25"/>
    <n v="107"/>
    <n v="428"/>
    <n v="321"/>
  </r>
  <r>
    <x v="0"/>
    <d v="2024-04-22T00:00:00"/>
    <n v="3"/>
    <s v="Delivered"/>
    <x v="3"/>
    <n v="0.25"/>
    <n v="62.5"/>
    <n v="250"/>
    <n v="187.5"/>
  </r>
  <r>
    <x v="2"/>
    <d v="2024-04-23T00:00:00"/>
    <n v="2"/>
    <s v="Service Booked"/>
    <x v="3"/>
    <n v="0.3"/>
    <n v="51.9"/>
    <n v="173"/>
    <n v="121.1"/>
  </r>
  <r>
    <x v="0"/>
    <d v="2024-04-23T00:00:00"/>
    <n v="2"/>
    <s v="Service Booked"/>
    <x v="7"/>
    <n v="0.25"/>
    <n v="144.75"/>
    <n v="579"/>
    <n v="434.25"/>
  </r>
  <r>
    <x v="0"/>
    <d v="2024-04-24T00:00:00"/>
    <n v="2"/>
    <s v="Cancelled"/>
    <x v="7"/>
    <n v="0.25"/>
    <n v="85.25"/>
    <n v="341"/>
    <n v="255.75"/>
  </r>
  <r>
    <x v="1"/>
    <d v="2024-04-25T00:00:00"/>
    <n v="1"/>
    <s v="Delivered"/>
    <x v="7"/>
    <n v="0.1"/>
    <n v="155.4"/>
    <n v="1554"/>
    <n v="1398.6"/>
  </r>
  <r>
    <x v="1"/>
    <d v="2024-04-27T00:00:00"/>
    <n v="1"/>
    <s v="Service Booked"/>
    <x v="2"/>
    <n v="0.1"/>
    <n v="23.5"/>
    <n v="235"/>
    <n v="211.5"/>
  </r>
  <r>
    <x v="0"/>
    <d v="2024-04-27T00:00:00"/>
    <n v="1"/>
    <s v="Service Booked"/>
    <x v="5"/>
    <n v="0.25"/>
    <n v="115.5"/>
    <n v="462"/>
    <n v="346.5"/>
  </r>
  <r>
    <x v="0"/>
    <d v="2024-04-27T00:00:00"/>
    <n v="3"/>
    <s v="Service Booked"/>
    <x v="5"/>
    <n v="0.25"/>
    <n v="337.75"/>
    <n v="1351"/>
    <n v="1013.25"/>
  </r>
  <r>
    <x v="0"/>
    <d v="2024-04-28T00:00:00"/>
    <n v="2"/>
    <s v="Service Booked"/>
    <x v="6"/>
    <n v="0.25"/>
    <n v="396.5"/>
    <n v="1586"/>
    <n v="1189.5"/>
  </r>
  <r>
    <x v="0"/>
    <d v="2024-04-29T00:00:00"/>
    <n v="3"/>
    <s v="Delivered"/>
    <x v="6"/>
    <n v="0.25"/>
    <n v="32.5"/>
    <n v="130"/>
    <n v="97.5"/>
  </r>
  <r>
    <x v="2"/>
    <d v="2024-04-29T00:00:00"/>
    <n v="1"/>
    <s v="Service Booked"/>
    <x v="6"/>
    <n v="0.3"/>
    <n v="28.2"/>
    <n v="94"/>
    <n v="65.8"/>
  </r>
  <r>
    <x v="0"/>
    <d v="2024-04-29T00:00:00"/>
    <n v="2"/>
    <s v="Cancelled"/>
    <x v="3"/>
    <n v="0.25"/>
    <n v="173"/>
    <n v="692"/>
    <n v="519"/>
  </r>
  <r>
    <x v="2"/>
    <d v="2024-04-29T00:00:00"/>
    <n v="1"/>
    <s v="Delivered"/>
    <x v="1"/>
    <n v="0.3"/>
    <n v="200.7"/>
    <n v="669"/>
    <n v="468.3"/>
  </r>
  <r>
    <x v="2"/>
    <d v="2024-04-29T00:00:00"/>
    <n v="2"/>
    <s v="Service Booked"/>
    <x v="4"/>
    <n v="0.3"/>
    <n v="166.2"/>
    <n v="554"/>
    <n v="387.8"/>
  </r>
  <r>
    <x v="5"/>
    <d v="2024-04-29T00:00:00"/>
    <n v="3"/>
    <s v="Delivered"/>
    <x v="6"/>
    <n v="0.2"/>
    <n v="201.8"/>
    <n v="1009"/>
    <n v="807.2"/>
  </r>
  <r>
    <x v="0"/>
    <d v="2024-04-30T00:00:00"/>
    <n v="3"/>
    <s v="Service Booked"/>
    <x v="2"/>
    <n v="0.25"/>
    <n v="444.25"/>
    <n v="1777"/>
    <n v="1332.75"/>
  </r>
  <r>
    <x v="4"/>
    <d v="2024-05-01T00:00:00"/>
    <n v="3"/>
    <s v="Service Booked"/>
    <x v="0"/>
    <n v="0.25"/>
    <n v="65"/>
    <n v="260"/>
    <n v="195"/>
  </r>
  <r>
    <x v="3"/>
    <d v="2024-05-01T00:00:00"/>
    <n v="3"/>
    <s v="Service Booked"/>
    <x v="5"/>
    <n v="0.3"/>
    <n v="510.6"/>
    <n v="1702"/>
    <n v="1191.4000000000001"/>
  </r>
  <r>
    <x v="1"/>
    <d v="2024-05-02T00:00:00"/>
    <n v="1"/>
    <s v="Delivered"/>
    <x v="2"/>
    <n v="0.1"/>
    <n v="95.3"/>
    <n v="953"/>
    <n v="857.7"/>
  </r>
  <r>
    <x v="2"/>
    <d v="2024-05-02T00:00:00"/>
    <n v="1"/>
    <s v="Service Booked"/>
    <x v="6"/>
    <n v="0.3"/>
    <n v="457.2"/>
    <n v="1524"/>
    <n v="1066.8"/>
  </r>
  <r>
    <x v="4"/>
    <d v="2024-05-02T00:00:00"/>
    <n v="3"/>
    <s v="In Progress"/>
    <x v="2"/>
    <n v="0.25"/>
    <n v="280"/>
    <n v="1120"/>
    <n v="840"/>
  </r>
  <r>
    <x v="5"/>
    <d v="2024-05-02T00:00:00"/>
    <n v="2"/>
    <s v="Delivered"/>
    <x v="6"/>
    <n v="0.2"/>
    <n v="83.8"/>
    <n v="419"/>
    <n v="335.2"/>
  </r>
  <r>
    <x v="4"/>
    <d v="2024-05-03T00:00:00"/>
    <n v="1"/>
    <s v="Delivered"/>
    <x v="4"/>
    <n v="0.25"/>
    <n v="386.5"/>
    <n v="1546"/>
    <n v="1159.5"/>
  </r>
  <r>
    <x v="5"/>
    <d v="2024-05-04T00:00:00"/>
    <n v="2"/>
    <s v="Service Booked"/>
    <x v="0"/>
    <n v="0.2"/>
    <n v="198.6"/>
    <n v="993"/>
    <n v="794.4"/>
  </r>
  <r>
    <x v="0"/>
    <d v="2024-05-05T00:00:00"/>
    <n v="1"/>
    <s v="Delivered"/>
    <x v="0"/>
    <n v="0.25"/>
    <n v="389.5"/>
    <n v="1558"/>
    <n v="1168.5"/>
  </r>
  <r>
    <x v="1"/>
    <d v="2024-05-05T00:00:00"/>
    <n v="3"/>
    <s v="Service Booked"/>
    <x v="0"/>
    <n v="0.1"/>
    <n v="1.1000000000000001"/>
    <n v="11"/>
    <n v="9.9"/>
  </r>
  <r>
    <x v="4"/>
    <d v="2024-05-05T00:00:00"/>
    <n v="3"/>
    <s v="Cancelled"/>
    <x v="2"/>
    <n v="0.25"/>
    <n v="58"/>
    <n v="232"/>
    <n v="174"/>
  </r>
  <r>
    <x v="1"/>
    <d v="2024-05-06T00:00:00"/>
    <n v="3"/>
    <s v="Delivered"/>
    <x v="3"/>
    <n v="0.1"/>
    <n v="56.4"/>
    <n v="564"/>
    <n v="507.6"/>
  </r>
  <r>
    <x v="5"/>
    <d v="2024-05-06T00:00:00"/>
    <n v="1"/>
    <s v="Service Booked"/>
    <x v="0"/>
    <n v="0.2"/>
    <n v="197"/>
    <n v="985"/>
    <n v="788"/>
  </r>
  <r>
    <x v="2"/>
    <d v="2024-05-07T00:00:00"/>
    <n v="1"/>
    <s v="Service Booked"/>
    <x v="7"/>
    <n v="0.3"/>
    <n v="318.89999999999998"/>
    <n v="1063"/>
    <n v="744.1"/>
  </r>
  <r>
    <x v="4"/>
    <d v="2024-05-07T00:00:00"/>
    <n v="2"/>
    <s v="Delivered"/>
    <x v="7"/>
    <n v="0.25"/>
    <n v="67.75"/>
    <n v="271"/>
    <n v="203.25"/>
  </r>
  <r>
    <x v="5"/>
    <d v="2024-05-07T00:00:00"/>
    <n v="3"/>
    <s v="Delivered"/>
    <x v="3"/>
    <n v="0.2"/>
    <n v="86.6"/>
    <n v="433"/>
    <n v="346.4"/>
  </r>
  <r>
    <x v="0"/>
    <d v="2024-05-07T00:00:00"/>
    <n v="1"/>
    <s v="Service Booked"/>
    <x v="0"/>
    <n v="0.25"/>
    <n v="410"/>
    <n v="1640"/>
    <n v="1230"/>
  </r>
  <r>
    <x v="3"/>
    <d v="2024-05-09T00:00:00"/>
    <n v="2"/>
    <s v="Service Booked"/>
    <x v="3"/>
    <n v="0.3"/>
    <n v="210.9"/>
    <n v="703"/>
    <n v="492.1"/>
  </r>
  <r>
    <x v="1"/>
    <d v="2024-05-09T00:00:00"/>
    <n v="2"/>
    <s v="Cancelled"/>
    <x v="5"/>
    <n v="0.1"/>
    <n v="43.6"/>
    <n v="436"/>
    <n v="392.4"/>
  </r>
  <r>
    <x v="0"/>
    <d v="2024-05-10T00:00:00"/>
    <n v="3"/>
    <s v="Delivered"/>
    <x v="3"/>
    <n v="0.25"/>
    <n v="32.25"/>
    <n v="129"/>
    <n v="96.75"/>
  </r>
  <r>
    <x v="4"/>
    <d v="2024-05-10T00:00:00"/>
    <n v="2"/>
    <s v="Service Booked"/>
    <x v="4"/>
    <n v="0.25"/>
    <n v="95.75"/>
    <n v="383"/>
    <n v="287.25"/>
  </r>
  <r>
    <x v="0"/>
    <d v="2024-05-11T00:00:00"/>
    <n v="2"/>
    <s v="In Progress"/>
    <x v="5"/>
    <n v="0.25"/>
    <n v="436.75"/>
    <n v="1747"/>
    <n v="1310.25"/>
  </r>
  <r>
    <x v="5"/>
    <d v="2024-05-11T00:00:00"/>
    <n v="2"/>
    <s v="Delivered"/>
    <x v="4"/>
    <n v="0.2"/>
    <n v="212.4"/>
    <n v="1062"/>
    <n v="849.6"/>
  </r>
  <r>
    <x v="0"/>
    <d v="2024-05-11T00:00:00"/>
    <n v="1"/>
    <s v="Delivered"/>
    <x v="2"/>
    <n v="0.25"/>
    <n v="261.75"/>
    <n v="1047"/>
    <n v="785.25"/>
  </r>
  <r>
    <x v="0"/>
    <d v="2024-05-11T00:00:00"/>
    <n v="1"/>
    <s v="Service Booked"/>
    <x v="4"/>
    <n v="0.25"/>
    <n v="156.75"/>
    <n v="627"/>
    <n v="470.25"/>
  </r>
  <r>
    <x v="5"/>
    <d v="2024-05-11T00:00:00"/>
    <n v="3"/>
    <s v="Delivered"/>
    <x v="1"/>
    <n v="0.2"/>
    <n v="253.4"/>
    <n v="1267"/>
    <n v="1013.6"/>
  </r>
  <r>
    <x v="0"/>
    <d v="2024-05-11T00:00:00"/>
    <n v="3"/>
    <s v="Service Booked"/>
    <x v="0"/>
    <n v="0.25"/>
    <n v="279"/>
    <n v="1116"/>
    <n v="837"/>
  </r>
  <r>
    <x v="5"/>
    <d v="2024-05-12T00:00:00"/>
    <n v="1"/>
    <s v="Service Booked"/>
    <x v="2"/>
    <n v="0.2"/>
    <n v="170.8"/>
    <n v="854"/>
    <n v="683.2"/>
  </r>
  <r>
    <x v="5"/>
    <d v="2024-05-12T00:00:00"/>
    <n v="2"/>
    <s v="Delivered"/>
    <x v="5"/>
    <n v="0.2"/>
    <n v="120.4"/>
    <n v="602"/>
    <n v="481.6"/>
  </r>
  <r>
    <x v="3"/>
    <d v="2024-05-12T00:00:00"/>
    <n v="3"/>
    <s v="Delivered"/>
    <x v="1"/>
    <n v="0.3"/>
    <n v="388.2"/>
    <n v="1294"/>
    <n v="905.8"/>
  </r>
  <r>
    <x v="1"/>
    <d v="2024-05-13T00:00:00"/>
    <n v="1"/>
    <s v="Cancelled"/>
    <x v="5"/>
    <n v="0.1"/>
    <n v="5"/>
    <n v="50"/>
    <n v="45"/>
  </r>
  <r>
    <x v="0"/>
    <d v="2024-05-13T00:00:00"/>
    <n v="3"/>
    <s v="Cancelled"/>
    <x v="1"/>
    <n v="0.25"/>
    <n v="59.75"/>
    <n v="239"/>
    <n v="179.25"/>
  </r>
  <r>
    <x v="5"/>
    <d v="2024-05-13T00:00:00"/>
    <n v="1"/>
    <s v="Service Booked"/>
    <x v="0"/>
    <n v="0.2"/>
    <n v="143.4"/>
    <n v="717"/>
    <n v="573.6"/>
  </r>
  <r>
    <x v="0"/>
    <d v="2024-05-14T00:00:00"/>
    <n v="2"/>
    <s v="Delivered"/>
    <x v="3"/>
    <n v="0.25"/>
    <n v="312"/>
    <n v="1248"/>
    <n v="936"/>
  </r>
  <r>
    <x v="1"/>
    <d v="2024-05-15T00:00:00"/>
    <n v="1"/>
    <s v="Delivered"/>
    <x v="3"/>
    <n v="0.1"/>
    <n v="130.4"/>
    <n v="1304"/>
    <n v="1173.5999999999999"/>
  </r>
  <r>
    <x v="2"/>
    <d v="2024-05-15T00:00:00"/>
    <n v="1"/>
    <s v="Delivered"/>
    <x v="7"/>
    <n v="0.3"/>
    <n v="272.7"/>
    <n v="909"/>
    <n v="636.29999999999995"/>
  </r>
  <r>
    <x v="5"/>
    <d v="2024-05-15T00:00:00"/>
    <n v="3"/>
    <s v="Service Booked"/>
    <x v="5"/>
    <n v="0.2"/>
    <n v="194"/>
    <n v="970"/>
    <n v="776"/>
  </r>
  <r>
    <x v="2"/>
    <d v="2024-05-16T00:00:00"/>
    <n v="2"/>
    <s v="Service Booked"/>
    <x v="2"/>
    <n v="0.3"/>
    <n v="240"/>
    <n v="800"/>
    <n v="560"/>
  </r>
  <r>
    <x v="5"/>
    <d v="2024-05-16T00:00:00"/>
    <n v="3"/>
    <s v="Cancelled"/>
    <x v="5"/>
    <n v="0.2"/>
    <n v="205.4"/>
    <n v="1027"/>
    <n v="821.6"/>
  </r>
  <r>
    <x v="2"/>
    <d v="2024-05-16T00:00:00"/>
    <n v="2"/>
    <s v="Service Booked"/>
    <x v="0"/>
    <n v="0.3"/>
    <n v="33.9"/>
    <n v="113"/>
    <n v="79.099999999999994"/>
  </r>
  <r>
    <x v="4"/>
    <d v="2024-05-16T00:00:00"/>
    <n v="2"/>
    <s v="Service Booked"/>
    <x v="5"/>
    <n v="0.25"/>
    <n v="230"/>
    <n v="920"/>
    <n v="690"/>
  </r>
  <r>
    <x v="0"/>
    <d v="2024-05-16T00:00:00"/>
    <n v="3"/>
    <s v="Delivered"/>
    <x v="6"/>
    <n v="0.25"/>
    <n v="144"/>
    <n v="576"/>
    <n v="432"/>
  </r>
  <r>
    <x v="3"/>
    <d v="2024-05-17T00:00:00"/>
    <n v="1"/>
    <s v="Delivered"/>
    <x v="1"/>
    <n v="0.3"/>
    <n v="51.3"/>
    <n v="171"/>
    <n v="119.7"/>
  </r>
  <r>
    <x v="1"/>
    <d v="2024-05-18T00:00:00"/>
    <n v="1"/>
    <s v="Service Booked"/>
    <x v="6"/>
    <n v="0.1"/>
    <n v="19.3"/>
    <n v="193"/>
    <n v="173.7"/>
  </r>
  <r>
    <x v="2"/>
    <d v="2024-05-19T00:00:00"/>
    <n v="2"/>
    <s v="Service Booked"/>
    <x v="5"/>
    <n v="0.3"/>
    <n v="299.7"/>
    <n v="999"/>
    <n v="699.3"/>
  </r>
  <r>
    <x v="5"/>
    <d v="2024-05-19T00:00:00"/>
    <n v="1"/>
    <s v="Delivered"/>
    <x v="3"/>
    <n v="0.2"/>
    <n v="331.6"/>
    <n v="1658"/>
    <n v="1326.4"/>
  </r>
  <r>
    <x v="0"/>
    <d v="2024-05-19T00:00:00"/>
    <n v="1"/>
    <s v="Service Booked"/>
    <x v="1"/>
    <n v="0.25"/>
    <n v="334.25"/>
    <n v="1337"/>
    <n v="1002.75"/>
  </r>
  <r>
    <x v="4"/>
    <d v="2024-05-19T00:00:00"/>
    <n v="1"/>
    <s v="Cancelled"/>
    <x v="3"/>
    <n v="0.25"/>
    <n v="248.25"/>
    <n v="993"/>
    <n v="744.75"/>
  </r>
  <r>
    <x v="5"/>
    <d v="2024-05-19T00:00:00"/>
    <n v="1"/>
    <s v="Delivered"/>
    <x v="3"/>
    <n v="0.2"/>
    <n v="136.19999999999999"/>
    <n v="681"/>
    <n v="544.79999999999995"/>
  </r>
  <r>
    <x v="0"/>
    <d v="2024-05-19T00:00:00"/>
    <n v="2"/>
    <s v="Cancelled"/>
    <x v="6"/>
    <n v="0.25"/>
    <n v="66.75"/>
    <n v="267"/>
    <n v="200.25"/>
  </r>
  <r>
    <x v="5"/>
    <d v="2024-05-20T00:00:00"/>
    <n v="2"/>
    <s v="In Progress"/>
    <x v="5"/>
    <n v="0.2"/>
    <n v="160"/>
    <n v="800"/>
    <n v="640"/>
  </r>
  <r>
    <x v="3"/>
    <d v="2024-05-21T00:00:00"/>
    <n v="1"/>
    <s v="Delivered"/>
    <x v="1"/>
    <n v="0.3"/>
    <n v="309"/>
    <n v="1030"/>
    <n v="721"/>
  </r>
  <r>
    <x v="1"/>
    <d v="2024-05-22T00:00:00"/>
    <n v="1"/>
    <s v="Delivered"/>
    <x v="1"/>
    <n v="0.1"/>
    <n v="54.4"/>
    <n v="544"/>
    <n v="489.6"/>
  </r>
  <r>
    <x v="0"/>
    <d v="2024-05-22T00:00:00"/>
    <n v="3"/>
    <s v="Service Booked"/>
    <x v="7"/>
    <n v="0.25"/>
    <n v="82.25"/>
    <n v="329"/>
    <n v="246.75"/>
  </r>
  <r>
    <x v="0"/>
    <d v="2024-05-22T00:00:00"/>
    <n v="2"/>
    <s v="Service Booked"/>
    <x v="1"/>
    <n v="0.25"/>
    <n v="21.25"/>
    <n v="85"/>
    <n v="63.75"/>
  </r>
  <r>
    <x v="0"/>
    <d v="2024-05-24T00:00:00"/>
    <n v="1"/>
    <s v="Delivered"/>
    <x v="2"/>
    <n v="0.25"/>
    <n v="79"/>
    <n v="316"/>
    <n v="237"/>
  </r>
  <r>
    <x v="5"/>
    <d v="2024-05-24T00:00:00"/>
    <n v="3"/>
    <s v="Delivered"/>
    <x v="7"/>
    <n v="0.2"/>
    <n v="155.80000000000001"/>
    <n v="779"/>
    <n v="623.20000000000005"/>
  </r>
  <r>
    <x v="0"/>
    <d v="2024-05-24T00:00:00"/>
    <n v="2"/>
    <s v="Service Booked"/>
    <x v="2"/>
    <n v="0.25"/>
    <n v="214.75"/>
    <n v="859"/>
    <n v="644.25"/>
  </r>
  <r>
    <x v="5"/>
    <d v="2024-05-25T00:00:00"/>
    <n v="2"/>
    <s v="Service Booked"/>
    <x v="5"/>
    <n v="0.2"/>
    <n v="46.8"/>
    <n v="234"/>
    <n v="187.2"/>
  </r>
  <r>
    <x v="5"/>
    <d v="2024-05-25T00:00:00"/>
    <n v="3"/>
    <s v="Delivered"/>
    <x v="6"/>
    <n v="0.2"/>
    <n v="168.6"/>
    <n v="843"/>
    <n v="674.4"/>
  </r>
  <r>
    <x v="0"/>
    <d v="2024-05-26T00:00:00"/>
    <n v="2"/>
    <s v="Delivered"/>
    <x v="1"/>
    <n v="0.25"/>
    <n v="231.5"/>
    <n v="926"/>
    <n v="694.5"/>
  </r>
  <r>
    <x v="3"/>
    <d v="2024-05-26T00:00:00"/>
    <n v="3"/>
    <s v="In Progress"/>
    <x v="1"/>
    <n v="0.3"/>
    <n v="264.3"/>
    <n v="881"/>
    <n v="616.70000000000005"/>
  </r>
  <r>
    <x v="2"/>
    <d v="2024-05-26T00:00:00"/>
    <n v="2"/>
    <s v="In Progress"/>
    <x v="6"/>
    <n v="0.3"/>
    <n v="66"/>
    <n v="220"/>
    <n v="154"/>
  </r>
  <r>
    <x v="0"/>
    <d v="2024-05-27T00:00:00"/>
    <n v="3"/>
    <s v="In Progress"/>
    <x v="2"/>
    <n v="0.25"/>
    <n v="131.75"/>
    <n v="527"/>
    <n v="395.25"/>
  </r>
  <r>
    <x v="3"/>
    <d v="2024-05-27T00:00:00"/>
    <n v="1"/>
    <s v="Cancelled"/>
    <x v="4"/>
    <n v="0.3"/>
    <n v="304.5"/>
    <n v="1015"/>
    <n v="710.5"/>
  </r>
  <r>
    <x v="1"/>
    <d v="2024-05-27T00:00:00"/>
    <n v="1"/>
    <s v="In Progress"/>
    <x v="4"/>
    <n v="0.1"/>
    <n v="131.4"/>
    <n v="1314"/>
    <n v="1182.5999999999999"/>
  </r>
  <r>
    <x v="4"/>
    <d v="2024-05-27T00:00:00"/>
    <n v="3"/>
    <s v="Cancelled"/>
    <x v="5"/>
    <n v="0.25"/>
    <n v="332.5"/>
    <n v="1330"/>
    <n v="997.5"/>
  </r>
  <r>
    <x v="4"/>
    <d v="2024-05-28T00:00:00"/>
    <n v="1"/>
    <s v="Delivered"/>
    <x v="4"/>
    <n v="0.25"/>
    <n v="260.5"/>
    <n v="1042"/>
    <n v="781.5"/>
  </r>
  <r>
    <x v="3"/>
    <d v="2024-05-28T00:00:00"/>
    <n v="1"/>
    <s v="Delivered"/>
    <x v="6"/>
    <n v="0.3"/>
    <n v="320.10000000000002"/>
    <n v="1067"/>
    <n v="746.9"/>
  </r>
  <r>
    <x v="0"/>
    <d v="2024-05-29T00:00:00"/>
    <n v="1"/>
    <s v="Service Booked"/>
    <x v="1"/>
    <n v="0.25"/>
    <n v="97.25"/>
    <n v="389"/>
    <n v="291.75"/>
  </r>
  <r>
    <x v="3"/>
    <d v="2024-05-29T00:00:00"/>
    <n v="2"/>
    <s v="Delivered"/>
    <x v="4"/>
    <n v="0.3"/>
    <n v="520.79999999999995"/>
    <n v="1736"/>
    <n v="1215.2"/>
  </r>
  <r>
    <x v="3"/>
    <d v="2024-05-29T00:00:00"/>
    <n v="1"/>
    <s v="Service Booked"/>
    <x v="1"/>
    <n v="0.3"/>
    <n v="194.7"/>
    <n v="649"/>
    <n v="454.3"/>
  </r>
  <r>
    <x v="1"/>
    <d v="2024-05-30T00:00:00"/>
    <n v="1"/>
    <s v="Cancelled"/>
    <x v="3"/>
    <n v="0.1"/>
    <n v="146.30000000000001"/>
    <n v="1463"/>
    <n v="1316.7"/>
  </r>
  <r>
    <x v="0"/>
    <d v="2024-05-30T00:00:00"/>
    <n v="2"/>
    <s v="Service Booked"/>
    <x v="3"/>
    <n v="0.25"/>
    <n v="187.5"/>
    <n v="750"/>
    <n v="562.5"/>
  </r>
  <r>
    <x v="1"/>
    <d v="2024-05-30T00:00:00"/>
    <n v="2"/>
    <s v="Delivered"/>
    <x v="1"/>
    <n v="0.1"/>
    <n v="37.299999999999997"/>
    <n v="373"/>
    <n v="335.7"/>
  </r>
  <r>
    <x v="5"/>
    <d v="2024-05-31T00:00:00"/>
    <n v="3"/>
    <s v="Cancelled"/>
    <x v="5"/>
    <n v="0.2"/>
    <n v="102.8"/>
    <n v="514"/>
    <n v="411.2"/>
  </r>
  <r>
    <x v="5"/>
    <d v="2024-05-31T00:00:00"/>
    <n v="2"/>
    <s v="Delivered"/>
    <x v="2"/>
    <n v="0.2"/>
    <n v="164.8"/>
    <n v="824"/>
    <n v="659.2"/>
  </r>
  <r>
    <x v="2"/>
    <d v="2024-06-01T00:00:00"/>
    <n v="1"/>
    <s v="Service Booked"/>
    <x v="1"/>
    <n v="0.3"/>
    <n v="96.6"/>
    <n v="322"/>
    <n v="225.4"/>
  </r>
  <r>
    <x v="0"/>
    <d v="2024-06-01T00:00:00"/>
    <n v="2"/>
    <s v="Cancelled"/>
    <x v="2"/>
    <n v="0.25"/>
    <n v="181"/>
    <n v="724"/>
    <n v="543"/>
  </r>
  <r>
    <x v="4"/>
    <d v="2024-06-01T00:00:00"/>
    <n v="2"/>
    <s v="Delivered"/>
    <x v="0"/>
    <n v="0.25"/>
    <n v="301"/>
    <n v="1204"/>
    <n v="903"/>
  </r>
  <r>
    <x v="4"/>
    <d v="2024-06-01T00:00:00"/>
    <n v="3"/>
    <s v="Delivered"/>
    <x v="7"/>
    <n v="0.25"/>
    <n v="78.5"/>
    <n v="314"/>
    <n v="235.5"/>
  </r>
  <r>
    <x v="1"/>
    <d v="2024-06-03T00:00:00"/>
    <n v="1"/>
    <s v="Cancelled"/>
    <x v="7"/>
    <n v="0.1"/>
    <n v="18.7"/>
    <n v="187"/>
    <n v="168.3"/>
  </r>
  <r>
    <x v="5"/>
    <d v="2024-06-04T00:00:00"/>
    <n v="2"/>
    <s v="Delivered"/>
    <x v="7"/>
    <n v="0.2"/>
    <n v="111"/>
    <n v="555"/>
    <n v="444"/>
  </r>
  <r>
    <x v="5"/>
    <d v="2024-06-04T00:00:00"/>
    <n v="2"/>
    <s v="Delivered"/>
    <x v="5"/>
    <n v="0.2"/>
    <n v="221.2"/>
    <n v="1106"/>
    <n v="884.8"/>
  </r>
  <r>
    <x v="4"/>
    <d v="2024-06-04T00:00:00"/>
    <n v="1"/>
    <s v="Service Booked"/>
    <x v="0"/>
    <n v="0.25"/>
    <n v="341.5"/>
    <n v="1366"/>
    <n v="1024.5"/>
  </r>
  <r>
    <x v="0"/>
    <d v="2024-06-05T00:00:00"/>
    <n v="3"/>
    <s v="Delivered"/>
    <x v="0"/>
    <n v="0.25"/>
    <n v="47.25"/>
    <n v="189"/>
    <n v="141.75"/>
  </r>
  <r>
    <x v="4"/>
    <d v="2024-06-05T00:00:00"/>
    <n v="1"/>
    <s v="In Progress"/>
    <x v="7"/>
    <n v="0.25"/>
    <n v="270"/>
    <n v="1080"/>
    <n v="810"/>
  </r>
  <r>
    <x v="3"/>
    <d v="2024-06-05T00:00:00"/>
    <n v="3"/>
    <s v="Service Booked"/>
    <x v="2"/>
    <n v="0.3"/>
    <n v="461.4"/>
    <n v="1538"/>
    <n v="1076.5999999999999"/>
  </r>
  <r>
    <x v="2"/>
    <d v="2024-06-06T00:00:00"/>
    <n v="1"/>
    <s v="Service Booked"/>
    <x v="0"/>
    <n v="0.3"/>
    <n v="335.4"/>
    <n v="1118"/>
    <n v="782.6"/>
  </r>
  <r>
    <x v="2"/>
    <d v="2024-06-06T00:00:00"/>
    <n v="2"/>
    <s v="Service Booked"/>
    <x v="1"/>
    <n v="0.3"/>
    <n v="356.1"/>
    <n v="1187"/>
    <n v="830.9"/>
  </r>
  <r>
    <x v="5"/>
    <d v="2024-06-07T00:00:00"/>
    <n v="1"/>
    <s v="Cancelled"/>
    <x v="3"/>
    <n v="0.2"/>
    <n v="287.8"/>
    <n v="1439"/>
    <n v="1151.2"/>
  </r>
  <r>
    <x v="5"/>
    <d v="2024-06-07T00:00:00"/>
    <n v="2"/>
    <s v="Delivered"/>
    <x v="7"/>
    <n v="0.2"/>
    <n v="304.2"/>
    <n v="1521"/>
    <n v="1216.8"/>
  </r>
  <r>
    <x v="1"/>
    <d v="2024-06-08T00:00:00"/>
    <n v="2"/>
    <s v="Service Booked"/>
    <x v="2"/>
    <n v="0.1"/>
    <n v="126.6"/>
    <n v="1266"/>
    <n v="1139.4000000000001"/>
  </r>
  <r>
    <x v="1"/>
    <d v="2024-06-09T00:00:00"/>
    <n v="2"/>
    <s v="Delivered"/>
    <x v="4"/>
    <n v="0.1"/>
    <n v="39.200000000000003"/>
    <n v="392"/>
    <n v="352.8"/>
  </r>
  <r>
    <x v="5"/>
    <d v="2024-06-09T00:00:00"/>
    <n v="3"/>
    <s v="Service Booked"/>
    <x v="7"/>
    <n v="0.2"/>
    <n v="266.8"/>
    <n v="1334"/>
    <n v="1067.2"/>
  </r>
  <r>
    <x v="1"/>
    <d v="2024-06-09T00:00:00"/>
    <n v="2"/>
    <s v="Delivered"/>
    <x v="3"/>
    <n v="0.1"/>
    <n v="107.1"/>
    <n v="1071"/>
    <n v="963.9"/>
  </r>
  <r>
    <x v="4"/>
    <d v="2024-06-09T00:00:00"/>
    <n v="2"/>
    <s v="Delivered"/>
    <x v="5"/>
    <n v="0.25"/>
    <n v="427.75"/>
    <n v="1711"/>
    <n v="1283.25"/>
  </r>
  <r>
    <x v="1"/>
    <d v="2024-06-10T00:00:00"/>
    <n v="3"/>
    <s v="Delivered"/>
    <x v="1"/>
    <n v="0.1"/>
    <n v="130.69999999999999"/>
    <n v="1307"/>
    <n v="1176.3"/>
  </r>
  <r>
    <x v="0"/>
    <d v="2024-06-10T00:00:00"/>
    <n v="1"/>
    <s v="Delivered"/>
    <x v="7"/>
    <n v="0.25"/>
    <n v="318.5"/>
    <n v="1274"/>
    <n v="955.5"/>
  </r>
  <r>
    <x v="3"/>
    <d v="2024-06-10T00:00:00"/>
    <n v="3"/>
    <s v="Delivered"/>
    <x v="0"/>
    <n v="0.3"/>
    <n v="107.7"/>
    <n v="359"/>
    <n v="251.3"/>
  </r>
  <r>
    <x v="2"/>
    <d v="2024-06-11T00:00:00"/>
    <n v="3"/>
    <s v="Delivered"/>
    <x v="0"/>
    <n v="0.3"/>
    <n v="571.20000000000005"/>
    <n v="1904"/>
    <n v="1332.8"/>
  </r>
  <r>
    <x v="3"/>
    <d v="2024-06-11T00:00:00"/>
    <n v="1"/>
    <s v="Cancelled"/>
    <x v="2"/>
    <n v="0.3"/>
    <n v="259.8"/>
    <n v="866"/>
    <n v="606.20000000000005"/>
  </r>
  <r>
    <x v="5"/>
    <d v="2024-06-11T00:00:00"/>
    <n v="2"/>
    <s v="In Progress"/>
    <x v="2"/>
    <n v="0.2"/>
    <n v="68.2"/>
    <n v="341"/>
    <n v="272.8"/>
  </r>
  <r>
    <x v="0"/>
    <d v="2024-06-12T00:00:00"/>
    <n v="2"/>
    <s v="Service Booked"/>
    <x v="4"/>
    <n v="0.25"/>
    <n v="79.5"/>
    <n v="318"/>
    <n v="238.5"/>
  </r>
  <r>
    <x v="4"/>
    <d v="2024-06-12T00:00:00"/>
    <n v="1"/>
    <s v="Cancelled"/>
    <x v="1"/>
    <n v="0.25"/>
    <n v="332"/>
    <n v="1328"/>
    <n v="996"/>
  </r>
  <r>
    <x v="0"/>
    <d v="2024-06-12T00:00:00"/>
    <n v="3"/>
    <s v="Delivered"/>
    <x v="2"/>
    <n v="0.25"/>
    <n v="411.75"/>
    <n v="1647"/>
    <n v="1235.25"/>
  </r>
  <r>
    <x v="1"/>
    <d v="2024-06-12T00:00:00"/>
    <n v="3"/>
    <s v="Delivered"/>
    <x v="4"/>
    <n v="0.1"/>
    <n v="147.80000000000001"/>
    <n v="1478"/>
    <n v="1330.2"/>
  </r>
  <r>
    <x v="3"/>
    <d v="2024-06-13T00:00:00"/>
    <n v="2"/>
    <s v="Delivered"/>
    <x v="1"/>
    <n v="0.3"/>
    <n v="503.1"/>
    <n v="1677"/>
    <n v="1173.9000000000001"/>
  </r>
  <r>
    <x v="5"/>
    <d v="2024-06-13T00:00:00"/>
    <n v="1"/>
    <s v="Cancelled"/>
    <x v="6"/>
    <n v="0.2"/>
    <n v="31"/>
    <n v="155"/>
    <n v="124"/>
  </r>
  <r>
    <x v="4"/>
    <d v="2024-06-13T00:00:00"/>
    <n v="1"/>
    <s v="Delivered"/>
    <x v="5"/>
    <n v="0.25"/>
    <n v="287.5"/>
    <n v="1150"/>
    <n v="862.5"/>
  </r>
  <r>
    <x v="0"/>
    <d v="2024-06-13T00:00:00"/>
    <n v="3"/>
    <s v="Service Booked"/>
    <x v="7"/>
    <n v="0.25"/>
    <n v="192"/>
    <n v="768"/>
    <n v="576"/>
  </r>
  <r>
    <x v="2"/>
    <d v="2024-06-14T00:00:00"/>
    <n v="3"/>
    <s v="Delivered"/>
    <x v="2"/>
    <n v="0.3"/>
    <n v="355.5"/>
    <n v="1185"/>
    <n v="829.5"/>
  </r>
  <r>
    <x v="1"/>
    <d v="2024-06-14T00:00:00"/>
    <n v="3"/>
    <s v="Service Booked"/>
    <x v="7"/>
    <n v="0.1"/>
    <n v="16.7"/>
    <n v="167"/>
    <n v="150.30000000000001"/>
  </r>
  <r>
    <x v="2"/>
    <d v="2024-06-15T00:00:00"/>
    <n v="2"/>
    <s v="Service Booked"/>
    <x v="4"/>
    <n v="0.3"/>
    <n v="464.7"/>
    <n v="1549"/>
    <n v="1084.3"/>
  </r>
  <r>
    <x v="2"/>
    <d v="2024-06-15T00:00:00"/>
    <n v="3"/>
    <s v="Cancelled"/>
    <x v="6"/>
    <n v="0.3"/>
    <n v="539.4"/>
    <n v="1798"/>
    <n v="1258.5999999999999"/>
  </r>
  <r>
    <x v="1"/>
    <d v="2024-06-15T00:00:00"/>
    <n v="1"/>
    <s v="Service Booked"/>
    <x v="2"/>
    <n v="0.1"/>
    <n v="144.30000000000001"/>
    <n v="1443"/>
    <n v="1298.7"/>
  </r>
  <r>
    <x v="0"/>
    <d v="2024-06-15T00:00:00"/>
    <n v="3"/>
    <s v="Service Booked"/>
    <x v="1"/>
    <n v="0.25"/>
    <n v="126.75"/>
    <n v="507"/>
    <n v="380.25"/>
  </r>
  <r>
    <x v="4"/>
    <d v="2024-06-16T00:00:00"/>
    <n v="1"/>
    <s v="Delivered"/>
    <x v="5"/>
    <n v="0.25"/>
    <n v="163.5"/>
    <n v="654"/>
    <n v="490.5"/>
  </r>
  <r>
    <x v="0"/>
    <d v="2024-06-16T00:00:00"/>
    <n v="1"/>
    <s v="Delivered"/>
    <x v="2"/>
    <n v="0.25"/>
    <n v="180"/>
    <n v="720"/>
    <n v="540"/>
  </r>
  <r>
    <x v="2"/>
    <d v="2024-06-17T00:00:00"/>
    <n v="1"/>
    <s v="Cancelled"/>
    <x v="0"/>
    <n v="0.3"/>
    <n v="30.9"/>
    <n v="103"/>
    <n v="72.099999999999994"/>
  </r>
  <r>
    <x v="2"/>
    <d v="2024-06-17T00:00:00"/>
    <n v="3"/>
    <s v="Cancelled"/>
    <x v="4"/>
    <n v="0.3"/>
    <n v="491.7"/>
    <n v="1639"/>
    <n v="1147.3"/>
  </r>
  <r>
    <x v="4"/>
    <d v="2024-06-17T00:00:00"/>
    <n v="1"/>
    <s v="Service Booked"/>
    <x v="3"/>
    <n v="0.25"/>
    <n v="49.5"/>
    <n v="198"/>
    <n v="148.5"/>
  </r>
  <r>
    <x v="0"/>
    <d v="2024-06-18T00:00:00"/>
    <n v="2"/>
    <s v="In Progress"/>
    <x v="1"/>
    <n v="0.25"/>
    <n v="65.75"/>
    <n v="263"/>
    <n v="197.25"/>
  </r>
  <r>
    <x v="4"/>
    <d v="2024-06-19T00:00:00"/>
    <n v="3"/>
    <s v="Cancelled"/>
    <x v="7"/>
    <n v="0.25"/>
    <n v="457.25"/>
    <n v="1829"/>
    <n v="1371.75"/>
  </r>
  <r>
    <x v="1"/>
    <d v="2024-06-19T00:00:00"/>
    <n v="2"/>
    <s v="Delivered"/>
    <x v="3"/>
    <n v="0.1"/>
    <n v="49.2"/>
    <n v="492"/>
    <n v="442.8"/>
  </r>
  <r>
    <x v="0"/>
    <d v="2024-06-19T00:00:00"/>
    <n v="1"/>
    <s v="Delivered"/>
    <x v="1"/>
    <n v="0.25"/>
    <n v="323.25"/>
    <n v="1293"/>
    <n v="969.75"/>
  </r>
  <r>
    <x v="0"/>
    <d v="2024-06-19T00:00:00"/>
    <n v="3"/>
    <s v="Service Booked"/>
    <x v="3"/>
    <n v="0.25"/>
    <n v="354.5"/>
    <n v="1418"/>
    <n v="1063.5"/>
  </r>
  <r>
    <x v="5"/>
    <d v="2024-06-19T00:00:00"/>
    <n v="2"/>
    <s v="Delivered"/>
    <x v="7"/>
    <n v="0.2"/>
    <n v="152.80000000000001"/>
    <n v="764"/>
    <n v="611.20000000000005"/>
  </r>
  <r>
    <x v="3"/>
    <d v="2024-06-19T00:00:00"/>
    <n v="3"/>
    <s v="In Progress"/>
    <x v="0"/>
    <n v="0.3"/>
    <n v="216"/>
    <n v="720"/>
    <n v="504"/>
  </r>
  <r>
    <x v="3"/>
    <d v="2024-06-20T00:00:00"/>
    <n v="3"/>
    <s v="In Progress"/>
    <x v="1"/>
    <n v="0.3"/>
    <n v="331.8"/>
    <n v="1106"/>
    <n v="774.2"/>
  </r>
  <r>
    <x v="5"/>
    <d v="2024-06-20T00:00:00"/>
    <n v="1"/>
    <s v="Delivered"/>
    <x v="7"/>
    <n v="0.2"/>
    <n v="332"/>
    <n v="1660"/>
    <n v="1328"/>
  </r>
  <r>
    <x v="3"/>
    <d v="2024-06-20T00:00:00"/>
    <n v="3"/>
    <s v="Service Booked"/>
    <x v="7"/>
    <n v="0.3"/>
    <n v="366.3"/>
    <n v="1221"/>
    <n v="854.7"/>
  </r>
  <r>
    <x v="0"/>
    <d v="2024-06-21T00:00:00"/>
    <n v="1"/>
    <s v="Delivered"/>
    <x v="6"/>
    <n v="0.25"/>
    <n v="70"/>
    <n v="280"/>
    <n v="210"/>
  </r>
  <r>
    <x v="2"/>
    <d v="2024-06-21T00:00:00"/>
    <n v="1"/>
    <s v="Delivered"/>
    <x v="4"/>
    <n v="0.3"/>
    <n v="168.9"/>
    <n v="563"/>
    <n v="394.1"/>
  </r>
  <r>
    <x v="3"/>
    <d v="2024-06-21T00:00:00"/>
    <n v="2"/>
    <s v="Cancelled"/>
    <x v="7"/>
    <n v="0.3"/>
    <n v="208.8"/>
    <n v="696"/>
    <n v="487.2"/>
  </r>
  <r>
    <x v="0"/>
    <d v="2024-06-22T00:00:00"/>
    <n v="1"/>
    <s v="Cancelled"/>
    <x v="2"/>
    <n v="0.25"/>
    <n v="300"/>
    <n v="1200"/>
    <n v="900"/>
  </r>
  <r>
    <x v="1"/>
    <d v="2024-06-22T00:00:00"/>
    <n v="1"/>
    <s v="Service Booked"/>
    <x v="1"/>
    <n v="0.1"/>
    <n v="100.9"/>
    <n v="1009"/>
    <n v="908.1"/>
  </r>
  <r>
    <x v="2"/>
    <d v="2024-06-23T00:00:00"/>
    <n v="1"/>
    <s v="Delivered"/>
    <x v="7"/>
    <n v="0.3"/>
    <n v="179.4"/>
    <n v="598"/>
    <n v="418.6"/>
  </r>
  <r>
    <x v="0"/>
    <d v="2024-06-23T00:00:00"/>
    <n v="1"/>
    <s v="Delivered"/>
    <x v="5"/>
    <n v="0.25"/>
    <n v="164"/>
    <n v="656"/>
    <n v="492"/>
  </r>
  <r>
    <x v="1"/>
    <d v="2024-06-24T00:00:00"/>
    <n v="3"/>
    <s v="Service Booked"/>
    <x v="1"/>
    <n v="0.1"/>
    <n v="151.19999999999999"/>
    <n v="1512"/>
    <n v="1360.8"/>
  </r>
  <r>
    <x v="0"/>
    <d v="2024-06-24T00:00:00"/>
    <n v="3"/>
    <s v="Service Booked"/>
    <x v="3"/>
    <n v="0.25"/>
    <n v="264.75"/>
    <n v="1059"/>
    <n v="794.25"/>
  </r>
  <r>
    <x v="1"/>
    <d v="2024-06-25T00:00:00"/>
    <n v="1"/>
    <s v="Delivered"/>
    <x v="6"/>
    <n v="0.1"/>
    <n v="76.5"/>
    <n v="765"/>
    <n v="688.5"/>
  </r>
  <r>
    <x v="1"/>
    <d v="2024-06-25T00:00:00"/>
    <n v="2"/>
    <s v="Service Booked"/>
    <x v="5"/>
    <n v="0.1"/>
    <n v="78.599999999999994"/>
    <n v="786"/>
    <n v="707.4"/>
  </r>
  <r>
    <x v="4"/>
    <d v="2024-06-25T00:00:00"/>
    <n v="1"/>
    <s v="Cancelled"/>
    <x v="2"/>
    <n v="0.25"/>
    <n v="411.5"/>
    <n v="1646"/>
    <n v="1234.5"/>
  </r>
  <r>
    <x v="0"/>
    <d v="2024-06-25T00:00:00"/>
    <n v="3"/>
    <s v="Delivered"/>
    <x v="7"/>
    <n v="0.25"/>
    <n v="27"/>
    <n v="108"/>
    <n v="81"/>
  </r>
  <r>
    <x v="4"/>
    <d v="2024-06-26T00:00:00"/>
    <n v="2"/>
    <s v="Delivered"/>
    <x v="5"/>
    <n v="0.25"/>
    <n v="56.75"/>
    <n v="227"/>
    <n v="170.25"/>
  </r>
  <r>
    <x v="0"/>
    <d v="2024-06-26T00:00:00"/>
    <n v="2"/>
    <s v="Service Booked"/>
    <x v="6"/>
    <n v="0.25"/>
    <n v="103.25"/>
    <n v="413"/>
    <n v="309.75"/>
  </r>
  <r>
    <x v="0"/>
    <d v="2024-06-26T00:00:00"/>
    <n v="3"/>
    <s v="In Progress"/>
    <x v="2"/>
    <n v="0.25"/>
    <n v="363.25"/>
    <n v="1453"/>
    <n v="1089.75"/>
  </r>
  <r>
    <x v="2"/>
    <d v="2024-06-26T00:00:00"/>
    <n v="3"/>
    <s v="Service Booked"/>
    <x v="5"/>
    <n v="0.3"/>
    <n v="53.7"/>
    <n v="179"/>
    <n v="125.3"/>
  </r>
  <r>
    <x v="1"/>
    <d v="2024-06-26T00:00:00"/>
    <n v="1"/>
    <s v="Service Booked"/>
    <x v="7"/>
    <n v="0.1"/>
    <n v="19.899999999999999"/>
    <n v="199"/>
    <n v="179.1"/>
  </r>
  <r>
    <x v="2"/>
    <d v="2024-06-27T00:00:00"/>
    <n v="3"/>
    <s v="Service Booked"/>
    <x v="5"/>
    <n v="0.3"/>
    <n v="445.5"/>
    <n v="1485"/>
    <n v="1039.5"/>
  </r>
  <r>
    <x v="5"/>
    <d v="2024-06-27T00:00:00"/>
    <n v="3"/>
    <s v="Delivered"/>
    <x v="2"/>
    <n v="0.2"/>
    <n v="106"/>
    <n v="530"/>
    <n v="424"/>
  </r>
  <r>
    <x v="0"/>
    <d v="2024-06-27T00:00:00"/>
    <n v="2"/>
    <s v="Service Booked"/>
    <x v="4"/>
    <n v="0.25"/>
    <n v="76.5"/>
    <n v="306"/>
    <n v="229.5"/>
  </r>
  <r>
    <x v="3"/>
    <d v="2024-06-28T00:00:00"/>
    <n v="1"/>
    <s v="Delivered"/>
    <x v="1"/>
    <n v="0.3"/>
    <n v="478.2"/>
    <n v="1594"/>
    <n v="1115.8"/>
  </r>
  <r>
    <x v="1"/>
    <d v="2024-06-28T00:00:00"/>
    <n v="1"/>
    <s v="Service Booked"/>
    <x v="6"/>
    <n v="0.1"/>
    <n v="80.2"/>
    <n v="802"/>
    <n v="721.8"/>
  </r>
  <r>
    <x v="5"/>
    <d v="2024-06-28T00:00:00"/>
    <n v="1"/>
    <s v="Service Booked"/>
    <x v="4"/>
    <n v="0.2"/>
    <n v="25.4"/>
    <n v="127"/>
    <n v="101.6"/>
  </r>
  <r>
    <x v="0"/>
    <d v="2024-06-28T00:00:00"/>
    <n v="3"/>
    <s v="Service Booked"/>
    <x v="5"/>
    <n v="0.25"/>
    <n v="53"/>
    <n v="212"/>
    <n v="159"/>
  </r>
  <r>
    <x v="4"/>
    <d v="2024-06-29T00:00:00"/>
    <n v="2"/>
    <s v="Delivered"/>
    <x v="2"/>
    <n v="0.25"/>
    <n v="208.5"/>
    <n v="834"/>
    <n v="625.5"/>
  </r>
  <r>
    <x v="1"/>
    <d v="2024-06-30T00:00:00"/>
    <n v="1"/>
    <s v="Service Booked"/>
    <x v="1"/>
    <n v="0.1"/>
    <n v="36.9"/>
    <n v="369"/>
    <n v="332.1"/>
  </r>
  <r>
    <x v="5"/>
    <d v="2024-07-01T00:00:00"/>
    <n v="2"/>
    <s v="Delivered"/>
    <x v="1"/>
    <n v="0.2"/>
    <n v="302.8"/>
    <n v="1514"/>
    <n v="1211.2"/>
  </r>
  <r>
    <x v="0"/>
    <d v="2024-07-01T00:00:00"/>
    <n v="3"/>
    <s v="Delivered"/>
    <x v="1"/>
    <n v="0.25"/>
    <n v="117.75"/>
    <n v="471"/>
    <n v="353.25"/>
  </r>
  <r>
    <x v="1"/>
    <d v="2024-07-01T00:00:00"/>
    <n v="1"/>
    <s v="Cancelled"/>
    <x v="0"/>
    <n v="0.1"/>
    <n v="90.6"/>
    <n v="906"/>
    <n v="815.4"/>
  </r>
  <r>
    <x v="5"/>
    <d v="2024-07-02T00:00:00"/>
    <n v="1"/>
    <s v="Service Booked"/>
    <x v="6"/>
    <n v="0.2"/>
    <n v="281.2"/>
    <n v="1406"/>
    <n v="1124.8"/>
  </r>
  <r>
    <x v="0"/>
    <d v="2024-07-02T00:00:00"/>
    <n v="2"/>
    <s v="Delivered"/>
    <x v="4"/>
    <n v="0.25"/>
    <n v="419.25"/>
    <n v="1677"/>
    <n v="1257.75"/>
  </r>
  <r>
    <x v="0"/>
    <d v="2024-07-02T00:00:00"/>
    <n v="2"/>
    <s v="Cancelled"/>
    <x v="6"/>
    <n v="0.25"/>
    <n v="245.25"/>
    <n v="981"/>
    <n v="735.75"/>
  </r>
  <r>
    <x v="0"/>
    <d v="2024-07-03T00:00:00"/>
    <n v="1"/>
    <s v="Service Booked"/>
    <x v="0"/>
    <n v="0.25"/>
    <n v="16.75"/>
    <n v="67"/>
    <n v="50.25"/>
  </r>
  <r>
    <x v="0"/>
    <d v="2024-07-03T00:00:00"/>
    <n v="2"/>
    <s v="Service Booked"/>
    <x v="5"/>
    <n v="0.25"/>
    <n v="220.5"/>
    <n v="882"/>
    <n v="661.5"/>
  </r>
  <r>
    <x v="5"/>
    <d v="2024-07-03T00:00:00"/>
    <n v="1"/>
    <s v="Delivered"/>
    <x v="4"/>
    <n v="0.2"/>
    <n v="91.4"/>
    <n v="457"/>
    <n v="365.6"/>
  </r>
  <r>
    <x v="2"/>
    <d v="2024-07-03T00:00:00"/>
    <n v="3"/>
    <s v="Delivered"/>
    <x v="7"/>
    <n v="0.3"/>
    <n v="424.8"/>
    <n v="1416"/>
    <n v="991.2"/>
  </r>
  <r>
    <x v="2"/>
    <d v="2024-07-03T00:00:00"/>
    <n v="1"/>
    <s v="Delivered"/>
    <x v="7"/>
    <n v="0.3"/>
    <n v="24"/>
    <n v="80"/>
    <n v="56"/>
  </r>
  <r>
    <x v="0"/>
    <d v="2024-07-03T00:00:00"/>
    <n v="1"/>
    <s v="Service Booked"/>
    <x v="5"/>
    <n v="0.25"/>
    <n v="125.25"/>
    <n v="501"/>
    <n v="375.75"/>
  </r>
  <r>
    <x v="4"/>
    <d v="2024-07-04T00:00:00"/>
    <n v="3"/>
    <s v="In Progress"/>
    <x v="6"/>
    <n v="0.25"/>
    <n v="285.75"/>
    <n v="1143"/>
    <n v="857.25"/>
  </r>
  <r>
    <x v="3"/>
    <d v="2024-07-05T00:00:00"/>
    <n v="1"/>
    <s v="Service Booked"/>
    <x v="2"/>
    <n v="0.3"/>
    <n v="463.2"/>
    <n v="1544"/>
    <n v="1080.8"/>
  </r>
  <r>
    <x v="3"/>
    <d v="2024-07-05T00:00:00"/>
    <n v="3"/>
    <s v="Delivered"/>
    <x v="2"/>
    <n v="0.3"/>
    <n v="206.7"/>
    <n v="689"/>
    <n v="482.3"/>
  </r>
  <r>
    <x v="0"/>
    <d v="2024-07-06T00:00:00"/>
    <n v="3"/>
    <s v="Service Booked"/>
    <x v="4"/>
    <n v="0.25"/>
    <n v="375"/>
    <n v="1500"/>
    <n v="1125"/>
  </r>
  <r>
    <x v="1"/>
    <d v="2024-07-07T00:00:00"/>
    <n v="2"/>
    <s v="Service Booked"/>
    <x v="2"/>
    <n v="0.1"/>
    <n v="167.6"/>
    <n v="1676"/>
    <n v="1508.4"/>
  </r>
  <r>
    <x v="1"/>
    <d v="2024-07-07T00:00:00"/>
    <n v="1"/>
    <s v="Delivered"/>
    <x v="6"/>
    <n v="0.1"/>
    <n v="36.200000000000003"/>
    <n v="362"/>
    <n v="325.8"/>
  </r>
  <r>
    <x v="2"/>
    <d v="2024-07-07T00:00:00"/>
    <n v="3"/>
    <s v="Delivered"/>
    <x v="2"/>
    <n v="0.3"/>
    <n v="36.9"/>
    <n v="123"/>
    <n v="86.1"/>
  </r>
  <r>
    <x v="4"/>
    <d v="2024-07-08T00:00:00"/>
    <n v="1"/>
    <s v="Delivered"/>
    <x v="6"/>
    <n v="0.25"/>
    <n v="259.25"/>
    <n v="1037"/>
    <n v="777.75"/>
  </r>
  <r>
    <x v="2"/>
    <d v="2024-07-08T00:00:00"/>
    <n v="3"/>
    <s v="Delivered"/>
    <x v="5"/>
    <n v="0.3"/>
    <n v="139.80000000000001"/>
    <n v="466"/>
    <n v="326.2"/>
  </r>
  <r>
    <x v="5"/>
    <d v="2024-07-10T00:00:00"/>
    <n v="2"/>
    <s v="In Progress"/>
    <x v="4"/>
    <n v="0.2"/>
    <n v="239.8"/>
    <n v="1199"/>
    <n v="959.2"/>
  </r>
  <r>
    <x v="2"/>
    <d v="2024-07-10T00:00:00"/>
    <n v="3"/>
    <s v="Service Booked"/>
    <x v="3"/>
    <n v="0.3"/>
    <n v="203.1"/>
    <n v="677"/>
    <n v="473.9"/>
  </r>
  <r>
    <x v="2"/>
    <d v="2024-07-10T00:00:00"/>
    <n v="1"/>
    <s v="Delivered"/>
    <x v="4"/>
    <n v="0.3"/>
    <n v="393.3"/>
    <n v="1311"/>
    <n v="917.7"/>
  </r>
  <r>
    <x v="3"/>
    <d v="2024-07-10T00:00:00"/>
    <n v="2"/>
    <s v="Service Booked"/>
    <x v="0"/>
    <n v="0.3"/>
    <n v="325.5"/>
    <n v="1085"/>
    <n v="759.5"/>
  </r>
  <r>
    <x v="1"/>
    <d v="2024-07-11T00:00:00"/>
    <n v="3"/>
    <s v="Delivered"/>
    <x v="1"/>
    <n v="0.1"/>
    <n v="90"/>
    <n v="900"/>
    <n v="810"/>
  </r>
  <r>
    <x v="3"/>
    <d v="2024-07-11T00:00:00"/>
    <n v="3"/>
    <s v="Service Booked"/>
    <x v="0"/>
    <n v="0.3"/>
    <n v="247.5"/>
    <n v="825"/>
    <n v="577.5"/>
  </r>
  <r>
    <x v="2"/>
    <d v="2024-07-11T00:00:00"/>
    <n v="3"/>
    <s v="Service Booked"/>
    <x v="6"/>
    <n v="0.3"/>
    <n v="551.1"/>
    <n v="1837"/>
    <n v="1285.9000000000001"/>
  </r>
  <r>
    <x v="4"/>
    <d v="2024-07-12T00:00:00"/>
    <n v="1"/>
    <s v="Delivered"/>
    <x v="5"/>
    <n v="0.25"/>
    <n v="395.75"/>
    <n v="1583"/>
    <n v="1187.25"/>
  </r>
  <r>
    <x v="2"/>
    <d v="2024-07-12T00:00:00"/>
    <n v="1"/>
    <s v="In Progress"/>
    <x v="6"/>
    <n v="0.3"/>
    <n v="74.7"/>
    <n v="249"/>
    <n v="174.3"/>
  </r>
  <r>
    <x v="0"/>
    <d v="2024-07-12T00:00:00"/>
    <n v="1"/>
    <s v="Service Booked"/>
    <x v="3"/>
    <n v="0.25"/>
    <n v="59.75"/>
    <n v="239"/>
    <n v="179.25"/>
  </r>
  <r>
    <x v="5"/>
    <d v="2024-07-12T00:00:00"/>
    <n v="2"/>
    <s v="Service Booked"/>
    <x v="3"/>
    <n v="0.2"/>
    <n v="210.8"/>
    <n v="1054"/>
    <n v="843.2"/>
  </r>
  <r>
    <x v="4"/>
    <d v="2024-07-13T00:00:00"/>
    <n v="3"/>
    <s v="Service Booked"/>
    <x v="0"/>
    <n v="0.25"/>
    <n v="143.25"/>
    <n v="573"/>
    <n v="429.75"/>
  </r>
  <r>
    <x v="0"/>
    <d v="2024-07-13T00:00:00"/>
    <n v="1"/>
    <s v="Delivered"/>
    <x v="5"/>
    <n v="0.25"/>
    <n v="358.75"/>
    <n v="1435"/>
    <n v="1076.25"/>
  </r>
  <r>
    <x v="0"/>
    <d v="2024-07-13T00:00:00"/>
    <n v="3"/>
    <s v="Delivered"/>
    <x v="0"/>
    <n v="0.25"/>
    <n v="179.5"/>
    <n v="718"/>
    <n v="538.5"/>
  </r>
  <r>
    <x v="4"/>
    <d v="2024-07-14T00:00:00"/>
    <n v="1"/>
    <s v="Delivered"/>
    <x v="1"/>
    <n v="0.25"/>
    <n v="457.25"/>
    <n v="1829"/>
    <n v="1371.75"/>
  </r>
  <r>
    <x v="0"/>
    <d v="2024-07-14T00:00:00"/>
    <n v="2"/>
    <s v="Delivered"/>
    <x v="4"/>
    <n v="0.25"/>
    <n v="347.75"/>
    <n v="1391"/>
    <n v="1043.25"/>
  </r>
  <r>
    <x v="0"/>
    <d v="2024-07-15T00:00:00"/>
    <n v="2"/>
    <s v="Service Booked"/>
    <x v="2"/>
    <n v="0.25"/>
    <n v="364"/>
    <n v="1456"/>
    <n v="1092"/>
  </r>
  <r>
    <x v="0"/>
    <d v="2024-07-15T00:00:00"/>
    <n v="3"/>
    <s v="Service Booked"/>
    <x v="1"/>
    <n v="0.25"/>
    <n v="144.25"/>
    <n v="577"/>
    <n v="432.75"/>
  </r>
  <r>
    <x v="0"/>
    <d v="2024-07-15T00:00:00"/>
    <n v="1"/>
    <s v="Delivered"/>
    <x v="2"/>
    <n v="0.25"/>
    <n v="248.75"/>
    <n v="995"/>
    <n v="746.25"/>
  </r>
  <r>
    <x v="0"/>
    <d v="2024-07-16T00:00:00"/>
    <n v="3"/>
    <s v="Cancelled"/>
    <x v="0"/>
    <n v="0.25"/>
    <n v="418.5"/>
    <n v="1674"/>
    <n v="1255.5"/>
  </r>
  <r>
    <x v="0"/>
    <d v="2024-07-16T00:00:00"/>
    <n v="1"/>
    <s v="Service Booked"/>
    <x v="1"/>
    <n v="0.25"/>
    <n v="117.5"/>
    <n v="470"/>
    <n v="352.5"/>
  </r>
  <r>
    <x v="5"/>
    <d v="2024-07-17T00:00:00"/>
    <n v="3"/>
    <s v="Delivered"/>
    <x v="3"/>
    <n v="0.2"/>
    <n v="113.4"/>
    <n v="567"/>
    <n v="453.6"/>
  </r>
  <r>
    <x v="5"/>
    <d v="2024-07-17T00:00:00"/>
    <n v="1"/>
    <s v="Service Booked"/>
    <x v="0"/>
    <n v="0.2"/>
    <n v="86.6"/>
    <n v="433"/>
    <n v="346.4"/>
  </r>
  <r>
    <x v="0"/>
    <d v="2024-07-17T00:00:00"/>
    <n v="2"/>
    <s v="Cancelled"/>
    <x v="7"/>
    <n v="0.25"/>
    <n v="305"/>
    <n v="1220"/>
    <n v="915"/>
  </r>
  <r>
    <x v="2"/>
    <d v="2024-07-18T00:00:00"/>
    <n v="3"/>
    <s v="In Progress"/>
    <x v="4"/>
    <n v="0.3"/>
    <n v="233.1"/>
    <n v="777"/>
    <n v="543.9"/>
  </r>
  <r>
    <x v="1"/>
    <d v="2024-07-18T00:00:00"/>
    <n v="3"/>
    <s v="Delivered"/>
    <x v="1"/>
    <n v="0.1"/>
    <n v="138.5"/>
    <n v="1385"/>
    <n v="1246.5"/>
  </r>
  <r>
    <x v="3"/>
    <d v="2024-07-18T00:00:00"/>
    <n v="1"/>
    <s v="Cancelled"/>
    <x v="0"/>
    <n v="0.3"/>
    <n v="95.7"/>
    <n v="319"/>
    <n v="223.3"/>
  </r>
  <r>
    <x v="3"/>
    <d v="2024-07-18T00:00:00"/>
    <n v="3"/>
    <s v="Service Booked"/>
    <x v="2"/>
    <n v="0.3"/>
    <n v="93.6"/>
    <n v="312"/>
    <n v="218.4"/>
  </r>
  <r>
    <x v="2"/>
    <d v="2024-07-18T00:00:00"/>
    <n v="1"/>
    <s v="Cancelled"/>
    <x v="0"/>
    <n v="0.3"/>
    <n v="324.60000000000002"/>
    <n v="1082"/>
    <n v="757.4"/>
  </r>
  <r>
    <x v="2"/>
    <d v="2024-07-18T00:00:00"/>
    <n v="2"/>
    <s v="In Progress"/>
    <x v="1"/>
    <n v="0.3"/>
    <n v="184.8"/>
    <n v="616"/>
    <n v="431.2"/>
  </r>
  <r>
    <x v="1"/>
    <d v="2024-07-19T00:00:00"/>
    <n v="2"/>
    <s v="Delivered"/>
    <x v="5"/>
    <n v="0.1"/>
    <n v="61.6"/>
    <n v="616"/>
    <n v="554.4"/>
  </r>
  <r>
    <x v="0"/>
    <d v="2024-07-19T00:00:00"/>
    <n v="1"/>
    <s v="Service Booked"/>
    <x v="3"/>
    <n v="0.25"/>
    <n v="43.75"/>
    <n v="175"/>
    <n v="131.25"/>
  </r>
  <r>
    <x v="0"/>
    <d v="2024-07-20T00:00:00"/>
    <n v="2"/>
    <s v="Delivered"/>
    <x v="2"/>
    <n v="0.25"/>
    <n v="73.5"/>
    <n v="294"/>
    <n v="220.5"/>
  </r>
  <r>
    <x v="4"/>
    <d v="2024-07-20T00:00:00"/>
    <n v="2"/>
    <s v="Service Booked"/>
    <x v="2"/>
    <n v="0.25"/>
    <n v="306.5"/>
    <n v="1226"/>
    <n v="919.5"/>
  </r>
  <r>
    <x v="4"/>
    <d v="2024-07-22T00:00:00"/>
    <n v="2"/>
    <s v="In Progress"/>
    <x v="1"/>
    <n v="0.25"/>
    <n v="160.25"/>
    <n v="641"/>
    <n v="480.75"/>
  </r>
  <r>
    <x v="4"/>
    <d v="2024-07-23T00:00:00"/>
    <n v="3"/>
    <s v="Cancelled"/>
    <x v="5"/>
    <n v="0.25"/>
    <n v="303.75"/>
    <n v="1215"/>
    <n v="911.25"/>
  </r>
  <r>
    <x v="1"/>
    <d v="2024-07-23T00:00:00"/>
    <n v="1"/>
    <s v="Delivered"/>
    <x v="7"/>
    <n v="0.1"/>
    <n v="176.3"/>
    <n v="1763"/>
    <n v="1586.7"/>
  </r>
  <r>
    <x v="1"/>
    <d v="2024-07-23T00:00:00"/>
    <n v="3"/>
    <s v="Service Booked"/>
    <x v="4"/>
    <n v="0.1"/>
    <n v="130.9"/>
    <n v="1309"/>
    <n v="1178.0999999999999"/>
  </r>
  <r>
    <x v="3"/>
    <d v="2024-07-23T00:00:00"/>
    <n v="3"/>
    <s v="Service Booked"/>
    <x v="7"/>
    <n v="0.3"/>
    <n v="78.599999999999994"/>
    <n v="262"/>
    <n v="183.4"/>
  </r>
  <r>
    <x v="4"/>
    <d v="2024-07-24T00:00:00"/>
    <n v="3"/>
    <s v="Delivered"/>
    <x v="7"/>
    <n v="0.25"/>
    <n v="125.25"/>
    <n v="501"/>
    <n v="375.75"/>
  </r>
  <r>
    <x v="0"/>
    <d v="2024-07-24T00:00:00"/>
    <n v="3"/>
    <s v="Delivered"/>
    <x v="4"/>
    <n v="0.25"/>
    <n v="34.25"/>
    <n v="137"/>
    <n v="102.75"/>
  </r>
  <r>
    <x v="1"/>
    <d v="2024-07-24T00:00:00"/>
    <n v="3"/>
    <s v="Delivered"/>
    <x v="5"/>
    <n v="0.1"/>
    <n v="90.9"/>
    <n v="909"/>
    <n v="818.1"/>
  </r>
  <r>
    <x v="5"/>
    <d v="2024-07-25T00:00:00"/>
    <n v="2"/>
    <s v="Cancelled"/>
    <x v="7"/>
    <n v="0.2"/>
    <n v="188.8"/>
    <n v="944"/>
    <n v="755.2"/>
  </r>
  <r>
    <x v="3"/>
    <d v="2024-07-25T00:00:00"/>
    <n v="3"/>
    <s v="Service Booked"/>
    <x v="6"/>
    <n v="0.3"/>
    <n v="513.6"/>
    <n v="1712"/>
    <n v="1198.4000000000001"/>
  </r>
  <r>
    <x v="5"/>
    <d v="2024-07-25T00:00:00"/>
    <n v="3"/>
    <s v="Cancelled"/>
    <x v="7"/>
    <n v="0.2"/>
    <n v="107"/>
    <n v="535"/>
    <n v="428"/>
  </r>
  <r>
    <x v="0"/>
    <d v="2024-07-25T00:00:00"/>
    <n v="3"/>
    <s v="Delivered"/>
    <x v="3"/>
    <n v="0.25"/>
    <n v="328"/>
    <n v="1312"/>
    <n v="984"/>
  </r>
  <r>
    <x v="5"/>
    <d v="2024-07-26T00:00:00"/>
    <n v="2"/>
    <s v="Delivered"/>
    <x v="3"/>
    <n v="0.2"/>
    <n v="327.60000000000002"/>
    <n v="1638"/>
    <n v="1310.4000000000001"/>
  </r>
  <r>
    <x v="4"/>
    <d v="2024-07-26T00:00:00"/>
    <n v="2"/>
    <s v="Delivered"/>
    <x v="3"/>
    <n v="0.25"/>
    <n v="320.5"/>
    <n v="1282"/>
    <n v="961.5"/>
  </r>
  <r>
    <x v="4"/>
    <d v="2024-07-26T00:00:00"/>
    <n v="3"/>
    <s v="Service Booked"/>
    <x v="7"/>
    <n v="0.25"/>
    <n v="73.25"/>
    <n v="293"/>
    <n v="219.75"/>
  </r>
  <r>
    <x v="4"/>
    <d v="2024-07-27T00:00:00"/>
    <n v="1"/>
    <s v="Delivered"/>
    <x v="7"/>
    <n v="0.25"/>
    <n v="251.25"/>
    <n v="1005"/>
    <n v="753.75"/>
  </r>
  <r>
    <x v="0"/>
    <d v="2024-07-27T00:00:00"/>
    <n v="3"/>
    <s v="Service Booked"/>
    <x v="6"/>
    <n v="0.25"/>
    <n v="360"/>
    <n v="1440"/>
    <n v="1080"/>
  </r>
  <r>
    <x v="5"/>
    <d v="2024-07-27T00:00:00"/>
    <n v="3"/>
    <s v="Service Booked"/>
    <x v="3"/>
    <n v="0.2"/>
    <n v="204.2"/>
    <n v="1021"/>
    <n v="816.8"/>
  </r>
  <r>
    <x v="5"/>
    <d v="2024-07-27T00:00:00"/>
    <n v="2"/>
    <s v="Service Booked"/>
    <x v="6"/>
    <n v="0.2"/>
    <n v="16.399999999999999"/>
    <n v="82"/>
    <n v="65.599999999999994"/>
  </r>
  <r>
    <x v="2"/>
    <d v="2024-07-28T00:00:00"/>
    <n v="3"/>
    <s v="Delivered"/>
    <x v="2"/>
    <n v="0.3"/>
    <n v="36.299999999999997"/>
    <n v="121"/>
    <n v="84.7"/>
  </r>
  <r>
    <x v="1"/>
    <d v="2024-07-28T00:00:00"/>
    <n v="2"/>
    <s v="Cancelled"/>
    <x v="0"/>
    <n v="0.1"/>
    <n v="32.200000000000003"/>
    <n v="322"/>
    <n v="289.8"/>
  </r>
  <r>
    <x v="4"/>
    <d v="2024-07-28T00:00:00"/>
    <n v="3"/>
    <s v="Delivered"/>
    <x v="1"/>
    <n v="0.25"/>
    <n v="59.75"/>
    <n v="239"/>
    <n v="179.25"/>
  </r>
  <r>
    <x v="3"/>
    <d v="2024-07-29T00:00:00"/>
    <n v="1"/>
    <s v="Service Booked"/>
    <x v="6"/>
    <n v="0.3"/>
    <n v="351.9"/>
    <n v="1173"/>
    <n v="821.1"/>
  </r>
  <r>
    <x v="2"/>
    <d v="2024-07-29T00:00:00"/>
    <n v="3"/>
    <s v="Delivered"/>
    <x v="7"/>
    <n v="0.3"/>
    <n v="165.3"/>
    <n v="551"/>
    <n v="385.7"/>
  </r>
  <r>
    <x v="1"/>
    <d v="2024-07-30T00:00:00"/>
    <n v="3"/>
    <s v="Cancelled"/>
    <x v="5"/>
    <n v="0.1"/>
    <n v="39.1"/>
    <n v="391"/>
    <n v="351.9"/>
  </r>
  <r>
    <x v="1"/>
    <d v="2024-07-30T00:00:00"/>
    <n v="2"/>
    <s v="Delivered"/>
    <x v="6"/>
    <n v="0.1"/>
    <n v="5.4"/>
    <n v="54"/>
    <n v="48.6"/>
  </r>
  <r>
    <x v="2"/>
    <d v="2024-07-30T00:00:00"/>
    <n v="3"/>
    <s v="Delivered"/>
    <x v="7"/>
    <n v="0.3"/>
    <n v="109.2"/>
    <n v="364"/>
    <n v="254.8"/>
  </r>
  <r>
    <x v="0"/>
    <d v="2024-07-30T00:00:00"/>
    <n v="2"/>
    <s v="In Progress"/>
    <x v="5"/>
    <n v="0.25"/>
    <n v="158"/>
    <n v="632"/>
    <n v="474"/>
  </r>
  <r>
    <x v="1"/>
    <d v="2024-07-30T00:00:00"/>
    <n v="3"/>
    <s v="Cancelled"/>
    <x v="1"/>
    <n v="0.1"/>
    <n v="127"/>
    <n v="1270"/>
    <n v="1143"/>
  </r>
  <r>
    <x v="4"/>
    <d v="2024-07-31T00:00:00"/>
    <n v="3"/>
    <s v="Delivered"/>
    <x v="6"/>
    <n v="0.25"/>
    <n v="301.75"/>
    <n v="1207"/>
    <n v="905.25"/>
  </r>
  <r>
    <x v="5"/>
    <d v="2024-07-31T00:00:00"/>
    <n v="1"/>
    <s v="In Progress"/>
    <x v="1"/>
    <n v="0.2"/>
    <n v="270.60000000000002"/>
    <n v="1353"/>
    <n v="1082.4000000000001"/>
  </r>
  <r>
    <x v="5"/>
    <d v="2024-07-31T00:00:00"/>
    <n v="3"/>
    <s v="In Progress"/>
    <x v="2"/>
    <n v="0.2"/>
    <n v="252"/>
    <n v="1260"/>
    <n v="1008"/>
  </r>
  <r>
    <x v="5"/>
    <d v="2024-08-01T00:00:00"/>
    <n v="3"/>
    <s v="Delivered"/>
    <x v="0"/>
    <n v="0.2"/>
    <n v="295.2"/>
    <n v="1476"/>
    <n v="1180.8"/>
  </r>
  <r>
    <x v="3"/>
    <d v="2024-08-01T00:00:00"/>
    <n v="1"/>
    <s v="Delivered"/>
    <x v="2"/>
    <n v="0.3"/>
    <n v="176.7"/>
    <n v="589"/>
    <n v="412.3"/>
  </r>
  <r>
    <x v="2"/>
    <d v="2024-08-01T00:00:00"/>
    <n v="1"/>
    <s v="Service Booked"/>
    <x v="7"/>
    <n v="0.3"/>
    <n v="450.6"/>
    <n v="1502"/>
    <n v="1051.4000000000001"/>
  </r>
  <r>
    <x v="3"/>
    <d v="2024-08-01T00:00:00"/>
    <n v="3"/>
    <s v="Service Booked"/>
    <x v="0"/>
    <n v="0.3"/>
    <n v="75"/>
    <n v="250"/>
    <n v="175"/>
  </r>
  <r>
    <x v="1"/>
    <d v="2024-08-01T00:00:00"/>
    <n v="3"/>
    <s v="Service Booked"/>
    <x v="3"/>
    <n v="0.1"/>
    <n v="175.6"/>
    <n v="1756"/>
    <n v="1580.4"/>
  </r>
  <r>
    <x v="5"/>
    <d v="2024-08-01T00:00:00"/>
    <n v="1"/>
    <s v="Service Booked"/>
    <x v="4"/>
    <n v="0.2"/>
    <n v="318.60000000000002"/>
    <n v="1593"/>
    <n v="1274.4000000000001"/>
  </r>
  <r>
    <x v="0"/>
    <d v="2024-08-01T00:00:00"/>
    <n v="2"/>
    <s v="Delivered"/>
    <x v="6"/>
    <n v="0.25"/>
    <n v="43.75"/>
    <n v="175"/>
    <n v="131.25"/>
  </r>
  <r>
    <x v="0"/>
    <d v="2024-08-02T00:00:00"/>
    <n v="2"/>
    <s v="Delivered"/>
    <x v="7"/>
    <n v="0.25"/>
    <n v="275"/>
    <n v="1100"/>
    <n v="825"/>
  </r>
  <r>
    <x v="1"/>
    <d v="2024-08-02T00:00:00"/>
    <n v="1"/>
    <s v="Service Booked"/>
    <x v="0"/>
    <n v="0.1"/>
    <n v="178.3"/>
    <n v="1783"/>
    <n v="1604.7"/>
  </r>
  <r>
    <x v="4"/>
    <d v="2024-08-02T00:00:00"/>
    <n v="1"/>
    <s v="Delivered"/>
    <x v="5"/>
    <n v="0.25"/>
    <n v="243.25"/>
    <n v="973"/>
    <n v="729.75"/>
  </r>
  <r>
    <x v="5"/>
    <d v="2024-08-03T00:00:00"/>
    <n v="2"/>
    <s v="Service Booked"/>
    <x v="2"/>
    <n v="0.2"/>
    <n v="97.8"/>
    <n v="489"/>
    <n v="391.2"/>
  </r>
  <r>
    <x v="5"/>
    <d v="2024-08-03T00:00:00"/>
    <n v="3"/>
    <s v="Delivered"/>
    <x v="4"/>
    <n v="0.2"/>
    <n v="307"/>
    <n v="1535"/>
    <n v="1228"/>
  </r>
  <r>
    <x v="3"/>
    <d v="2024-08-03T00:00:00"/>
    <n v="1"/>
    <s v="Delivered"/>
    <x v="7"/>
    <n v="0.3"/>
    <n v="473.1"/>
    <n v="1577"/>
    <n v="1103.9000000000001"/>
  </r>
  <r>
    <x v="5"/>
    <d v="2024-08-04T00:00:00"/>
    <n v="3"/>
    <s v="Service Booked"/>
    <x v="4"/>
    <n v="0.2"/>
    <n v="216.6"/>
    <n v="1083"/>
    <n v="866.4"/>
  </r>
  <r>
    <x v="4"/>
    <d v="2024-08-06T00:00:00"/>
    <n v="3"/>
    <s v="Service Booked"/>
    <x v="5"/>
    <n v="0.25"/>
    <n v="443"/>
    <n v="1772"/>
    <n v="1329"/>
  </r>
  <r>
    <x v="4"/>
    <d v="2024-08-06T00:00:00"/>
    <n v="3"/>
    <s v="Service Booked"/>
    <x v="4"/>
    <n v="0.25"/>
    <n v="309.5"/>
    <n v="1238"/>
    <n v="928.5"/>
  </r>
  <r>
    <x v="2"/>
    <d v="2024-08-06T00:00:00"/>
    <n v="1"/>
    <s v="Service Booked"/>
    <x v="1"/>
    <n v="0.3"/>
    <n v="277.5"/>
    <n v="925"/>
    <n v="647.5"/>
  </r>
  <r>
    <x v="1"/>
    <d v="2024-08-07T00:00:00"/>
    <n v="3"/>
    <s v="In Progress"/>
    <x v="5"/>
    <n v="0.1"/>
    <n v="70.400000000000006"/>
    <n v="704"/>
    <n v="633.6"/>
  </r>
  <r>
    <x v="5"/>
    <d v="2024-08-07T00:00:00"/>
    <n v="3"/>
    <s v="Delivered"/>
    <x v="3"/>
    <n v="0.2"/>
    <n v="11.4"/>
    <n v="57"/>
    <n v="45.6"/>
  </r>
  <r>
    <x v="1"/>
    <d v="2024-08-07T00:00:00"/>
    <n v="1"/>
    <s v="Service Booked"/>
    <x v="0"/>
    <n v="0.1"/>
    <n v="122.7"/>
    <n v="1227"/>
    <n v="1104.3"/>
  </r>
  <r>
    <x v="4"/>
    <d v="2024-08-07T00:00:00"/>
    <n v="2"/>
    <s v="Delivered"/>
    <x v="7"/>
    <n v="0.25"/>
    <n v="111.25"/>
    <n v="445"/>
    <n v="333.75"/>
  </r>
  <r>
    <x v="2"/>
    <d v="2024-08-07T00:00:00"/>
    <n v="1"/>
    <s v="Cancelled"/>
    <x v="2"/>
    <n v="0.3"/>
    <n v="551.70000000000005"/>
    <n v="1839"/>
    <n v="1287.3"/>
  </r>
  <r>
    <x v="3"/>
    <d v="2024-08-08T00:00:00"/>
    <n v="1"/>
    <s v="Cancelled"/>
    <x v="5"/>
    <n v="0.3"/>
    <n v="269.10000000000002"/>
    <n v="897"/>
    <n v="627.9"/>
  </r>
  <r>
    <x v="3"/>
    <d v="2024-08-09T00:00:00"/>
    <n v="1"/>
    <s v="Service Booked"/>
    <x v="1"/>
    <n v="0.3"/>
    <n v="144.6"/>
    <n v="482"/>
    <n v="337.4"/>
  </r>
  <r>
    <x v="5"/>
    <d v="2024-08-10T00:00:00"/>
    <n v="3"/>
    <s v="Service Booked"/>
    <x v="5"/>
    <n v="0.2"/>
    <n v="107.8"/>
    <n v="539"/>
    <n v="431.2"/>
  </r>
  <r>
    <x v="5"/>
    <d v="2024-08-10T00:00:00"/>
    <n v="2"/>
    <s v="Delivered"/>
    <x v="6"/>
    <n v="0.2"/>
    <n v="319.2"/>
    <n v="1596"/>
    <n v="1276.8"/>
  </r>
  <r>
    <x v="0"/>
    <d v="2024-08-10T00:00:00"/>
    <n v="3"/>
    <s v="Delivered"/>
    <x v="1"/>
    <n v="0.25"/>
    <n v="331.75"/>
    <n v="1327"/>
    <n v="995.25"/>
  </r>
  <r>
    <x v="0"/>
    <d v="2024-08-11T00:00:00"/>
    <n v="2"/>
    <s v="Cancelled"/>
    <x v="4"/>
    <n v="0.25"/>
    <n v="96.75"/>
    <n v="387"/>
    <n v="290.25"/>
  </r>
  <r>
    <x v="2"/>
    <d v="2024-08-11T00:00:00"/>
    <n v="3"/>
    <s v="Delivered"/>
    <x v="4"/>
    <n v="0.3"/>
    <n v="107.1"/>
    <n v="357"/>
    <n v="249.9"/>
  </r>
  <r>
    <x v="1"/>
    <d v="2024-08-11T00:00:00"/>
    <n v="1"/>
    <s v="Delivered"/>
    <x v="1"/>
    <n v="0.1"/>
    <n v="48.2"/>
    <n v="482"/>
    <n v="433.8"/>
  </r>
  <r>
    <x v="5"/>
    <d v="2024-08-12T00:00:00"/>
    <n v="2"/>
    <s v="Cancelled"/>
    <x v="3"/>
    <n v="0.2"/>
    <n v="237.8"/>
    <n v="1189"/>
    <n v="951.2"/>
  </r>
  <r>
    <x v="0"/>
    <d v="2024-08-12T00:00:00"/>
    <n v="3"/>
    <s v="Delivered"/>
    <x v="4"/>
    <n v="0.25"/>
    <n v="96"/>
    <n v="384"/>
    <n v="288"/>
  </r>
  <r>
    <x v="3"/>
    <d v="2024-08-12T00:00:00"/>
    <n v="2"/>
    <s v="Service Booked"/>
    <x v="3"/>
    <n v="0.3"/>
    <n v="11.7"/>
    <n v="39"/>
    <n v="27.3"/>
  </r>
  <r>
    <x v="5"/>
    <d v="2024-08-13T00:00:00"/>
    <n v="1"/>
    <s v="Delivered"/>
    <x v="7"/>
    <n v="0.2"/>
    <n v="51.6"/>
    <n v="258"/>
    <n v="206.4"/>
  </r>
  <r>
    <x v="3"/>
    <d v="2024-08-13T00:00:00"/>
    <n v="3"/>
    <s v="Service Booked"/>
    <x v="1"/>
    <n v="0.3"/>
    <n v="133.5"/>
    <n v="445"/>
    <n v="311.5"/>
  </r>
  <r>
    <x v="2"/>
    <d v="2024-08-13T00:00:00"/>
    <n v="3"/>
    <s v="Delivered"/>
    <x v="2"/>
    <n v="0.3"/>
    <n v="37.5"/>
    <n v="125"/>
    <n v="87.5"/>
  </r>
  <r>
    <x v="4"/>
    <d v="2024-08-14T00:00:00"/>
    <n v="2"/>
    <s v="Service Booked"/>
    <x v="2"/>
    <n v="0.25"/>
    <n v="198.5"/>
    <n v="794"/>
    <n v="595.5"/>
  </r>
  <r>
    <x v="4"/>
    <d v="2024-08-14T00:00:00"/>
    <n v="3"/>
    <s v="Delivered"/>
    <x v="7"/>
    <n v="0.25"/>
    <n v="108"/>
    <n v="432"/>
    <n v="324"/>
  </r>
  <r>
    <x v="5"/>
    <d v="2024-08-14T00:00:00"/>
    <n v="2"/>
    <s v="Delivered"/>
    <x v="6"/>
    <n v="0.2"/>
    <n v="259.39999999999998"/>
    <n v="1297"/>
    <n v="1037.5999999999999"/>
  </r>
  <r>
    <x v="1"/>
    <d v="2024-08-14T00:00:00"/>
    <n v="3"/>
    <s v="Delivered"/>
    <x v="0"/>
    <n v="0.1"/>
    <n v="92.1"/>
    <n v="921"/>
    <n v="828.9"/>
  </r>
  <r>
    <x v="1"/>
    <d v="2024-08-14T00:00:00"/>
    <n v="1"/>
    <s v="Delivered"/>
    <x v="5"/>
    <n v="0.1"/>
    <n v="130.5"/>
    <n v="1305"/>
    <n v="1174.5"/>
  </r>
  <r>
    <x v="4"/>
    <d v="2024-08-14T00:00:00"/>
    <n v="2"/>
    <s v="Service Booked"/>
    <x v="7"/>
    <n v="0.25"/>
    <n v="25.5"/>
    <n v="102"/>
    <n v="76.5"/>
  </r>
  <r>
    <x v="2"/>
    <d v="2024-08-15T00:00:00"/>
    <n v="1"/>
    <s v="Service Booked"/>
    <x v="5"/>
    <n v="0.3"/>
    <n v="276"/>
    <n v="920"/>
    <n v="644"/>
  </r>
  <r>
    <x v="5"/>
    <d v="2024-08-15T00:00:00"/>
    <n v="1"/>
    <s v="Delivered"/>
    <x v="3"/>
    <n v="0.2"/>
    <n v="329.8"/>
    <n v="1649"/>
    <n v="1319.2"/>
  </r>
  <r>
    <x v="0"/>
    <d v="2024-08-15T00:00:00"/>
    <n v="1"/>
    <s v="Delivered"/>
    <x v="4"/>
    <n v="0.25"/>
    <n v="377.5"/>
    <n v="1510"/>
    <n v="1132.5"/>
  </r>
  <r>
    <x v="0"/>
    <d v="2024-08-15T00:00:00"/>
    <n v="3"/>
    <s v="Delivered"/>
    <x v="4"/>
    <n v="0.25"/>
    <n v="261.25"/>
    <n v="1045"/>
    <n v="783.75"/>
  </r>
  <r>
    <x v="0"/>
    <d v="2024-08-16T00:00:00"/>
    <n v="1"/>
    <s v="Service Booked"/>
    <x v="1"/>
    <n v="0.25"/>
    <n v="133.25"/>
    <n v="533"/>
    <n v="399.75"/>
  </r>
  <r>
    <x v="5"/>
    <d v="2024-08-16T00:00:00"/>
    <n v="3"/>
    <s v="Delivered"/>
    <x v="2"/>
    <n v="0.2"/>
    <n v="147.80000000000001"/>
    <n v="739"/>
    <n v="591.20000000000005"/>
  </r>
  <r>
    <x v="1"/>
    <d v="2024-08-16T00:00:00"/>
    <n v="3"/>
    <s v="Delivered"/>
    <x v="2"/>
    <n v="0.1"/>
    <n v="43"/>
    <n v="430"/>
    <n v="387"/>
  </r>
  <r>
    <x v="4"/>
    <d v="2024-08-16T00:00:00"/>
    <n v="1"/>
    <s v="In Progress"/>
    <x v="1"/>
    <n v="0.25"/>
    <n v="368"/>
    <n v="1472"/>
    <n v="1104"/>
  </r>
  <r>
    <x v="2"/>
    <d v="2024-08-17T00:00:00"/>
    <n v="2"/>
    <s v="Service Booked"/>
    <x v="0"/>
    <n v="0.3"/>
    <n v="433.2"/>
    <n v="1444"/>
    <n v="1010.8"/>
  </r>
  <r>
    <x v="1"/>
    <d v="2024-08-17T00:00:00"/>
    <n v="1"/>
    <s v="Service Booked"/>
    <x v="2"/>
    <n v="0.1"/>
    <n v="98"/>
    <n v="980"/>
    <n v="882"/>
  </r>
  <r>
    <x v="2"/>
    <d v="2024-08-18T00:00:00"/>
    <n v="1"/>
    <s v="Delivered"/>
    <x v="4"/>
    <n v="0.3"/>
    <n v="33.299999999999997"/>
    <n v="111"/>
    <n v="77.7"/>
  </r>
  <r>
    <x v="0"/>
    <d v="2024-08-19T00:00:00"/>
    <n v="2"/>
    <s v="Service Booked"/>
    <x v="0"/>
    <n v="0.25"/>
    <n v="189.75"/>
    <n v="759"/>
    <n v="569.25"/>
  </r>
  <r>
    <x v="1"/>
    <d v="2024-08-19T00:00:00"/>
    <n v="3"/>
    <s v="Service Booked"/>
    <x v="2"/>
    <n v="0.1"/>
    <n v="80.900000000000006"/>
    <n v="809"/>
    <n v="728.1"/>
  </r>
  <r>
    <x v="0"/>
    <d v="2024-08-19T00:00:00"/>
    <n v="1"/>
    <s v="Delivered"/>
    <x v="5"/>
    <n v="0.25"/>
    <n v="323.25"/>
    <n v="1293"/>
    <n v="969.75"/>
  </r>
  <r>
    <x v="5"/>
    <d v="2024-08-20T00:00:00"/>
    <n v="2"/>
    <s v="In Progress"/>
    <x v="6"/>
    <n v="0.2"/>
    <n v="326"/>
    <n v="1630"/>
    <n v="1304"/>
  </r>
  <r>
    <x v="5"/>
    <d v="2024-08-20T00:00:00"/>
    <n v="2"/>
    <s v="Delivered"/>
    <x v="1"/>
    <n v="0.2"/>
    <n v="291.60000000000002"/>
    <n v="1458"/>
    <n v="1166.4000000000001"/>
  </r>
  <r>
    <x v="1"/>
    <d v="2024-08-20T00:00:00"/>
    <n v="3"/>
    <s v="Delivered"/>
    <x v="6"/>
    <n v="0.1"/>
    <n v="11.6"/>
    <n v="116"/>
    <n v="104.4"/>
  </r>
  <r>
    <x v="0"/>
    <d v="2024-08-21T00:00:00"/>
    <n v="1"/>
    <s v="Service Booked"/>
    <x v="6"/>
    <n v="0.25"/>
    <n v="385"/>
    <n v="1540"/>
    <n v="1155"/>
  </r>
  <r>
    <x v="0"/>
    <d v="2024-08-21T00:00:00"/>
    <n v="1"/>
    <s v="Delivered"/>
    <x v="2"/>
    <n v="0.25"/>
    <n v="237.25"/>
    <n v="949"/>
    <n v="711.75"/>
  </r>
  <r>
    <x v="2"/>
    <d v="2024-08-21T00:00:00"/>
    <n v="2"/>
    <s v="Service Booked"/>
    <x v="3"/>
    <n v="0.3"/>
    <n v="50.7"/>
    <n v="169"/>
    <n v="118.3"/>
  </r>
  <r>
    <x v="4"/>
    <d v="2024-08-21T00:00:00"/>
    <n v="1"/>
    <s v="In Progress"/>
    <x v="1"/>
    <n v="0.25"/>
    <n v="222"/>
    <n v="888"/>
    <n v="666"/>
  </r>
  <r>
    <x v="5"/>
    <d v="2024-08-21T00:00:00"/>
    <n v="3"/>
    <s v="In Progress"/>
    <x v="2"/>
    <n v="0.2"/>
    <n v="50.6"/>
    <n v="253"/>
    <n v="202.4"/>
  </r>
  <r>
    <x v="3"/>
    <d v="2024-08-22T00:00:00"/>
    <n v="2"/>
    <s v="In Progress"/>
    <x v="6"/>
    <n v="0.3"/>
    <n v="165"/>
    <n v="550"/>
    <n v="385"/>
  </r>
  <r>
    <x v="0"/>
    <d v="2024-08-23T00:00:00"/>
    <n v="3"/>
    <s v="In Progress"/>
    <x v="1"/>
    <n v="0.25"/>
    <n v="212"/>
    <n v="848"/>
    <n v="636"/>
  </r>
  <r>
    <x v="0"/>
    <d v="2024-08-24T00:00:00"/>
    <n v="3"/>
    <s v="Delivered"/>
    <x v="1"/>
    <n v="0.25"/>
    <n v="192.5"/>
    <n v="770"/>
    <n v="577.5"/>
  </r>
  <r>
    <x v="4"/>
    <d v="2024-08-24T00:00:00"/>
    <n v="1"/>
    <s v="Service Booked"/>
    <x v="2"/>
    <n v="0.25"/>
    <n v="101.75"/>
    <n v="407"/>
    <n v="305.25"/>
  </r>
  <r>
    <x v="0"/>
    <d v="2024-08-24T00:00:00"/>
    <n v="3"/>
    <s v="Delivered"/>
    <x v="6"/>
    <n v="0.25"/>
    <n v="74.25"/>
    <n v="297"/>
    <n v="222.75"/>
  </r>
  <r>
    <x v="0"/>
    <d v="2024-08-24T00:00:00"/>
    <n v="2"/>
    <s v="Delivered"/>
    <x v="7"/>
    <n v="0.25"/>
    <n v="172.25"/>
    <n v="689"/>
    <n v="516.75"/>
  </r>
  <r>
    <x v="3"/>
    <d v="2024-08-24T00:00:00"/>
    <n v="3"/>
    <s v="Service Booked"/>
    <x v="6"/>
    <n v="0.3"/>
    <n v="382.8"/>
    <n v="1276"/>
    <n v="893.2"/>
  </r>
  <r>
    <x v="3"/>
    <d v="2024-08-24T00:00:00"/>
    <n v="1"/>
    <s v="Delivered"/>
    <x v="2"/>
    <n v="0.3"/>
    <n v="414"/>
    <n v="1380"/>
    <n v="966"/>
  </r>
  <r>
    <x v="0"/>
    <d v="2024-08-25T00:00:00"/>
    <n v="3"/>
    <s v="Service Booked"/>
    <x v="1"/>
    <n v="0.25"/>
    <n v="90.75"/>
    <n v="363"/>
    <n v="272.25"/>
  </r>
  <r>
    <x v="0"/>
    <d v="2024-08-25T00:00:00"/>
    <n v="1"/>
    <s v="Service Booked"/>
    <x v="4"/>
    <n v="0.25"/>
    <n v="77.25"/>
    <n v="309"/>
    <n v="231.75"/>
  </r>
  <r>
    <x v="0"/>
    <d v="2024-08-25T00:00:00"/>
    <n v="3"/>
    <s v="Delivered"/>
    <x v="5"/>
    <n v="0.25"/>
    <n v="141.5"/>
    <n v="566"/>
    <n v="424.5"/>
  </r>
  <r>
    <x v="4"/>
    <d v="2024-08-25T00:00:00"/>
    <n v="1"/>
    <s v="Delivered"/>
    <x v="7"/>
    <n v="0.25"/>
    <n v="61.25"/>
    <n v="245"/>
    <n v="183.75"/>
  </r>
  <r>
    <x v="1"/>
    <d v="2024-08-25T00:00:00"/>
    <n v="2"/>
    <s v="Cancelled"/>
    <x v="3"/>
    <n v="0.1"/>
    <n v="165.3"/>
    <n v="1653"/>
    <n v="1487.7"/>
  </r>
  <r>
    <x v="0"/>
    <d v="2024-08-25T00:00:00"/>
    <n v="1"/>
    <s v="Service Booked"/>
    <x v="3"/>
    <n v="0.25"/>
    <n v="47"/>
    <n v="188"/>
    <n v="141"/>
  </r>
  <r>
    <x v="2"/>
    <d v="2024-08-25T00:00:00"/>
    <n v="3"/>
    <s v="Delivered"/>
    <x v="2"/>
    <n v="0.3"/>
    <n v="171.9"/>
    <n v="573"/>
    <n v="401.1"/>
  </r>
  <r>
    <x v="0"/>
    <d v="2024-08-26T00:00:00"/>
    <n v="3"/>
    <s v="Cancelled"/>
    <x v="7"/>
    <n v="0.25"/>
    <n v="62.75"/>
    <n v="251"/>
    <n v="188.25"/>
  </r>
  <r>
    <x v="3"/>
    <d v="2024-08-26T00:00:00"/>
    <n v="1"/>
    <s v="Delivered"/>
    <x v="7"/>
    <n v="0.3"/>
    <n v="229.2"/>
    <n v="764"/>
    <n v="534.79999999999995"/>
  </r>
  <r>
    <x v="1"/>
    <d v="2024-08-26T00:00:00"/>
    <n v="2"/>
    <s v="Delivered"/>
    <x v="2"/>
    <n v="0.1"/>
    <n v="94.3"/>
    <n v="943"/>
    <n v="848.7"/>
  </r>
  <r>
    <x v="3"/>
    <d v="2024-08-26T00:00:00"/>
    <n v="1"/>
    <s v="Service Booked"/>
    <x v="2"/>
    <n v="0.3"/>
    <n v="26.4"/>
    <n v="88"/>
    <n v="61.6"/>
  </r>
  <r>
    <x v="0"/>
    <d v="2024-08-26T00:00:00"/>
    <n v="1"/>
    <s v="Delivered"/>
    <x v="1"/>
    <n v="0.25"/>
    <n v="320.75"/>
    <n v="1283"/>
    <n v="962.25"/>
  </r>
  <r>
    <x v="2"/>
    <d v="2024-08-27T00:00:00"/>
    <n v="3"/>
    <s v="Service Booked"/>
    <x v="7"/>
    <n v="0.3"/>
    <n v="248.1"/>
    <n v="827"/>
    <n v="578.9"/>
  </r>
  <r>
    <x v="3"/>
    <d v="2024-08-27T00:00:00"/>
    <n v="2"/>
    <s v="Cancelled"/>
    <x v="7"/>
    <n v="0.3"/>
    <n v="60.3"/>
    <n v="201"/>
    <n v="140.69999999999999"/>
  </r>
  <r>
    <x v="5"/>
    <d v="2024-08-27T00:00:00"/>
    <n v="1"/>
    <s v="Cancelled"/>
    <x v="2"/>
    <n v="0.2"/>
    <n v="52.6"/>
    <n v="263"/>
    <n v="210.4"/>
  </r>
  <r>
    <x v="1"/>
    <d v="2024-08-27T00:00:00"/>
    <n v="2"/>
    <s v="In Progress"/>
    <x v="4"/>
    <n v="0.1"/>
    <n v="31"/>
    <n v="310"/>
    <n v="279"/>
  </r>
  <r>
    <x v="5"/>
    <d v="2024-08-27T00:00:00"/>
    <n v="2"/>
    <s v="Delivered"/>
    <x v="0"/>
    <n v="0.2"/>
    <n v="109"/>
    <n v="545"/>
    <n v="436"/>
  </r>
  <r>
    <x v="1"/>
    <d v="2024-08-28T00:00:00"/>
    <n v="1"/>
    <s v="Delivered"/>
    <x v="3"/>
    <n v="0.1"/>
    <n v="162.9"/>
    <n v="1629"/>
    <n v="1466.1"/>
  </r>
  <r>
    <x v="1"/>
    <d v="2024-08-29T00:00:00"/>
    <n v="2"/>
    <s v="Delivered"/>
    <x v="5"/>
    <n v="0.1"/>
    <n v="122.5"/>
    <n v="1225"/>
    <n v="1102.5"/>
  </r>
  <r>
    <x v="1"/>
    <d v="2024-08-29T00:00:00"/>
    <n v="2"/>
    <s v="Service Booked"/>
    <x v="3"/>
    <n v="0.1"/>
    <n v="143.6"/>
    <n v="1436"/>
    <n v="1292.4000000000001"/>
  </r>
  <r>
    <x v="3"/>
    <d v="2024-08-30T00:00:00"/>
    <n v="3"/>
    <s v="Service Booked"/>
    <x v="1"/>
    <n v="0.3"/>
    <n v="301.8"/>
    <n v="1006"/>
    <n v="704.2"/>
  </r>
  <r>
    <x v="0"/>
    <d v="2024-08-31T00:00:00"/>
    <n v="2"/>
    <s v="Cancelled"/>
    <x v="3"/>
    <n v="0.25"/>
    <n v="252.75"/>
    <n v="1011"/>
    <n v="758.25"/>
  </r>
  <r>
    <x v="2"/>
    <d v="2024-08-31T00:00:00"/>
    <n v="1"/>
    <s v="Delivered"/>
    <x v="7"/>
    <n v="0.3"/>
    <n v="536.1"/>
    <n v="1787"/>
    <n v="1250.9000000000001"/>
  </r>
  <r>
    <x v="0"/>
    <d v="2024-08-31T00:00:00"/>
    <n v="2"/>
    <s v="Service Booked"/>
    <x v="5"/>
    <n v="0.25"/>
    <n v="400.5"/>
    <n v="1602"/>
    <n v="1201.5"/>
  </r>
  <r>
    <x v="0"/>
    <d v="2024-08-31T00:00:00"/>
    <n v="2"/>
    <s v="In Progress"/>
    <x v="7"/>
    <n v="0.25"/>
    <n v="116"/>
    <n v="464"/>
    <n v="348"/>
  </r>
  <r>
    <x v="5"/>
    <d v="2024-09-01T00:00:00"/>
    <n v="1"/>
    <s v="Delivered"/>
    <x v="0"/>
    <n v="0.2"/>
    <n v="50"/>
    <n v="250"/>
    <n v="200"/>
  </r>
  <r>
    <x v="3"/>
    <d v="2024-09-01T00:00:00"/>
    <n v="1"/>
    <s v="Service Booked"/>
    <x v="0"/>
    <n v="0.3"/>
    <n v="279.3"/>
    <n v="931"/>
    <n v="651.70000000000005"/>
  </r>
  <r>
    <x v="4"/>
    <d v="2024-09-02T00:00:00"/>
    <n v="1"/>
    <s v="Delivered"/>
    <x v="5"/>
    <n v="0.25"/>
    <n v="326.25"/>
    <n v="1305"/>
    <n v="978.75"/>
  </r>
  <r>
    <x v="1"/>
    <d v="2024-09-02T00:00:00"/>
    <n v="1"/>
    <s v="Service Booked"/>
    <x v="4"/>
    <n v="0.1"/>
    <n v="55.5"/>
    <n v="555"/>
    <n v="499.5"/>
  </r>
  <r>
    <x v="3"/>
    <d v="2024-09-03T00:00:00"/>
    <n v="3"/>
    <s v="Service Booked"/>
    <x v="3"/>
    <n v="0.3"/>
    <n v="414"/>
    <n v="1380"/>
    <n v="966"/>
  </r>
  <r>
    <x v="0"/>
    <d v="2024-09-04T00:00:00"/>
    <n v="3"/>
    <s v="Delivered"/>
    <x v="2"/>
    <n v="0.25"/>
    <n v="438.75"/>
    <n v="1755"/>
    <n v="1316.25"/>
  </r>
  <r>
    <x v="3"/>
    <d v="2024-09-04T00:00:00"/>
    <n v="1"/>
    <s v="In Progress"/>
    <x v="2"/>
    <n v="0.3"/>
    <n v="42.3"/>
    <n v="141"/>
    <n v="98.7"/>
  </r>
  <r>
    <x v="1"/>
    <d v="2024-09-04T00:00:00"/>
    <n v="2"/>
    <s v="Service Booked"/>
    <x v="3"/>
    <n v="0.1"/>
    <n v="40.5"/>
    <n v="405"/>
    <n v="364.5"/>
  </r>
  <r>
    <x v="3"/>
    <d v="2024-09-05T00:00:00"/>
    <n v="2"/>
    <s v="Service Booked"/>
    <x v="1"/>
    <n v="0.3"/>
    <n v="16.5"/>
    <n v="55"/>
    <n v="38.5"/>
  </r>
  <r>
    <x v="5"/>
    <d v="2024-09-05T00:00:00"/>
    <n v="3"/>
    <s v="Delivered"/>
    <x v="2"/>
    <n v="0.2"/>
    <n v="206.4"/>
    <n v="1032"/>
    <n v="825.6"/>
  </r>
  <r>
    <x v="2"/>
    <d v="2024-09-05T00:00:00"/>
    <n v="2"/>
    <s v="Service Booked"/>
    <x v="1"/>
    <n v="0.3"/>
    <n v="291.60000000000002"/>
    <n v="972"/>
    <n v="680.4"/>
  </r>
  <r>
    <x v="3"/>
    <d v="2024-09-05T00:00:00"/>
    <n v="3"/>
    <s v="Service Booked"/>
    <x v="7"/>
    <n v="0.3"/>
    <n v="17.100000000000001"/>
    <n v="57"/>
    <n v="39.9"/>
  </r>
  <r>
    <x v="0"/>
    <d v="2024-09-06T00:00:00"/>
    <n v="1"/>
    <s v="Service Booked"/>
    <x v="6"/>
    <n v="0.25"/>
    <n v="296.75"/>
    <n v="1187"/>
    <n v="890.25"/>
  </r>
  <r>
    <x v="3"/>
    <d v="2024-09-06T00:00:00"/>
    <n v="2"/>
    <s v="Service Booked"/>
    <x v="1"/>
    <n v="0.3"/>
    <n v="340.2"/>
    <n v="1134"/>
    <n v="793.8"/>
  </r>
  <r>
    <x v="5"/>
    <d v="2024-09-06T00:00:00"/>
    <n v="1"/>
    <s v="In Progress"/>
    <x v="0"/>
    <n v="0.2"/>
    <n v="33"/>
    <n v="165"/>
    <n v="132"/>
  </r>
  <r>
    <x v="1"/>
    <d v="2024-09-06T00:00:00"/>
    <n v="3"/>
    <s v="Delivered"/>
    <x v="2"/>
    <n v="0.1"/>
    <n v="126.9"/>
    <n v="1269"/>
    <n v="1142.0999999999999"/>
  </r>
  <r>
    <x v="0"/>
    <d v="2024-09-07T00:00:00"/>
    <n v="3"/>
    <s v="Delivered"/>
    <x v="6"/>
    <n v="0.25"/>
    <n v="448.5"/>
    <n v="1794"/>
    <n v="1345.5"/>
  </r>
  <r>
    <x v="4"/>
    <d v="2024-09-08T00:00:00"/>
    <n v="3"/>
    <s v="Service Booked"/>
    <x v="1"/>
    <n v="0.25"/>
    <n v="27.25"/>
    <n v="109"/>
    <n v="81.75"/>
  </r>
  <r>
    <x v="0"/>
    <d v="2024-09-08T00:00:00"/>
    <n v="1"/>
    <s v="Service Booked"/>
    <x v="4"/>
    <n v="0.25"/>
    <n v="429.25"/>
    <n v="1717"/>
    <n v="1287.75"/>
  </r>
  <r>
    <x v="5"/>
    <d v="2024-09-08T00:00:00"/>
    <n v="2"/>
    <s v="In Progress"/>
    <x v="1"/>
    <n v="0.2"/>
    <n v="129"/>
    <n v="645"/>
    <n v="516"/>
  </r>
  <r>
    <x v="3"/>
    <d v="2024-09-08T00:00:00"/>
    <n v="3"/>
    <s v="Service Booked"/>
    <x v="1"/>
    <n v="0.3"/>
    <n v="425.1"/>
    <n v="1417"/>
    <n v="991.9"/>
  </r>
  <r>
    <x v="3"/>
    <d v="2024-09-09T00:00:00"/>
    <n v="2"/>
    <s v="Cancelled"/>
    <x v="7"/>
    <n v="0.3"/>
    <n v="64.2"/>
    <n v="214"/>
    <n v="149.80000000000001"/>
  </r>
  <r>
    <x v="0"/>
    <d v="2024-09-10T00:00:00"/>
    <n v="2"/>
    <s v="Delivered"/>
    <x v="0"/>
    <n v="0.25"/>
    <n v="412"/>
    <n v="1648"/>
    <n v="1236"/>
  </r>
  <r>
    <x v="1"/>
    <d v="2024-09-10T00:00:00"/>
    <n v="3"/>
    <s v="Service Booked"/>
    <x v="2"/>
    <n v="0.1"/>
    <n v="172.6"/>
    <n v="1726"/>
    <n v="1553.4"/>
  </r>
  <r>
    <x v="2"/>
    <d v="2024-09-10T00:00:00"/>
    <n v="1"/>
    <s v="Service Booked"/>
    <x v="5"/>
    <n v="0.3"/>
    <n v="490.8"/>
    <n v="1636"/>
    <n v="1145.2"/>
  </r>
  <r>
    <x v="0"/>
    <d v="2024-09-11T00:00:00"/>
    <n v="2"/>
    <s v="Service Booked"/>
    <x v="2"/>
    <n v="0.25"/>
    <n v="248.5"/>
    <n v="994"/>
    <n v="745.5"/>
  </r>
  <r>
    <x v="5"/>
    <d v="2024-09-11T00:00:00"/>
    <n v="2"/>
    <s v="Delivered"/>
    <x v="7"/>
    <n v="0.2"/>
    <n v="98"/>
    <n v="490"/>
    <n v="392"/>
  </r>
  <r>
    <x v="0"/>
    <d v="2024-09-11T00:00:00"/>
    <n v="1"/>
    <s v="Service Booked"/>
    <x v="5"/>
    <n v="0.25"/>
    <n v="300.75"/>
    <n v="1203"/>
    <n v="902.25"/>
  </r>
  <r>
    <x v="2"/>
    <d v="2024-09-11T00:00:00"/>
    <n v="3"/>
    <s v="Service Booked"/>
    <x v="3"/>
    <n v="0.3"/>
    <n v="292.8"/>
    <n v="976"/>
    <n v="683.2"/>
  </r>
  <r>
    <x v="1"/>
    <d v="2024-09-12T00:00:00"/>
    <n v="3"/>
    <s v="Service Booked"/>
    <x v="5"/>
    <n v="0.1"/>
    <n v="123.3"/>
    <n v="1233"/>
    <n v="1109.7"/>
  </r>
  <r>
    <x v="4"/>
    <d v="2024-09-13T00:00:00"/>
    <n v="3"/>
    <s v="Service Booked"/>
    <x v="1"/>
    <n v="0.25"/>
    <n v="340.25"/>
    <n v="1361"/>
    <n v="1020.75"/>
  </r>
  <r>
    <x v="0"/>
    <d v="2024-09-13T00:00:00"/>
    <n v="1"/>
    <s v="Delivered"/>
    <x v="1"/>
    <n v="0.25"/>
    <n v="205.75"/>
    <n v="823"/>
    <n v="617.25"/>
  </r>
  <r>
    <x v="0"/>
    <d v="2024-09-14T00:00:00"/>
    <n v="2"/>
    <s v="Service Booked"/>
    <x v="7"/>
    <n v="0.25"/>
    <n v="366.5"/>
    <n v="1466"/>
    <n v="1099.5"/>
  </r>
  <r>
    <x v="2"/>
    <d v="2024-09-14T00:00:00"/>
    <n v="3"/>
    <s v="Delivered"/>
    <x v="3"/>
    <n v="0.3"/>
    <n v="558.6"/>
    <n v="1862"/>
    <n v="1303.4000000000001"/>
  </r>
  <r>
    <x v="4"/>
    <d v="2024-09-15T00:00:00"/>
    <n v="3"/>
    <s v="Service Booked"/>
    <x v="6"/>
    <n v="0.25"/>
    <n v="248.75"/>
    <n v="995"/>
    <n v="746.25"/>
  </r>
  <r>
    <x v="0"/>
    <d v="2024-09-15T00:00:00"/>
    <n v="1"/>
    <s v="In Progress"/>
    <x v="3"/>
    <n v="0.25"/>
    <n v="368.5"/>
    <n v="1474"/>
    <n v="1105.5"/>
  </r>
  <r>
    <x v="0"/>
    <d v="2024-09-15T00:00:00"/>
    <n v="3"/>
    <s v="Delivered"/>
    <x v="5"/>
    <n v="0.25"/>
    <n v="325.75"/>
    <n v="1303"/>
    <n v="977.25"/>
  </r>
  <r>
    <x v="2"/>
    <d v="2024-09-15T00:00:00"/>
    <n v="3"/>
    <s v="Cancelled"/>
    <x v="6"/>
    <n v="0.3"/>
    <n v="71.099999999999994"/>
    <n v="237"/>
    <n v="165.9"/>
  </r>
  <r>
    <x v="5"/>
    <d v="2024-09-15T00:00:00"/>
    <n v="3"/>
    <s v="Service Booked"/>
    <x v="3"/>
    <n v="0.2"/>
    <n v="293"/>
    <n v="1465"/>
    <n v="1172"/>
  </r>
  <r>
    <x v="4"/>
    <d v="2024-09-16T00:00:00"/>
    <n v="2"/>
    <s v="In Progress"/>
    <x v="3"/>
    <n v="0.25"/>
    <n v="128.75"/>
    <n v="515"/>
    <n v="386.25"/>
  </r>
  <r>
    <x v="0"/>
    <d v="2024-09-16T00:00:00"/>
    <n v="3"/>
    <s v="Delivered"/>
    <x v="4"/>
    <n v="0.25"/>
    <n v="408"/>
    <n v="1632"/>
    <n v="1224"/>
  </r>
  <r>
    <x v="4"/>
    <d v="2024-09-16T00:00:00"/>
    <n v="2"/>
    <s v="Service Booked"/>
    <x v="5"/>
    <n v="0.25"/>
    <n v="258.5"/>
    <n v="1034"/>
    <n v="775.5"/>
  </r>
  <r>
    <x v="5"/>
    <d v="2024-09-16T00:00:00"/>
    <n v="2"/>
    <s v="Service Booked"/>
    <x v="2"/>
    <n v="0.2"/>
    <n v="151.80000000000001"/>
    <n v="759"/>
    <n v="607.20000000000005"/>
  </r>
  <r>
    <x v="0"/>
    <d v="2024-09-16T00:00:00"/>
    <n v="3"/>
    <s v="Delivered"/>
    <x v="4"/>
    <n v="0.25"/>
    <n v="217.75"/>
    <n v="871"/>
    <n v="653.25"/>
  </r>
  <r>
    <x v="3"/>
    <d v="2024-09-17T00:00:00"/>
    <n v="3"/>
    <s v="Service Booked"/>
    <x v="2"/>
    <n v="0.3"/>
    <n v="498.9"/>
    <n v="1663"/>
    <n v="1164.0999999999999"/>
  </r>
  <r>
    <x v="3"/>
    <d v="2024-09-17T00:00:00"/>
    <n v="2"/>
    <s v="Delivered"/>
    <x v="4"/>
    <n v="0.3"/>
    <n v="98.7"/>
    <n v="329"/>
    <n v="230.3"/>
  </r>
  <r>
    <x v="4"/>
    <d v="2024-09-17T00:00:00"/>
    <n v="1"/>
    <s v="Delivered"/>
    <x v="5"/>
    <n v="0.25"/>
    <n v="396.5"/>
    <n v="1586"/>
    <n v="1189.5"/>
  </r>
  <r>
    <x v="0"/>
    <d v="2024-09-17T00:00:00"/>
    <n v="2"/>
    <s v="Service Booked"/>
    <x v="5"/>
    <n v="0.25"/>
    <n v="14"/>
    <n v="56"/>
    <n v="42"/>
  </r>
  <r>
    <x v="4"/>
    <d v="2024-09-18T00:00:00"/>
    <n v="2"/>
    <s v="Delivered"/>
    <x v="3"/>
    <n v="0.25"/>
    <n v="79.75"/>
    <n v="319"/>
    <n v="239.25"/>
  </r>
  <r>
    <x v="0"/>
    <d v="2024-09-19T00:00:00"/>
    <n v="2"/>
    <s v="Service Booked"/>
    <x v="0"/>
    <n v="0.25"/>
    <n v="404.5"/>
    <n v="1618"/>
    <n v="1213.5"/>
  </r>
  <r>
    <x v="4"/>
    <d v="2024-09-19T00:00:00"/>
    <n v="3"/>
    <s v="Service Booked"/>
    <x v="4"/>
    <n v="0.25"/>
    <n v="56.75"/>
    <n v="227"/>
    <n v="170.25"/>
  </r>
  <r>
    <x v="1"/>
    <d v="2024-09-19T00:00:00"/>
    <n v="2"/>
    <s v="Service Booked"/>
    <x v="5"/>
    <n v="0.1"/>
    <n v="9.6999999999999993"/>
    <n v="97"/>
    <n v="87.3"/>
  </r>
  <r>
    <x v="2"/>
    <d v="2024-09-19T00:00:00"/>
    <n v="2"/>
    <s v="Service Booked"/>
    <x v="6"/>
    <n v="0.3"/>
    <n v="440.7"/>
    <n v="1469"/>
    <n v="1028.3"/>
  </r>
  <r>
    <x v="1"/>
    <d v="2024-09-20T00:00:00"/>
    <n v="2"/>
    <s v="Service Booked"/>
    <x v="5"/>
    <n v="0.1"/>
    <n v="63.8"/>
    <n v="638"/>
    <n v="574.20000000000005"/>
  </r>
  <r>
    <x v="0"/>
    <d v="2024-09-21T00:00:00"/>
    <n v="2"/>
    <s v="Service Booked"/>
    <x v="3"/>
    <n v="0.25"/>
    <n v="281"/>
    <n v="1124"/>
    <n v="843"/>
  </r>
  <r>
    <x v="5"/>
    <d v="2024-09-21T00:00:00"/>
    <n v="2"/>
    <s v="Delivered"/>
    <x v="4"/>
    <n v="0.2"/>
    <n v="92.6"/>
    <n v="463"/>
    <n v="370.4"/>
  </r>
  <r>
    <x v="0"/>
    <d v="2024-09-21T00:00:00"/>
    <n v="1"/>
    <s v="Delivered"/>
    <x v="3"/>
    <n v="0.25"/>
    <n v="228.75"/>
    <n v="915"/>
    <n v="686.25"/>
  </r>
  <r>
    <x v="4"/>
    <d v="2024-09-21T00:00:00"/>
    <n v="1"/>
    <s v="Delivered"/>
    <x v="3"/>
    <n v="0.25"/>
    <n v="384.75"/>
    <n v="1539"/>
    <n v="1154.25"/>
  </r>
  <r>
    <x v="5"/>
    <d v="2024-09-21T00:00:00"/>
    <n v="1"/>
    <s v="In Progress"/>
    <x v="5"/>
    <n v="0.2"/>
    <n v="211.4"/>
    <n v="1057"/>
    <n v="845.6"/>
  </r>
  <r>
    <x v="2"/>
    <d v="2024-09-21T00:00:00"/>
    <n v="3"/>
    <s v="Service Booked"/>
    <x v="4"/>
    <n v="0.3"/>
    <n v="195.9"/>
    <n v="653"/>
    <n v="457.1"/>
  </r>
  <r>
    <x v="2"/>
    <d v="2024-09-22T00:00:00"/>
    <n v="2"/>
    <s v="Cancelled"/>
    <x v="7"/>
    <n v="0.3"/>
    <n v="119.4"/>
    <n v="398"/>
    <n v="278.60000000000002"/>
  </r>
  <r>
    <x v="3"/>
    <d v="2024-09-22T00:00:00"/>
    <n v="1"/>
    <s v="Delivered"/>
    <x v="5"/>
    <n v="0.3"/>
    <n v="354.6"/>
    <n v="1182"/>
    <n v="827.4"/>
  </r>
  <r>
    <x v="1"/>
    <d v="2024-09-23T00:00:00"/>
    <n v="2"/>
    <s v="In Progress"/>
    <x v="1"/>
    <n v="0.1"/>
    <n v="72.7"/>
    <n v="727"/>
    <n v="654.29999999999995"/>
  </r>
  <r>
    <x v="1"/>
    <d v="2024-09-23T00:00:00"/>
    <n v="3"/>
    <s v="Service Booked"/>
    <x v="0"/>
    <n v="0.1"/>
    <n v="172.7"/>
    <n v="1727"/>
    <n v="1554.3"/>
  </r>
  <r>
    <x v="3"/>
    <d v="2024-09-23T00:00:00"/>
    <n v="2"/>
    <s v="Delivered"/>
    <x v="6"/>
    <n v="0.3"/>
    <n v="531"/>
    <n v="1770"/>
    <n v="1239"/>
  </r>
  <r>
    <x v="3"/>
    <d v="2024-09-25T00:00:00"/>
    <n v="1"/>
    <s v="Delivered"/>
    <x v="0"/>
    <n v="0.3"/>
    <n v="306.89999999999998"/>
    <n v="1023"/>
    <n v="716.1"/>
  </r>
  <r>
    <x v="0"/>
    <d v="2024-09-25T00:00:00"/>
    <n v="1"/>
    <s v="Service Booked"/>
    <x v="7"/>
    <n v="0.25"/>
    <n v="83.75"/>
    <n v="335"/>
    <n v="251.25"/>
  </r>
  <r>
    <x v="4"/>
    <d v="2024-09-25T00:00:00"/>
    <n v="2"/>
    <s v="Delivered"/>
    <x v="7"/>
    <n v="0.25"/>
    <n v="257.75"/>
    <n v="1031"/>
    <n v="773.25"/>
  </r>
  <r>
    <x v="0"/>
    <d v="2024-09-25T00:00:00"/>
    <n v="2"/>
    <s v="Service Booked"/>
    <x v="4"/>
    <n v="0.25"/>
    <n v="94.5"/>
    <n v="378"/>
    <n v="283.5"/>
  </r>
  <r>
    <x v="0"/>
    <d v="2024-09-26T00:00:00"/>
    <n v="2"/>
    <s v="Delivered"/>
    <x v="7"/>
    <n v="0.25"/>
    <n v="163.5"/>
    <n v="654"/>
    <n v="490.5"/>
  </r>
  <r>
    <x v="4"/>
    <d v="2024-09-26T00:00:00"/>
    <n v="3"/>
    <s v="Service Booked"/>
    <x v="4"/>
    <n v="0.25"/>
    <n v="140.5"/>
    <n v="562"/>
    <n v="421.5"/>
  </r>
  <r>
    <x v="2"/>
    <d v="2024-09-26T00:00:00"/>
    <n v="1"/>
    <s v="Service Booked"/>
    <x v="2"/>
    <n v="0.3"/>
    <n v="46.2"/>
    <n v="154"/>
    <n v="107.8"/>
  </r>
  <r>
    <x v="5"/>
    <d v="2024-09-26T00:00:00"/>
    <n v="3"/>
    <s v="Delivered"/>
    <x v="1"/>
    <n v="0.2"/>
    <n v="74.2"/>
    <n v="371"/>
    <n v="296.8"/>
  </r>
  <r>
    <x v="3"/>
    <d v="2024-09-26T00:00:00"/>
    <n v="2"/>
    <s v="Service Booked"/>
    <x v="6"/>
    <n v="0.3"/>
    <n v="350.1"/>
    <n v="1167"/>
    <n v="816.9"/>
  </r>
  <r>
    <x v="3"/>
    <d v="2024-09-27T00:00:00"/>
    <n v="2"/>
    <s v="Service Booked"/>
    <x v="1"/>
    <n v="0.3"/>
    <n v="504.6"/>
    <n v="1682"/>
    <n v="1177.4000000000001"/>
  </r>
  <r>
    <x v="2"/>
    <d v="2024-09-27T00:00:00"/>
    <n v="3"/>
    <s v="Service Booked"/>
    <x v="7"/>
    <n v="0.3"/>
    <n v="400.2"/>
    <n v="1334"/>
    <n v="933.8"/>
  </r>
  <r>
    <x v="0"/>
    <d v="2024-09-28T00:00:00"/>
    <n v="2"/>
    <s v="Delivered"/>
    <x v="1"/>
    <n v="0.25"/>
    <n v="34.75"/>
    <n v="139"/>
    <n v="104.25"/>
  </r>
  <r>
    <x v="2"/>
    <d v="2024-09-28T00:00:00"/>
    <n v="3"/>
    <s v="Delivered"/>
    <x v="2"/>
    <n v="0.3"/>
    <n v="451.2"/>
    <n v="1504"/>
    <n v="1052.8"/>
  </r>
  <r>
    <x v="1"/>
    <d v="2024-09-28T00:00:00"/>
    <n v="1"/>
    <s v="Delivered"/>
    <x v="3"/>
    <n v="0.1"/>
    <n v="100.9"/>
    <n v="1009"/>
    <n v="908.1"/>
  </r>
  <r>
    <x v="0"/>
    <d v="2024-09-28T00:00:00"/>
    <n v="3"/>
    <s v="Delivered"/>
    <x v="7"/>
    <n v="0.25"/>
    <n v="458"/>
    <n v="1832"/>
    <n v="1374"/>
  </r>
  <r>
    <x v="0"/>
    <d v="2024-09-29T00:00:00"/>
    <n v="1"/>
    <s v="Service Booked"/>
    <x v="6"/>
    <n v="0.25"/>
    <n v="176"/>
    <n v="704"/>
    <n v="528"/>
  </r>
  <r>
    <x v="2"/>
    <d v="2024-09-29T00:00:00"/>
    <n v="1"/>
    <s v="In Progress"/>
    <x v="6"/>
    <n v="0.3"/>
    <n v="58.2"/>
    <n v="194"/>
    <n v="135.80000000000001"/>
  </r>
  <r>
    <x v="0"/>
    <d v="2024-09-29T00:00:00"/>
    <n v="2"/>
    <s v="Delivered"/>
    <x v="7"/>
    <n v="0.25"/>
    <n v="173.75"/>
    <n v="695"/>
    <n v="521.25"/>
  </r>
  <r>
    <x v="4"/>
    <d v="2024-10-01T00:00:00"/>
    <n v="1"/>
    <s v="In Progress"/>
    <x v="0"/>
    <n v="0.25"/>
    <n v="266.25"/>
    <n v="1065"/>
    <n v="798.75"/>
  </r>
  <r>
    <x v="2"/>
    <d v="2024-10-02T00:00:00"/>
    <n v="2"/>
    <s v="Cancelled"/>
    <x v="0"/>
    <n v="0.3"/>
    <n v="512.4"/>
    <n v="1708"/>
    <n v="1195.5999999999999"/>
  </r>
  <r>
    <x v="0"/>
    <d v="2024-10-02T00:00:00"/>
    <n v="2"/>
    <s v="Cancelled"/>
    <x v="6"/>
    <n v="0.25"/>
    <n v="125.5"/>
    <n v="502"/>
    <n v="376.5"/>
  </r>
  <r>
    <x v="0"/>
    <d v="2024-10-03T00:00:00"/>
    <n v="3"/>
    <s v="In Progress"/>
    <x v="7"/>
    <n v="0.25"/>
    <n v="264.75"/>
    <n v="1059"/>
    <n v="794.25"/>
  </r>
  <r>
    <x v="5"/>
    <d v="2024-10-03T00:00:00"/>
    <n v="1"/>
    <s v="In Progress"/>
    <x v="7"/>
    <n v="0.2"/>
    <n v="134.80000000000001"/>
    <n v="674"/>
    <n v="539.20000000000005"/>
  </r>
  <r>
    <x v="4"/>
    <d v="2024-10-04T00:00:00"/>
    <n v="2"/>
    <s v="Delivered"/>
    <x v="1"/>
    <n v="0.25"/>
    <n v="213"/>
    <n v="852"/>
    <n v="639"/>
  </r>
  <r>
    <x v="0"/>
    <d v="2024-10-04T00:00:00"/>
    <n v="2"/>
    <s v="Service Booked"/>
    <x v="3"/>
    <n v="0.25"/>
    <n v="120"/>
    <n v="480"/>
    <n v="360"/>
  </r>
  <r>
    <x v="1"/>
    <d v="2024-10-05T00:00:00"/>
    <n v="2"/>
    <s v="Service Booked"/>
    <x v="2"/>
    <n v="0.1"/>
    <n v="95.5"/>
    <n v="955"/>
    <n v="859.5"/>
  </r>
  <r>
    <x v="0"/>
    <d v="2024-10-05T00:00:00"/>
    <n v="3"/>
    <s v="Delivered"/>
    <x v="0"/>
    <n v="0.25"/>
    <n v="79.25"/>
    <n v="317"/>
    <n v="237.75"/>
  </r>
  <r>
    <x v="0"/>
    <d v="2024-10-06T00:00:00"/>
    <n v="2"/>
    <s v="Delivered"/>
    <x v="7"/>
    <n v="0.25"/>
    <n v="229"/>
    <n v="916"/>
    <n v="687"/>
  </r>
  <r>
    <x v="2"/>
    <d v="2024-10-06T00:00:00"/>
    <n v="3"/>
    <s v="Delivered"/>
    <x v="6"/>
    <n v="0.3"/>
    <n v="204.3"/>
    <n v="681"/>
    <n v="476.7"/>
  </r>
  <r>
    <x v="0"/>
    <d v="2024-10-06T00:00:00"/>
    <n v="1"/>
    <s v="Delivered"/>
    <x v="5"/>
    <n v="0.25"/>
    <n v="449.75"/>
    <n v="1799"/>
    <n v="1349.25"/>
  </r>
  <r>
    <x v="1"/>
    <d v="2024-10-06T00:00:00"/>
    <n v="1"/>
    <s v="Delivered"/>
    <x v="6"/>
    <n v="0.1"/>
    <n v="26.7"/>
    <n v="267"/>
    <n v="240.3"/>
  </r>
  <r>
    <x v="0"/>
    <d v="2024-10-07T00:00:00"/>
    <n v="3"/>
    <s v="Service Booked"/>
    <x v="2"/>
    <n v="0.25"/>
    <n v="38.25"/>
    <n v="153"/>
    <n v="114.75"/>
  </r>
  <r>
    <x v="5"/>
    <d v="2024-10-07T00:00:00"/>
    <n v="1"/>
    <s v="In Progress"/>
    <x v="4"/>
    <n v="0.2"/>
    <n v="3.8"/>
    <n v="19"/>
    <n v="15.2"/>
  </r>
  <r>
    <x v="3"/>
    <d v="2024-10-07T00:00:00"/>
    <n v="1"/>
    <s v="Delivered"/>
    <x v="0"/>
    <n v="0.3"/>
    <n v="421.5"/>
    <n v="1405"/>
    <n v="983.5"/>
  </r>
  <r>
    <x v="3"/>
    <d v="2024-10-07T00:00:00"/>
    <n v="2"/>
    <s v="Delivered"/>
    <x v="7"/>
    <n v="0.3"/>
    <n v="374.4"/>
    <n v="1248"/>
    <n v="873.6"/>
  </r>
  <r>
    <x v="0"/>
    <d v="2024-10-08T00:00:00"/>
    <n v="1"/>
    <s v="Delivered"/>
    <x v="2"/>
    <n v="0.25"/>
    <n v="385.5"/>
    <n v="1542"/>
    <n v="1156.5"/>
  </r>
  <r>
    <x v="3"/>
    <d v="2024-10-09T00:00:00"/>
    <n v="2"/>
    <s v="Service Booked"/>
    <x v="1"/>
    <n v="0.3"/>
    <n v="465.6"/>
    <n v="1552"/>
    <n v="1086.4000000000001"/>
  </r>
  <r>
    <x v="0"/>
    <d v="2024-10-09T00:00:00"/>
    <n v="1"/>
    <s v="Service Booked"/>
    <x v="1"/>
    <n v="0.25"/>
    <n v="263.25"/>
    <n v="1053"/>
    <n v="789.75"/>
  </r>
  <r>
    <x v="0"/>
    <d v="2024-10-09T00:00:00"/>
    <n v="3"/>
    <s v="Service Booked"/>
    <x v="4"/>
    <n v="0.25"/>
    <n v="30.5"/>
    <n v="122"/>
    <n v="91.5"/>
  </r>
  <r>
    <x v="5"/>
    <d v="2024-10-09T00:00:00"/>
    <n v="3"/>
    <s v="Cancelled"/>
    <x v="7"/>
    <n v="0.2"/>
    <n v="45.4"/>
    <n v="227"/>
    <n v="181.6"/>
  </r>
  <r>
    <x v="1"/>
    <d v="2024-10-10T00:00:00"/>
    <n v="3"/>
    <s v="Service Booked"/>
    <x v="2"/>
    <n v="0.1"/>
    <n v="143.6"/>
    <n v="1436"/>
    <n v="1292.4000000000001"/>
  </r>
  <r>
    <x v="4"/>
    <d v="2024-10-10T00:00:00"/>
    <n v="1"/>
    <s v="Delivered"/>
    <x v="6"/>
    <n v="0.25"/>
    <n v="111.25"/>
    <n v="445"/>
    <n v="333.75"/>
  </r>
  <r>
    <x v="4"/>
    <d v="2024-10-10T00:00:00"/>
    <n v="2"/>
    <s v="Delivered"/>
    <x v="7"/>
    <n v="0.25"/>
    <n v="67"/>
    <n v="268"/>
    <n v="201"/>
  </r>
  <r>
    <x v="0"/>
    <d v="2024-10-11T00:00:00"/>
    <n v="1"/>
    <s v="Delivered"/>
    <x v="2"/>
    <n v="0.25"/>
    <n v="152"/>
    <n v="608"/>
    <n v="456"/>
  </r>
  <r>
    <x v="0"/>
    <d v="2024-10-11T00:00:00"/>
    <n v="1"/>
    <s v="Service Booked"/>
    <x v="3"/>
    <n v="0.25"/>
    <n v="359.25"/>
    <n v="1437"/>
    <n v="1077.75"/>
  </r>
  <r>
    <x v="3"/>
    <d v="2024-10-11T00:00:00"/>
    <n v="2"/>
    <s v="Delivered"/>
    <x v="6"/>
    <n v="0.3"/>
    <n v="354"/>
    <n v="1180"/>
    <n v="826"/>
  </r>
  <r>
    <x v="2"/>
    <d v="2024-10-11T00:00:00"/>
    <n v="2"/>
    <s v="Cancelled"/>
    <x v="3"/>
    <n v="0.3"/>
    <n v="414.9"/>
    <n v="1383"/>
    <n v="968.1"/>
  </r>
  <r>
    <x v="1"/>
    <d v="2024-10-11T00:00:00"/>
    <n v="3"/>
    <s v="Service Booked"/>
    <x v="7"/>
    <n v="0.1"/>
    <n v="138.19999999999999"/>
    <n v="1382"/>
    <n v="1243.8"/>
  </r>
  <r>
    <x v="4"/>
    <d v="2024-10-12T00:00:00"/>
    <n v="2"/>
    <s v="Delivered"/>
    <x v="6"/>
    <n v="0.25"/>
    <n v="112.75"/>
    <n v="451"/>
    <n v="338.25"/>
  </r>
  <r>
    <x v="5"/>
    <d v="2024-10-12T00:00:00"/>
    <n v="1"/>
    <s v="Service Booked"/>
    <x v="7"/>
    <n v="0.2"/>
    <n v="325.39999999999998"/>
    <n v="1627"/>
    <n v="1301.5999999999999"/>
  </r>
  <r>
    <x v="5"/>
    <d v="2024-10-12T00:00:00"/>
    <n v="2"/>
    <s v="In Progress"/>
    <x v="3"/>
    <n v="0.2"/>
    <n v="151.6"/>
    <n v="758"/>
    <n v="606.4"/>
  </r>
  <r>
    <x v="5"/>
    <d v="2024-10-13T00:00:00"/>
    <n v="3"/>
    <s v="Delivered"/>
    <x v="2"/>
    <n v="0.2"/>
    <n v="201"/>
    <n v="1005"/>
    <n v="804"/>
  </r>
  <r>
    <x v="4"/>
    <d v="2024-10-14T00:00:00"/>
    <n v="2"/>
    <s v="Service Booked"/>
    <x v="2"/>
    <n v="0.25"/>
    <n v="141.75"/>
    <n v="567"/>
    <n v="425.25"/>
  </r>
  <r>
    <x v="4"/>
    <d v="2024-10-15T00:00:00"/>
    <n v="1"/>
    <s v="Service Booked"/>
    <x v="4"/>
    <n v="0.25"/>
    <n v="386.25"/>
    <n v="1545"/>
    <n v="1158.75"/>
  </r>
  <r>
    <x v="2"/>
    <d v="2024-10-16T00:00:00"/>
    <n v="2"/>
    <s v="Service Booked"/>
    <x v="1"/>
    <n v="0.3"/>
    <n v="259.5"/>
    <n v="865"/>
    <n v="605.5"/>
  </r>
  <r>
    <x v="2"/>
    <d v="2024-10-16T00:00:00"/>
    <n v="1"/>
    <s v="Delivered"/>
    <x v="1"/>
    <n v="0.3"/>
    <n v="54.9"/>
    <n v="183"/>
    <n v="128.1"/>
  </r>
  <r>
    <x v="3"/>
    <d v="2024-10-16T00:00:00"/>
    <n v="1"/>
    <s v="Service Booked"/>
    <x v="3"/>
    <n v="0.3"/>
    <n v="446.4"/>
    <n v="1488"/>
    <n v="1041.5999999999999"/>
  </r>
  <r>
    <x v="0"/>
    <d v="2024-10-17T00:00:00"/>
    <n v="3"/>
    <s v="Service Booked"/>
    <x v="0"/>
    <n v="0.25"/>
    <n v="199.5"/>
    <n v="798"/>
    <n v="598.5"/>
  </r>
  <r>
    <x v="5"/>
    <d v="2024-10-17T00:00:00"/>
    <n v="3"/>
    <s v="Delivered"/>
    <x v="3"/>
    <n v="0.2"/>
    <n v="270.8"/>
    <n v="1354"/>
    <n v="1083.2"/>
  </r>
  <r>
    <x v="0"/>
    <d v="2024-10-18T00:00:00"/>
    <n v="2"/>
    <s v="Service Booked"/>
    <x v="0"/>
    <n v="0.25"/>
    <n v="251"/>
    <n v="1004"/>
    <n v="753"/>
  </r>
  <r>
    <x v="0"/>
    <d v="2024-10-19T00:00:00"/>
    <n v="1"/>
    <s v="Service Booked"/>
    <x v="2"/>
    <n v="0.25"/>
    <n v="275.25"/>
    <n v="1101"/>
    <n v="825.75"/>
  </r>
  <r>
    <x v="5"/>
    <d v="2024-10-20T00:00:00"/>
    <n v="1"/>
    <s v="In Progress"/>
    <x v="4"/>
    <n v="0.2"/>
    <n v="200.4"/>
    <n v="1002"/>
    <n v="801.6"/>
  </r>
  <r>
    <x v="3"/>
    <d v="2024-10-20T00:00:00"/>
    <n v="1"/>
    <s v="Delivered"/>
    <x v="5"/>
    <n v="0.3"/>
    <n v="530.70000000000005"/>
    <n v="1769"/>
    <n v="1238.3"/>
  </r>
  <r>
    <x v="2"/>
    <d v="2024-10-20T00:00:00"/>
    <n v="2"/>
    <s v="Delivered"/>
    <x v="4"/>
    <n v="0.3"/>
    <n v="114.9"/>
    <n v="383"/>
    <n v="268.10000000000002"/>
  </r>
  <r>
    <x v="0"/>
    <d v="2024-10-20T00:00:00"/>
    <n v="3"/>
    <s v="Delivered"/>
    <x v="5"/>
    <n v="0.25"/>
    <n v="63.25"/>
    <n v="253"/>
    <n v="189.75"/>
  </r>
  <r>
    <x v="4"/>
    <d v="2024-10-21T00:00:00"/>
    <n v="1"/>
    <s v="Delivered"/>
    <x v="1"/>
    <n v="0.25"/>
    <n v="461"/>
    <n v="1844"/>
    <n v="1383"/>
  </r>
  <r>
    <x v="4"/>
    <d v="2024-10-21T00:00:00"/>
    <n v="3"/>
    <s v="Cancelled"/>
    <x v="6"/>
    <n v="0.25"/>
    <n v="204.5"/>
    <n v="818"/>
    <n v="613.5"/>
  </r>
  <r>
    <x v="4"/>
    <d v="2024-10-23T00:00:00"/>
    <n v="1"/>
    <s v="Service Booked"/>
    <x v="6"/>
    <n v="0.25"/>
    <n v="116.75"/>
    <n v="467"/>
    <n v="350.25"/>
  </r>
  <r>
    <x v="4"/>
    <d v="2024-10-23T00:00:00"/>
    <n v="3"/>
    <s v="Delivered"/>
    <x v="0"/>
    <n v="0.25"/>
    <n v="264.5"/>
    <n v="1058"/>
    <n v="793.5"/>
  </r>
  <r>
    <x v="3"/>
    <d v="2024-10-23T00:00:00"/>
    <n v="1"/>
    <s v="Service Booked"/>
    <x v="3"/>
    <n v="0.3"/>
    <n v="4.8"/>
    <n v="16"/>
    <n v="11.2"/>
  </r>
  <r>
    <x v="1"/>
    <d v="2024-10-24T00:00:00"/>
    <n v="2"/>
    <s v="Service Booked"/>
    <x v="5"/>
    <n v="0.1"/>
    <n v="32.299999999999997"/>
    <n v="323"/>
    <n v="290.7"/>
  </r>
  <r>
    <x v="0"/>
    <d v="2024-10-24T00:00:00"/>
    <n v="2"/>
    <s v="Service Booked"/>
    <x v="7"/>
    <n v="0.25"/>
    <n v="303.5"/>
    <n v="1214"/>
    <n v="910.5"/>
  </r>
  <r>
    <x v="2"/>
    <d v="2024-10-24T00:00:00"/>
    <n v="1"/>
    <s v="In Progress"/>
    <x v="4"/>
    <n v="0.3"/>
    <n v="345.3"/>
    <n v="1151"/>
    <n v="805.7"/>
  </r>
  <r>
    <x v="0"/>
    <d v="2024-10-24T00:00:00"/>
    <n v="1"/>
    <s v="Service Booked"/>
    <x v="1"/>
    <n v="0.25"/>
    <n v="373.25"/>
    <n v="1493"/>
    <n v="1119.75"/>
  </r>
  <r>
    <x v="0"/>
    <d v="2024-10-24T00:00:00"/>
    <n v="3"/>
    <s v="Service Booked"/>
    <x v="2"/>
    <n v="0.25"/>
    <n v="88.25"/>
    <n v="353"/>
    <n v="264.75"/>
  </r>
  <r>
    <x v="3"/>
    <d v="2024-10-25T00:00:00"/>
    <n v="2"/>
    <s v="Service Booked"/>
    <x v="0"/>
    <n v="0.3"/>
    <n v="176.4"/>
    <n v="588"/>
    <n v="411.6"/>
  </r>
  <r>
    <x v="4"/>
    <d v="2024-10-25T00:00:00"/>
    <n v="1"/>
    <s v="Cancelled"/>
    <x v="6"/>
    <n v="0.25"/>
    <n v="302"/>
    <n v="1208"/>
    <n v="906"/>
  </r>
  <r>
    <x v="2"/>
    <d v="2024-10-26T00:00:00"/>
    <n v="2"/>
    <s v="Delivered"/>
    <x v="3"/>
    <n v="0.3"/>
    <n v="357.9"/>
    <n v="1193"/>
    <n v="835.1"/>
  </r>
  <r>
    <x v="2"/>
    <d v="2024-10-26T00:00:00"/>
    <n v="1"/>
    <s v="Service Booked"/>
    <x v="5"/>
    <n v="0.3"/>
    <n v="269.10000000000002"/>
    <n v="897"/>
    <n v="627.9"/>
  </r>
  <r>
    <x v="2"/>
    <d v="2024-10-26T00:00:00"/>
    <n v="2"/>
    <s v="In Progress"/>
    <x v="3"/>
    <n v="0.3"/>
    <n v="514.20000000000005"/>
    <n v="1714"/>
    <n v="1199.8"/>
  </r>
  <r>
    <x v="0"/>
    <d v="2024-10-26T00:00:00"/>
    <n v="2"/>
    <s v="Delivered"/>
    <x v="7"/>
    <n v="0.25"/>
    <n v="254.25"/>
    <n v="1017"/>
    <n v="762.75"/>
  </r>
  <r>
    <x v="2"/>
    <d v="2024-10-26T00:00:00"/>
    <n v="3"/>
    <s v="Service Booked"/>
    <x v="1"/>
    <n v="0.3"/>
    <n v="523.20000000000005"/>
    <n v="1744"/>
    <n v="1220.8"/>
  </r>
  <r>
    <x v="5"/>
    <d v="2024-10-26T00:00:00"/>
    <n v="2"/>
    <s v="Service Booked"/>
    <x v="2"/>
    <n v="0.2"/>
    <n v="149"/>
    <n v="745"/>
    <n v="596"/>
  </r>
  <r>
    <x v="5"/>
    <d v="2024-10-26T00:00:00"/>
    <n v="3"/>
    <s v="Service Booked"/>
    <x v="1"/>
    <n v="0.2"/>
    <n v="93.6"/>
    <n v="468"/>
    <n v="374.4"/>
  </r>
  <r>
    <x v="0"/>
    <d v="2024-10-26T00:00:00"/>
    <n v="3"/>
    <s v="Delivered"/>
    <x v="3"/>
    <n v="0.25"/>
    <n v="354.5"/>
    <n v="1418"/>
    <n v="1063.5"/>
  </r>
  <r>
    <x v="1"/>
    <d v="2024-10-26T00:00:00"/>
    <n v="1"/>
    <s v="Service Booked"/>
    <x v="0"/>
    <n v="0.1"/>
    <n v="99.4"/>
    <n v="994"/>
    <n v="894.6"/>
  </r>
  <r>
    <x v="5"/>
    <d v="2024-10-27T00:00:00"/>
    <n v="1"/>
    <s v="Cancelled"/>
    <x v="7"/>
    <n v="0.2"/>
    <n v="153.4"/>
    <n v="767"/>
    <n v="613.6"/>
  </r>
  <r>
    <x v="5"/>
    <d v="2024-10-27T00:00:00"/>
    <n v="1"/>
    <s v="In Progress"/>
    <x v="5"/>
    <n v="0.2"/>
    <n v="185.8"/>
    <n v="929"/>
    <n v="743.2"/>
  </r>
  <r>
    <x v="5"/>
    <d v="2024-10-27T00:00:00"/>
    <n v="1"/>
    <s v="Delivered"/>
    <x v="4"/>
    <n v="0.2"/>
    <n v="115.6"/>
    <n v="578"/>
    <n v="462.4"/>
  </r>
  <r>
    <x v="4"/>
    <d v="2024-10-27T00:00:00"/>
    <n v="1"/>
    <s v="Cancelled"/>
    <x v="1"/>
    <n v="0.25"/>
    <n v="211"/>
    <n v="844"/>
    <n v="633"/>
  </r>
  <r>
    <x v="1"/>
    <d v="2024-10-28T00:00:00"/>
    <n v="2"/>
    <s v="Service Booked"/>
    <x v="4"/>
    <n v="0.1"/>
    <n v="86.5"/>
    <n v="865"/>
    <n v="778.5"/>
  </r>
  <r>
    <x v="0"/>
    <d v="2024-10-29T00:00:00"/>
    <n v="2"/>
    <s v="Delivered"/>
    <x v="1"/>
    <n v="0.25"/>
    <n v="394.5"/>
    <n v="1578"/>
    <n v="1183.5"/>
  </r>
  <r>
    <x v="1"/>
    <d v="2024-10-29T00:00:00"/>
    <n v="1"/>
    <s v="Delivered"/>
    <x v="7"/>
    <n v="0.1"/>
    <n v="121"/>
    <n v="1210"/>
    <n v="1089"/>
  </r>
  <r>
    <x v="4"/>
    <d v="2024-10-29T00:00:00"/>
    <n v="1"/>
    <s v="In Progress"/>
    <x v="2"/>
    <n v="0.25"/>
    <n v="262.25"/>
    <n v="1049"/>
    <n v="786.75"/>
  </r>
  <r>
    <x v="5"/>
    <d v="2024-10-30T00:00:00"/>
    <n v="2"/>
    <s v="Cancelled"/>
    <x v="1"/>
    <n v="0.2"/>
    <n v="105.8"/>
    <n v="529"/>
    <n v="423.2"/>
  </r>
  <r>
    <x v="0"/>
    <d v="2024-10-31T00:00:00"/>
    <n v="2"/>
    <s v="In Progress"/>
    <x v="4"/>
    <n v="0.25"/>
    <n v="238.5"/>
    <n v="954"/>
    <n v="715.5"/>
  </r>
  <r>
    <x v="0"/>
    <d v="2024-10-31T00:00:00"/>
    <n v="3"/>
    <s v="Service Booked"/>
    <x v="5"/>
    <n v="0.25"/>
    <n v="86"/>
    <n v="344"/>
    <n v="258"/>
  </r>
  <r>
    <x v="3"/>
    <d v="2024-10-31T00:00:00"/>
    <n v="3"/>
    <s v="Service Booked"/>
    <x v="2"/>
    <n v="0.3"/>
    <n v="531"/>
    <n v="1770"/>
    <n v="1239"/>
  </r>
  <r>
    <x v="3"/>
    <d v="2024-11-01T00:00:00"/>
    <n v="1"/>
    <s v="Service Booked"/>
    <x v="1"/>
    <n v="0.3"/>
    <n v="125.4"/>
    <n v="418"/>
    <n v="292.60000000000002"/>
  </r>
  <r>
    <x v="5"/>
    <d v="2024-11-01T00:00:00"/>
    <n v="3"/>
    <s v="Service Booked"/>
    <x v="6"/>
    <n v="0.2"/>
    <n v="295"/>
    <n v="1475"/>
    <n v="1180"/>
  </r>
  <r>
    <x v="1"/>
    <d v="2024-11-01T00:00:00"/>
    <n v="1"/>
    <s v="Delivered"/>
    <x v="5"/>
    <n v="0.1"/>
    <n v="20.3"/>
    <n v="203"/>
    <n v="182.7"/>
  </r>
  <r>
    <x v="2"/>
    <d v="2024-11-02T00:00:00"/>
    <n v="3"/>
    <s v="Cancelled"/>
    <x v="1"/>
    <n v="0.3"/>
    <n v="159.30000000000001"/>
    <n v="531"/>
    <n v="371.7"/>
  </r>
  <r>
    <x v="4"/>
    <d v="2024-11-03T00:00:00"/>
    <n v="1"/>
    <s v="Delivered"/>
    <x v="0"/>
    <n v="0.25"/>
    <n v="242"/>
    <n v="968"/>
    <n v="726"/>
  </r>
  <r>
    <x v="3"/>
    <d v="2024-11-03T00:00:00"/>
    <n v="1"/>
    <s v="In Progress"/>
    <x v="0"/>
    <n v="0.3"/>
    <n v="26.1"/>
    <n v="87"/>
    <n v="60.9"/>
  </r>
  <r>
    <x v="1"/>
    <d v="2024-11-03T00:00:00"/>
    <n v="2"/>
    <s v="Delivered"/>
    <x v="4"/>
    <n v="0.1"/>
    <n v="54.3"/>
    <n v="543"/>
    <n v="488.7"/>
  </r>
  <r>
    <x v="0"/>
    <d v="2024-11-03T00:00:00"/>
    <n v="1"/>
    <s v="In Progress"/>
    <x v="0"/>
    <n v="0.25"/>
    <n v="88.25"/>
    <n v="353"/>
    <n v="264.75"/>
  </r>
  <r>
    <x v="0"/>
    <d v="2024-11-03T00:00:00"/>
    <n v="1"/>
    <s v="Service Booked"/>
    <x v="5"/>
    <n v="0.25"/>
    <n v="65.5"/>
    <n v="262"/>
    <n v="196.5"/>
  </r>
  <r>
    <x v="1"/>
    <d v="2024-11-04T00:00:00"/>
    <n v="3"/>
    <s v="Service Booked"/>
    <x v="6"/>
    <n v="0.1"/>
    <n v="46.8"/>
    <n v="468"/>
    <n v="421.2"/>
  </r>
  <r>
    <x v="0"/>
    <d v="2024-11-05T00:00:00"/>
    <n v="2"/>
    <s v="Cancelled"/>
    <x v="5"/>
    <n v="0.25"/>
    <n v="25"/>
    <n v="100"/>
    <n v="75"/>
  </r>
  <r>
    <x v="0"/>
    <d v="2024-11-06T00:00:00"/>
    <n v="1"/>
    <s v="Delivered"/>
    <x v="7"/>
    <n v="0.25"/>
    <n v="10.25"/>
    <n v="41"/>
    <n v="30.75"/>
  </r>
  <r>
    <x v="0"/>
    <d v="2024-11-07T00:00:00"/>
    <n v="1"/>
    <s v="Service Booked"/>
    <x v="7"/>
    <n v="0.25"/>
    <n v="211.5"/>
    <n v="846"/>
    <n v="634.5"/>
  </r>
  <r>
    <x v="3"/>
    <d v="2024-11-08T00:00:00"/>
    <n v="2"/>
    <s v="Service Booked"/>
    <x v="7"/>
    <n v="0.3"/>
    <n v="122.1"/>
    <n v="407"/>
    <n v="284.89999999999998"/>
  </r>
  <r>
    <x v="4"/>
    <d v="2024-11-08T00:00:00"/>
    <n v="3"/>
    <s v="Service Booked"/>
    <x v="7"/>
    <n v="0.25"/>
    <n v="297"/>
    <n v="1188"/>
    <n v="891"/>
  </r>
  <r>
    <x v="2"/>
    <d v="2024-11-08T00:00:00"/>
    <n v="2"/>
    <s v="In Progress"/>
    <x v="0"/>
    <n v="0.3"/>
    <n v="46.5"/>
    <n v="155"/>
    <n v="108.5"/>
  </r>
  <r>
    <x v="0"/>
    <d v="2024-11-09T00:00:00"/>
    <n v="1"/>
    <s v="Delivered"/>
    <x v="4"/>
    <n v="0.25"/>
    <n v="38.25"/>
    <n v="153"/>
    <n v="114.75"/>
  </r>
  <r>
    <x v="0"/>
    <d v="2024-11-09T00:00:00"/>
    <n v="2"/>
    <s v="Service Booked"/>
    <x v="6"/>
    <n v="0.25"/>
    <n v="38.5"/>
    <n v="154"/>
    <n v="115.5"/>
  </r>
  <r>
    <x v="5"/>
    <d v="2024-11-09T00:00:00"/>
    <n v="1"/>
    <s v="Service Booked"/>
    <x v="1"/>
    <n v="0.2"/>
    <n v="56.6"/>
    <n v="283"/>
    <n v="226.4"/>
  </r>
  <r>
    <x v="0"/>
    <d v="2024-11-09T00:00:00"/>
    <n v="2"/>
    <s v="Cancelled"/>
    <x v="6"/>
    <n v="0.25"/>
    <n v="299.75"/>
    <n v="1199"/>
    <n v="899.25"/>
  </r>
  <r>
    <x v="0"/>
    <d v="2024-11-09T00:00:00"/>
    <n v="3"/>
    <s v="Service Booked"/>
    <x v="7"/>
    <n v="0.25"/>
    <n v="298"/>
    <n v="1192"/>
    <n v="894"/>
  </r>
  <r>
    <x v="1"/>
    <d v="2024-11-10T00:00:00"/>
    <n v="1"/>
    <s v="Service Booked"/>
    <x v="1"/>
    <n v="0.1"/>
    <n v="126.1"/>
    <n v="1261"/>
    <n v="1134.9000000000001"/>
  </r>
  <r>
    <x v="2"/>
    <d v="2024-11-10T00:00:00"/>
    <n v="2"/>
    <s v="Cancelled"/>
    <x v="5"/>
    <n v="0.3"/>
    <n v="99.3"/>
    <n v="331"/>
    <n v="231.7"/>
  </r>
  <r>
    <x v="5"/>
    <d v="2024-11-10T00:00:00"/>
    <n v="3"/>
    <s v="Delivered"/>
    <x v="0"/>
    <n v="0.2"/>
    <n v="64.599999999999994"/>
    <n v="323"/>
    <n v="258.39999999999998"/>
  </r>
  <r>
    <x v="4"/>
    <d v="2024-11-11T00:00:00"/>
    <n v="3"/>
    <s v="Cancelled"/>
    <x v="0"/>
    <n v="0.25"/>
    <n v="27.25"/>
    <n v="109"/>
    <n v="81.75"/>
  </r>
  <r>
    <x v="5"/>
    <d v="2024-11-11T00:00:00"/>
    <n v="3"/>
    <s v="Service Booked"/>
    <x v="3"/>
    <n v="0.2"/>
    <n v="105.6"/>
    <n v="528"/>
    <n v="422.4"/>
  </r>
  <r>
    <x v="0"/>
    <d v="2024-11-11T00:00:00"/>
    <n v="1"/>
    <s v="Service Booked"/>
    <x v="4"/>
    <n v="0.25"/>
    <n v="363.5"/>
    <n v="1454"/>
    <n v="1090.5"/>
  </r>
  <r>
    <x v="0"/>
    <d v="2024-11-11T00:00:00"/>
    <n v="3"/>
    <s v="Service Booked"/>
    <x v="0"/>
    <n v="0.25"/>
    <n v="184.25"/>
    <n v="737"/>
    <n v="552.75"/>
  </r>
  <r>
    <x v="3"/>
    <d v="2024-11-11T00:00:00"/>
    <n v="1"/>
    <s v="Delivered"/>
    <x v="0"/>
    <n v="0.3"/>
    <n v="72.3"/>
    <n v="241"/>
    <n v="168.7"/>
  </r>
  <r>
    <x v="0"/>
    <d v="2024-11-12T00:00:00"/>
    <n v="2"/>
    <s v="Cancelled"/>
    <x v="1"/>
    <n v="0.25"/>
    <n v="24.75"/>
    <n v="99"/>
    <n v="74.25"/>
  </r>
  <r>
    <x v="3"/>
    <d v="2024-11-13T00:00:00"/>
    <n v="1"/>
    <s v="Delivered"/>
    <x v="7"/>
    <n v="0.3"/>
    <n v="465.6"/>
    <n v="1552"/>
    <n v="1086.4000000000001"/>
  </r>
  <r>
    <x v="5"/>
    <d v="2024-11-13T00:00:00"/>
    <n v="1"/>
    <s v="Delivered"/>
    <x v="0"/>
    <n v="0.2"/>
    <n v="249.2"/>
    <n v="1246"/>
    <n v="996.8"/>
  </r>
  <r>
    <x v="2"/>
    <d v="2024-11-13T00:00:00"/>
    <n v="3"/>
    <s v="Delivered"/>
    <x v="7"/>
    <n v="0.3"/>
    <n v="63.6"/>
    <n v="212"/>
    <n v="148.4"/>
  </r>
  <r>
    <x v="2"/>
    <d v="2024-11-14T00:00:00"/>
    <n v="1"/>
    <s v="Delivered"/>
    <x v="3"/>
    <n v="0.3"/>
    <n v="231.6"/>
    <n v="772"/>
    <n v="540.4"/>
  </r>
  <r>
    <x v="2"/>
    <d v="2024-11-14T00:00:00"/>
    <n v="3"/>
    <s v="Delivered"/>
    <x v="0"/>
    <n v="0.3"/>
    <n v="196.2"/>
    <n v="654"/>
    <n v="457.8"/>
  </r>
  <r>
    <x v="0"/>
    <d v="2024-11-15T00:00:00"/>
    <n v="2"/>
    <s v="In Progress"/>
    <x v="7"/>
    <n v="0.25"/>
    <n v="407"/>
    <n v="1628"/>
    <n v="1221"/>
  </r>
  <r>
    <x v="4"/>
    <d v="2024-11-15T00:00:00"/>
    <n v="1"/>
    <s v="Delivered"/>
    <x v="5"/>
    <n v="0.25"/>
    <n v="398.25"/>
    <n v="1593"/>
    <n v="1194.75"/>
  </r>
  <r>
    <x v="3"/>
    <d v="2024-11-15T00:00:00"/>
    <n v="1"/>
    <s v="Service Booked"/>
    <x v="3"/>
    <n v="0.3"/>
    <n v="240.9"/>
    <n v="803"/>
    <n v="562.1"/>
  </r>
  <r>
    <x v="0"/>
    <d v="2024-11-15T00:00:00"/>
    <n v="2"/>
    <s v="Delivered"/>
    <x v="5"/>
    <n v="0.25"/>
    <n v="204"/>
    <n v="816"/>
    <n v="612"/>
  </r>
  <r>
    <x v="4"/>
    <d v="2024-11-15T00:00:00"/>
    <n v="1"/>
    <s v="Delivered"/>
    <x v="3"/>
    <n v="0.25"/>
    <n v="109"/>
    <n v="436"/>
    <n v="327"/>
  </r>
  <r>
    <x v="2"/>
    <d v="2024-11-15T00:00:00"/>
    <n v="3"/>
    <s v="Delivered"/>
    <x v="6"/>
    <n v="0.3"/>
    <n v="247.2"/>
    <n v="824"/>
    <n v="576.79999999999995"/>
  </r>
  <r>
    <x v="0"/>
    <d v="2024-11-16T00:00:00"/>
    <n v="1"/>
    <s v="Service Booked"/>
    <x v="4"/>
    <n v="0.25"/>
    <n v="35.5"/>
    <n v="142"/>
    <n v="106.5"/>
  </r>
  <r>
    <x v="0"/>
    <d v="2024-11-16T00:00:00"/>
    <n v="1"/>
    <s v="Cancelled"/>
    <x v="6"/>
    <n v="0.25"/>
    <n v="326.5"/>
    <n v="1306"/>
    <n v="979.5"/>
  </r>
  <r>
    <x v="3"/>
    <d v="2024-11-16T00:00:00"/>
    <n v="3"/>
    <s v="Service Booked"/>
    <x v="3"/>
    <n v="0.3"/>
    <n v="375.3"/>
    <n v="1251"/>
    <n v="875.7"/>
  </r>
  <r>
    <x v="1"/>
    <d v="2024-11-16T00:00:00"/>
    <n v="3"/>
    <s v="Service Booked"/>
    <x v="3"/>
    <n v="0.1"/>
    <n v="11.3"/>
    <n v="113"/>
    <n v="101.7"/>
  </r>
  <r>
    <x v="3"/>
    <d v="2024-11-16T00:00:00"/>
    <n v="1"/>
    <s v="Service Booked"/>
    <x v="5"/>
    <n v="0.3"/>
    <n v="385.2"/>
    <n v="1284"/>
    <n v="898.8"/>
  </r>
  <r>
    <x v="0"/>
    <d v="2024-11-16T00:00:00"/>
    <n v="1"/>
    <s v="Delivered"/>
    <x v="5"/>
    <n v="0.25"/>
    <n v="27.75"/>
    <n v="111"/>
    <n v="83.25"/>
  </r>
  <r>
    <x v="2"/>
    <d v="2024-11-16T00:00:00"/>
    <n v="1"/>
    <s v="Service Booked"/>
    <x v="7"/>
    <n v="0.3"/>
    <n v="145.19999999999999"/>
    <n v="484"/>
    <n v="338.8"/>
  </r>
  <r>
    <x v="0"/>
    <d v="2024-11-17T00:00:00"/>
    <n v="2"/>
    <s v="Cancelled"/>
    <x v="4"/>
    <n v="0.25"/>
    <n v="242.5"/>
    <n v="970"/>
    <n v="727.5"/>
  </r>
  <r>
    <x v="1"/>
    <d v="2024-11-17T00:00:00"/>
    <n v="3"/>
    <s v="Service Booked"/>
    <x v="4"/>
    <n v="0.1"/>
    <n v="174.2"/>
    <n v="1742"/>
    <n v="1567.8"/>
  </r>
  <r>
    <x v="4"/>
    <d v="2024-11-17T00:00:00"/>
    <n v="2"/>
    <s v="In Progress"/>
    <x v="7"/>
    <n v="0.25"/>
    <n v="396.25"/>
    <n v="1585"/>
    <n v="1188.75"/>
  </r>
  <r>
    <x v="0"/>
    <d v="2024-11-18T00:00:00"/>
    <n v="2"/>
    <s v="Service Booked"/>
    <x v="1"/>
    <n v="0.25"/>
    <n v="196.75"/>
    <n v="787"/>
    <n v="590.25"/>
  </r>
  <r>
    <x v="0"/>
    <d v="2024-11-18T00:00:00"/>
    <n v="1"/>
    <s v="Delivered"/>
    <x v="2"/>
    <n v="0.25"/>
    <n v="291.5"/>
    <n v="1166"/>
    <n v="874.5"/>
  </r>
  <r>
    <x v="5"/>
    <d v="2024-11-18T00:00:00"/>
    <n v="3"/>
    <s v="Cancelled"/>
    <x v="5"/>
    <n v="0.2"/>
    <n v="22.8"/>
    <n v="114"/>
    <n v="91.2"/>
  </r>
  <r>
    <x v="5"/>
    <d v="2024-11-18T00:00:00"/>
    <n v="3"/>
    <s v="Service Booked"/>
    <x v="4"/>
    <n v="0.2"/>
    <n v="258.2"/>
    <n v="1291"/>
    <n v="1032.8"/>
  </r>
  <r>
    <x v="0"/>
    <d v="2024-11-18T00:00:00"/>
    <n v="1"/>
    <s v="Delivered"/>
    <x v="3"/>
    <n v="0.25"/>
    <n v="172"/>
    <n v="688"/>
    <n v="516"/>
  </r>
  <r>
    <x v="4"/>
    <d v="2024-11-18T00:00:00"/>
    <n v="3"/>
    <s v="Delivered"/>
    <x v="2"/>
    <n v="0.25"/>
    <n v="276"/>
    <n v="1104"/>
    <n v="828"/>
  </r>
  <r>
    <x v="3"/>
    <d v="2024-11-19T00:00:00"/>
    <n v="2"/>
    <s v="Service Booked"/>
    <x v="4"/>
    <n v="0.3"/>
    <n v="291.89999999999998"/>
    <n v="973"/>
    <n v="681.1"/>
  </r>
  <r>
    <x v="5"/>
    <d v="2024-11-19T00:00:00"/>
    <n v="1"/>
    <s v="Delivered"/>
    <x v="3"/>
    <n v="0.2"/>
    <n v="306.60000000000002"/>
    <n v="1533"/>
    <n v="1226.4000000000001"/>
  </r>
  <r>
    <x v="4"/>
    <d v="2024-11-19T00:00:00"/>
    <n v="3"/>
    <s v="Service Booked"/>
    <x v="4"/>
    <n v="0.25"/>
    <n v="304.75"/>
    <n v="1219"/>
    <n v="914.25"/>
  </r>
  <r>
    <x v="4"/>
    <d v="2024-11-19T00:00:00"/>
    <n v="3"/>
    <s v="Service Booked"/>
    <x v="6"/>
    <n v="0.25"/>
    <n v="373.75"/>
    <n v="1495"/>
    <n v="1121.25"/>
  </r>
  <r>
    <x v="4"/>
    <d v="2024-11-19T00:00:00"/>
    <n v="2"/>
    <s v="Delivered"/>
    <x v="7"/>
    <n v="0.25"/>
    <n v="77.25"/>
    <n v="309"/>
    <n v="231.75"/>
  </r>
  <r>
    <x v="5"/>
    <d v="2024-11-19T00:00:00"/>
    <n v="3"/>
    <s v="Delivered"/>
    <x v="0"/>
    <n v="0.2"/>
    <n v="70.400000000000006"/>
    <n v="352"/>
    <n v="281.60000000000002"/>
  </r>
  <r>
    <x v="4"/>
    <d v="2024-11-20T00:00:00"/>
    <n v="3"/>
    <s v="Service Booked"/>
    <x v="0"/>
    <n v="0.25"/>
    <n v="101"/>
    <n v="404"/>
    <n v="303"/>
  </r>
  <r>
    <x v="4"/>
    <d v="2024-11-20T00:00:00"/>
    <n v="3"/>
    <s v="Delivered"/>
    <x v="1"/>
    <n v="0.25"/>
    <n v="346"/>
    <n v="1384"/>
    <n v="1038"/>
  </r>
  <r>
    <x v="3"/>
    <d v="2024-11-21T00:00:00"/>
    <n v="3"/>
    <s v="Service Booked"/>
    <x v="7"/>
    <n v="0.3"/>
    <n v="357.3"/>
    <n v="1191"/>
    <n v="833.7"/>
  </r>
  <r>
    <x v="3"/>
    <d v="2024-11-21T00:00:00"/>
    <n v="3"/>
    <s v="Service Booked"/>
    <x v="4"/>
    <n v="0.3"/>
    <n v="171.9"/>
    <n v="573"/>
    <n v="401.1"/>
  </r>
  <r>
    <x v="2"/>
    <d v="2024-11-21T00:00:00"/>
    <n v="3"/>
    <s v="In Progress"/>
    <x v="7"/>
    <n v="0.3"/>
    <n v="266.39999999999998"/>
    <n v="888"/>
    <n v="621.6"/>
  </r>
  <r>
    <x v="2"/>
    <d v="2024-11-21T00:00:00"/>
    <n v="2"/>
    <s v="Service Booked"/>
    <x v="3"/>
    <n v="0.3"/>
    <n v="187.5"/>
    <n v="625"/>
    <n v="437.5"/>
  </r>
  <r>
    <x v="4"/>
    <d v="2024-11-22T00:00:00"/>
    <n v="1"/>
    <s v="Delivered"/>
    <x v="4"/>
    <n v="0.25"/>
    <n v="97.75"/>
    <n v="391"/>
    <n v="293.25"/>
  </r>
  <r>
    <x v="3"/>
    <d v="2024-11-22T00:00:00"/>
    <n v="3"/>
    <s v="Delivered"/>
    <x v="4"/>
    <n v="0.3"/>
    <n v="236.1"/>
    <n v="787"/>
    <n v="550.9"/>
  </r>
  <r>
    <x v="4"/>
    <d v="2024-11-22T00:00:00"/>
    <n v="1"/>
    <s v="Service Booked"/>
    <x v="5"/>
    <n v="0.25"/>
    <n v="120"/>
    <n v="480"/>
    <n v="360"/>
  </r>
  <r>
    <x v="0"/>
    <d v="2024-11-23T00:00:00"/>
    <n v="3"/>
    <s v="Service Booked"/>
    <x v="2"/>
    <n v="0.25"/>
    <n v="44"/>
    <n v="176"/>
    <n v="132"/>
  </r>
  <r>
    <x v="5"/>
    <d v="2024-11-23T00:00:00"/>
    <n v="2"/>
    <s v="Delivered"/>
    <x v="5"/>
    <n v="0.2"/>
    <n v="238"/>
    <n v="1190"/>
    <n v="952"/>
  </r>
  <r>
    <x v="1"/>
    <d v="2024-11-23T00:00:00"/>
    <n v="3"/>
    <s v="Delivered"/>
    <x v="1"/>
    <n v="0.1"/>
    <n v="72.599999999999994"/>
    <n v="726"/>
    <n v="653.4"/>
  </r>
  <r>
    <x v="5"/>
    <d v="2024-11-23T00:00:00"/>
    <n v="3"/>
    <s v="Delivered"/>
    <x v="1"/>
    <n v="0.2"/>
    <n v="290"/>
    <n v="1450"/>
    <n v="1160"/>
  </r>
  <r>
    <x v="4"/>
    <d v="2024-11-24T00:00:00"/>
    <n v="1"/>
    <s v="Service Booked"/>
    <x v="5"/>
    <n v="0.25"/>
    <n v="141.25"/>
    <n v="565"/>
    <n v="423.75"/>
  </r>
  <r>
    <x v="4"/>
    <d v="2024-11-24T00:00:00"/>
    <n v="1"/>
    <s v="Cancelled"/>
    <x v="3"/>
    <n v="0.25"/>
    <n v="234.75"/>
    <n v="939"/>
    <n v="704.25"/>
  </r>
  <r>
    <x v="1"/>
    <d v="2024-11-24T00:00:00"/>
    <n v="3"/>
    <s v="Delivered"/>
    <x v="6"/>
    <n v="0.1"/>
    <n v="30.6"/>
    <n v="306"/>
    <n v="275.39999999999998"/>
  </r>
  <r>
    <x v="0"/>
    <d v="2024-11-24T00:00:00"/>
    <n v="2"/>
    <s v="In Progress"/>
    <x v="7"/>
    <n v="0.25"/>
    <n v="387.25"/>
    <n v="1549"/>
    <n v="1161.75"/>
  </r>
  <r>
    <x v="4"/>
    <d v="2024-11-25T00:00:00"/>
    <n v="2"/>
    <s v="In Progress"/>
    <x v="0"/>
    <n v="0.25"/>
    <n v="271.5"/>
    <n v="1086"/>
    <n v="814.5"/>
  </r>
  <r>
    <x v="4"/>
    <d v="2024-11-25T00:00:00"/>
    <n v="2"/>
    <s v="Delivered"/>
    <x v="4"/>
    <n v="0.25"/>
    <n v="112"/>
    <n v="448"/>
    <n v="336"/>
  </r>
  <r>
    <x v="1"/>
    <d v="2024-11-26T00:00:00"/>
    <n v="2"/>
    <s v="In Progress"/>
    <x v="2"/>
    <n v="0.1"/>
    <n v="103.4"/>
    <n v="1034"/>
    <n v="930.6"/>
  </r>
  <r>
    <x v="5"/>
    <d v="2024-11-26T00:00:00"/>
    <n v="3"/>
    <s v="Service Booked"/>
    <x v="6"/>
    <n v="0.2"/>
    <n v="79"/>
    <n v="395"/>
    <n v="316"/>
  </r>
  <r>
    <x v="1"/>
    <d v="2024-11-26T00:00:00"/>
    <n v="3"/>
    <s v="Service Booked"/>
    <x v="1"/>
    <n v="0.1"/>
    <n v="143.19999999999999"/>
    <n v="1432"/>
    <n v="1288.8"/>
  </r>
  <r>
    <x v="2"/>
    <d v="2024-11-26T00:00:00"/>
    <n v="3"/>
    <s v="Service Booked"/>
    <x v="3"/>
    <n v="0.3"/>
    <n v="6.9"/>
    <n v="23"/>
    <n v="16.100000000000001"/>
  </r>
  <r>
    <x v="4"/>
    <d v="2024-11-26T00:00:00"/>
    <n v="1"/>
    <s v="Service Booked"/>
    <x v="2"/>
    <n v="0.25"/>
    <n v="463"/>
    <n v="1852"/>
    <n v="1389"/>
  </r>
  <r>
    <x v="0"/>
    <d v="2024-11-27T00:00:00"/>
    <n v="1"/>
    <s v="Delivered"/>
    <x v="7"/>
    <n v="0.25"/>
    <n v="301.75"/>
    <n v="1207"/>
    <n v="905.25"/>
  </r>
  <r>
    <x v="5"/>
    <d v="2024-11-28T00:00:00"/>
    <n v="1"/>
    <s v="Service Booked"/>
    <x v="2"/>
    <n v="0.2"/>
    <n v="271"/>
    <n v="1355"/>
    <n v="1084"/>
  </r>
  <r>
    <x v="2"/>
    <d v="2024-11-29T00:00:00"/>
    <n v="1"/>
    <s v="Service Booked"/>
    <x v="4"/>
    <n v="0.3"/>
    <n v="370.5"/>
    <n v="1235"/>
    <n v="864.5"/>
  </r>
  <r>
    <x v="1"/>
    <d v="2024-11-29T00:00:00"/>
    <n v="3"/>
    <s v="Cancelled"/>
    <x v="7"/>
    <n v="0.1"/>
    <n v="132.9"/>
    <n v="1329"/>
    <n v="1196.0999999999999"/>
  </r>
  <r>
    <x v="0"/>
    <d v="2024-11-29T00:00:00"/>
    <n v="3"/>
    <s v="In Progress"/>
    <x v="3"/>
    <n v="0.25"/>
    <n v="319.75"/>
    <n v="1279"/>
    <n v="959.25"/>
  </r>
  <r>
    <x v="1"/>
    <d v="2024-11-30T00:00:00"/>
    <n v="3"/>
    <s v="Service Booked"/>
    <x v="5"/>
    <n v="0.1"/>
    <n v="62"/>
    <n v="620"/>
    <n v="558"/>
  </r>
  <r>
    <x v="4"/>
    <d v="2024-11-30T00:00:00"/>
    <n v="1"/>
    <s v="Delivered"/>
    <x v="3"/>
    <n v="0.25"/>
    <n v="356.25"/>
    <n v="1425"/>
    <n v="1068.75"/>
  </r>
  <r>
    <x v="4"/>
    <d v="2024-12-01T00:00:00"/>
    <n v="3"/>
    <s v="Service Booked"/>
    <x v="6"/>
    <n v="0.25"/>
    <n v="12"/>
    <n v="48"/>
    <n v="36"/>
  </r>
  <r>
    <x v="3"/>
    <d v="2024-12-02T00:00:00"/>
    <n v="1"/>
    <s v="Delivered"/>
    <x v="3"/>
    <n v="0.3"/>
    <n v="58.5"/>
    <n v="195"/>
    <n v="136.5"/>
  </r>
  <r>
    <x v="0"/>
    <d v="2024-12-02T00:00:00"/>
    <n v="2"/>
    <s v="Service Booked"/>
    <x v="3"/>
    <n v="0.25"/>
    <n v="121.25"/>
    <n v="485"/>
    <n v="363.75"/>
  </r>
  <r>
    <x v="1"/>
    <d v="2024-12-03T00:00:00"/>
    <n v="3"/>
    <s v="Service Booked"/>
    <x v="5"/>
    <n v="0.1"/>
    <n v="29.9"/>
    <n v="299"/>
    <n v="269.10000000000002"/>
  </r>
  <r>
    <x v="0"/>
    <d v="2024-12-04T00:00:00"/>
    <n v="3"/>
    <s v="Delivered"/>
    <x v="4"/>
    <n v="0.25"/>
    <n v="419.75"/>
    <n v="1679"/>
    <n v="1259.25"/>
  </r>
  <r>
    <x v="3"/>
    <d v="2024-12-04T00:00:00"/>
    <n v="1"/>
    <s v="Service Booked"/>
    <x v="4"/>
    <n v="0.3"/>
    <n v="239.7"/>
    <n v="799"/>
    <n v="559.29999999999995"/>
  </r>
  <r>
    <x v="4"/>
    <d v="2024-12-05T00:00:00"/>
    <n v="1"/>
    <s v="Delivered"/>
    <x v="5"/>
    <n v="0.25"/>
    <n v="420.75"/>
    <n v="1683"/>
    <n v="1262.25"/>
  </r>
  <r>
    <x v="2"/>
    <d v="2024-12-05T00:00:00"/>
    <n v="3"/>
    <s v="Service Booked"/>
    <x v="2"/>
    <n v="0.3"/>
    <n v="499.5"/>
    <n v="1665"/>
    <n v="1165.5"/>
  </r>
  <r>
    <x v="0"/>
    <d v="2024-12-05T00:00:00"/>
    <n v="1"/>
    <s v="Delivered"/>
    <x v="3"/>
    <n v="0.25"/>
    <n v="85"/>
    <n v="340"/>
    <n v="255"/>
  </r>
  <r>
    <x v="5"/>
    <d v="2024-12-05T00:00:00"/>
    <n v="1"/>
    <s v="Cancelled"/>
    <x v="5"/>
    <n v="0.2"/>
    <n v="261.60000000000002"/>
    <n v="1308"/>
    <n v="1046.4000000000001"/>
  </r>
  <r>
    <x v="4"/>
    <d v="2024-12-06T00:00:00"/>
    <n v="1"/>
    <s v="Service Booked"/>
    <x v="4"/>
    <n v="0.25"/>
    <n v="168.75"/>
    <n v="675"/>
    <n v="506.25"/>
  </r>
  <r>
    <x v="3"/>
    <d v="2024-12-07T00:00:00"/>
    <n v="3"/>
    <s v="Delivered"/>
    <x v="5"/>
    <n v="0.3"/>
    <n v="456.3"/>
    <n v="1521"/>
    <n v="1064.7"/>
  </r>
  <r>
    <x v="2"/>
    <d v="2024-12-07T00:00:00"/>
    <n v="1"/>
    <s v="In Progress"/>
    <x v="5"/>
    <n v="0.3"/>
    <n v="235.5"/>
    <n v="785"/>
    <n v="549.5"/>
  </r>
  <r>
    <x v="0"/>
    <d v="2024-12-07T00:00:00"/>
    <n v="3"/>
    <s v="Service Booked"/>
    <x v="7"/>
    <n v="0.25"/>
    <n v="116.25"/>
    <n v="465"/>
    <n v="348.75"/>
  </r>
  <r>
    <x v="1"/>
    <d v="2024-12-07T00:00:00"/>
    <n v="1"/>
    <s v="Delivered"/>
    <x v="4"/>
    <n v="0.1"/>
    <n v="170.3"/>
    <n v="1703"/>
    <n v="1532.7"/>
  </r>
  <r>
    <x v="0"/>
    <d v="2024-12-08T00:00:00"/>
    <n v="3"/>
    <s v="Delivered"/>
    <x v="6"/>
    <n v="0.25"/>
    <n v="191.5"/>
    <n v="766"/>
    <n v="574.5"/>
  </r>
  <r>
    <x v="2"/>
    <d v="2024-12-09T00:00:00"/>
    <n v="2"/>
    <s v="Service Booked"/>
    <x v="6"/>
    <n v="0.3"/>
    <n v="319.8"/>
    <n v="1066"/>
    <n v="746.2"/>
  </r>
  <r>
    <x v="0"/>
    <d v="2024-12-10T00:00:00"/>
    <n v="3"/>
    <s v="Service Booked"/>
    <x v="7"/>
    <n v="0.25"/>
    <n v="276"/>
    <n v="1104"/>
    <n v="828"/>
  </r>
  <r>
    <x v="5"/>
    <d v="2024-12-10T00:00:00"/>
    <n v="1"/>
    <s v="In Progress"/>
    <x v="3"/>
    <n v="0.2"/>
    <n v="230.6"/>
    <n v="1153"/>
    <n v="922.4"/>
  </r>
  <r>
    <x v="1"/>
    <d v="2024-12-10T00:00:00"/>
    <n v="1"/>
    <s v="Delivered"/>
    <x v="2"/>
    <n v="0.1"/>
    <n v="184.5"/>
    <n v="1845"/>
    <n v="1660.5"/>
  </r>
  <r>
    <x v="0"/>
    <d v="2024-12-11T00:00:00"/>
    <n v="1"/>
    <s v="Delivered"/>
    <x v="0"/>
    <n v="0.25"/>
    <n v="406.75"/>
    <n v="1627"/>
    <n v="1220.25"/>
  </r>
  <r>
    <x v="5"/>
    <d v="2024-12-11T00:00:00"/>
    <n v="2"/>
    <s v="In Progress"/>
    <x v="0"/>
    <n v="0.2"/>
    <n v="115.2"/>
    <n v="576"/>
    <n v="460.8"/>
  </r>
  <r>
    <x v="0"/>
    <d v="2024-12-11T00:00:00"/>
    <n v="2"/>
    <s v="Service Booked"/>
    <x v="6"/>
    <n v="0.25"/>
    <n v="109.75"/>
    <n v="439"/>
    <n v="329.25"/>
  </r>
  <r>
    <x v="5"/>
    <d v="2024-12-11T00:00:00"/>
    <n v="1"/>
    <s v="In Progress"/>
    <x v="3"/>
    <n v="0.2"/>
    <n v="142.6"/>
    <n v="713"/>
    <n v="570.4"/>
  </r>
  <r>
    <x v="0"/>
    <d v="2024-12-13T00:00:00"/>
    <n v="3"/>
    <s v="Service Booked"/>
    <x v="3"/>
    <n v="0.25"/>
    <n v="4.5"/>
    <n v="18"/>
    <n v="13.5"/>
  </r>
  <r>
    <x v="3"/>
    <d v="2024-12-13T00:00:00"/>
    <n v="3"/>
    <s v="Service Booked"/>
    <x v="7"/>
    <n v="0.3"/>
    <n v="240.9"/>
    <n v="803"/>
    <n v="562.1"/>
  </r>
  <r>
    <x v="4"/>
    <d v="2024-12-13T00:00:00"/>
    <n v="1"/>
    <s v="Service Booked"/>
    <x v="2"/>
    <n v="0.25"/>
    <n v="151.75"/>
    <n v="607"/>
    <n v="455.25"/>
  </r>
  <r>
    <x v="0"/>
    <d v="2024-12-13T00:00:00"/>
    <n v="1"/>
    <s v="Delivered"/>
    <x v="4"/>
    <n v="0.25"/>
    <n v="79.75"/>
    <n v="319"/>
    <n v="239.25"/>
  </r>
  <r>
    <x v="4"/>
    <d v="2024-12-14T00:00:00"/>
    <n v="1"/>
    <s v="In Progress"/>
    <x v="5"/>
    <n v="0.25"/>
    <n v="19.5"/>
    <n v="78"/>
    <n v="58.5"/>
  </r>
  <r>
    <x v="3"/>
    <d v="2024-12-14T00:00:00"/>
    <n v="2"/>
    <s v="Service Booked"/>
    <x v="0"/>
    <n v="0.3"/>
    <n v="393.3"/>
    <n v="1311"/>
    <n v="917.7"/>
  </r>
  <r>
    <x v="0"/>
    <d v="2024-12-14T00:00:00"/>
    <n v="3"/>
    <s v="Service Booked"/>
    <x v="1"/>
    <n v="0.25"/>
    <n v="397.5"/>
    <n v="1590"/>
    <n v="1192.5"/>
  </r>
  <r>
    <x v="1"/>
    <d v="2024-12-14T00:00:00"/>
    <n v="3"/>
    <s v="Cancelled"/>
    <x v="5"/>
    <n v="0.1"/>
    <n v="153.9"/>
    <n v="1539"/>
    <n v="1385.1"/>
  </r>
  <r>
    <x v="5"/>
    <d v="2024-12-14T00:00:00"/>
    <n v="1"/>
    <s v="Service Booked"/>
    <x v="4"/>
    <n v="0.2"/>
    <n v="230.6"/>
    <n v="1153"/>
    <n v="922.4"/>
  </r>
  <r>
    <x v="0"/>
    <d v="2024-12-14T00:00:00"/>
    <n v="3"/>
    <s v="Service Booked"/>
    <x v="2"/>
    <n v="0.25"/>
    <n v="466.25"/>
    <n v="1865"/>
    <n v="1398.75"/>
  </r>
  <r>
    <x v="0"/>
    <d v="2024-12-15T00:00:00"/>
    <n v="1"/>
    <s v="Delivered"/>
    <x v="6"/>
    <n v="0.25"/>
    <n v="166.25"/>
    <n v="665"/>
    <n v="498.75"/>
  </r>
  <r>
    <x v="5"/>
    <d v="2024-12-16T00:00:00"/>
    <n v="2"/>
    <s v="Service Booked"/>
    <x v="5"/>
    <n v="0.2"/>
    <n v="38.200000000000003"/>
    <n v="191"/>
    <n v="152.80000000000001"/>
  </r>
  <r>
    <x v="2"/>
    <d v="2024-12-16T00:00:00"/>
    <n v="3"/>
    <s v="Delivered"/>
    <x v="0"/>
    <n v="0.3"/>
    <n v="109.8"/>
    <n v="366"/>
    <n v="256.2"/>
  </r>
  <r>
    <x v="3"/>
    <d v="2024-12-16T00:00:00"/>
    <n v="3"/>
    <s v="Service Booked"/>
    <x v="4"/>
    <n v="0.3"/>
    <n v="38.1"/>
    <n v="127"/>
    <n v="88.9"/>
  </r>
  <r>
    <x v="0"/>
    <d v="2024-12-16T00:00:00"/>
    <n v="2"/>
    <s v="Delivered"/>
    <x v="7"/>
    <n v="0.25"/>
    <n v="220.5"/>
    <n v="882"/>
    <n v="661.5"/>
  </r>
  <r>
    <x v="3"/>
    <d v="2024-12-16T00:00:00"/>
    <n v="3"/>
    <s v="Delivered"/>
    <x v="5"/>
    <n v="0.3"/>
    <n v="434.1"/>
    <n v="1447"/>
    <n v="1012.9"/>
  </r>
  <r>
    <x v="2"/>
    <d v="2024-12-16T00:00:00"/>
    <n v="2"/>
    <s v="In Progress"/>
    <x v="2"/>
    <n v="0.3"/>
    <n v="307.8"/>
    <n v="1026"/>
    <n v="718.2"/>
  </r>
  <r>
    <x v="1"/>
    <d v="2024-12-16T00:00:00"/>
    <n v="3"/>
    <s v="Service Booked"/>
    <x v="1"/>
    <n v="0.1"/>
    <n v="159.6"/>
    <n v="1596"/>
    <n v="1436.4"/>
  </r>
  <r>
    <x v="5"/>
    <d v="2024-12-16T00:00:00"/>
    <n v="2"/>
    <s v="Delivered"/>
    <x v="1"/>
    <n v="0.2"/>
    <n v="268.39999999999998"/>
    <n v="1342"/>
    <n v="1073.5999999999999"/>
  </r>
  <r>
    <x v="3"/>
    <d v="2024-12-17T00:00:00"/>
    <n v="3"/>
    <s v="Cancelled"/>
    <x v="2"/>
    <n v="0.3"/>
    <n v="282.60000000000002"/>
    <n v="942"/>
    <n v="659.4"/>
  </r>
  <r>
    <x v="0"/>
    <d v="2024-12-18T00:00:00"/>
    <n v="2"/>
    <s v="In Progress"/>
    <x v="0"/>
    <n v="0.25"/>
    <n v="135.25"/>
    <n v="541"/>
    <n v="405.75"/>
  </r>
  <r>
    <x v="5"/>
    <d v="2024-12-18T00:00:00"/>
    <n v="1"/>
    <s v="Delivered"/>
    <x v="0"/>
    <n v="0.2"/>
    <n v="224.8"/>
    <n v="1124"/>
    <n v="899.2"/>
  </r>
  <r>
    <x v="1"/>
    <d v="2024-12-19T00:00:00"/>
    <n v="2"/>
    <s v="Delivered"/>
    <x v="1"/>
    <n v="0.1"/>
    <n v="56.4"/>
    <n v="564"/>
    <n v="507.6"/>
  </r>
  <r>
    <x v="0"/>
    <d v="2024-12-19T00:00:00"/>
    <n v="2"/>
    <s v="Service Booked"/>
    <x v="1"/>
    <n v="0.25"/>
    <n v="436.25"/>
    <n v="1745"/>
    <n v="1308.75"/>
  </r>
  <r>
    <x v="4"/>
    <d v="2024-12-19T00:00:00"/>
    <n v="3"/>
    <s v="Service Booked"/>
    <x v="3"/>
    <n v="0.25"/>
    <n v="379"/>
    <n v="1516"/>
    <n v="1137"/>
  </r>
  <r>
    <x v="2"/>
    <d v="2024-12-20T00:00:00"/>
    <n v="3"/>
    <s v="Service Booked"/>
    <x v="2"/>
    <n v="0.3"/>
    <n v="280.5"/>
    <n v="935"/>
    <n v="654.5"/>
  </r>
  <r>
    <x v="4"/>
    <d v="2024-12-20T00:00:00"/>
    <n v="2"/>
    <s v="Delivered"/>
    <x v="0"/>
    <n v="0.25"/>
    <n v="339.5"/>
    <n v="1358"/>
    <n v="1018.5"/>
  </r>
  <r>
    <x v="0"/>
    <d v="2024-12-20T00:00:00"/>
    <n v="3"/>
    <s v="Service Booked"/>
    <x v="6"/>
    <n v="0.25"/>
    <n v="464.75"/>
    <n v="1859"/>
    <n v="1394.25"/>
  </r>
  <r>
    <x v="0"/>
    <d v="2024-12-20T00:00:00"/>
    <n v="1"/>
    <s v="Service Booked"/>
    <x v="4"/>
    <n v="0.25"/>
    <n v="247.75"/>
    <n v="991"/>
    <n v="743.25"/>
  </r>
  <r>
    <x v="4"/>
    <d v="2024-12-21T00:00:00"/>
    <n v="3"/>
    <s v="Delivered"/>
    <x v="5"/>
    <n v="0.25"/>
    <n v="363.75"/>
    <n v="1455"/>
    <n v="1091.25"/>
  </r>
  <r>
    <x v="3"/>
    <d v="2024-12-21T00:00:00"/>
    <n v="2"/>
    <s v="Service Booked"/>
    <x v="1"/>
    <n v="0.3"/>
    <n v="182.7"/>
    <n v="609"/>
    <n v="426.3"/>
  </r>
  <r>
    <x v="1"/>
    <d v="2024-12-21T00:00:00"/>
    <n v="3"/>
    <s v="Service Booked"/>
    <x v="2"/>
    <n v="0.1"/>
    <n v="37"/>
    <n v="370"/>
    <n v="333"/>
  </r>
  <r>
    <x v="0"/>
    <d v="2024-12-22T00:00:00"/>
    <n v="3"/>
    <s v="In Progress"/>
    <x v="0"/>
    <n v="0.25"/>
    <n v="195.25"/>
    <n v="781"/>
    <n v="585.75"/>
  </r>
  <r>
    <x v="4"/>
    <d v="2024-12-22T00:00:00"/>
    <n v="2"/>
    <s v="Delivered"/>
    <x v="2"/>
    <n v="0.25"/>
    <n v="219.75"/>
    <n v="879"/>
    <n v="659.25"/>
  </r>
  <r>
    <x v="0"/>
    <d v="2024-12-22T00:00:00"/>
    <n v="2"/>
    <s v="Delivered"/>
    <x v="0"/>
    <n v="0.25"/>
    <n v="363"/>
    <n v="1452"/>
    <n v="1089"/>
  </r>
  <r>
    <x v="2"/>
    <d v="2024-12-22T00:00:00"/>
    <n v="3"/>
    <s v="Delivered"/>
    <x v="7"/>
    <n v="0.3"/>
    <n v="443.7"/>
    <n v="1479"/>
    <n v="1035.3"/>
  </r>
  <r>
    <x v="1"/>
    <d v="2024-12-22T00:00:00"/>
    <n v="2"/>
    <s v="In Progress"/>
    <x v="5"/>
    <n v="0.1"/>
    <n v="113.1"/>
    <n v="1131"/>
    <n v="1017.9"/>
  </r>
  <r>
    <x v="3"/>
    <d v="2024-12-23T00:00:00"/>
    <n v="3"/>
    <s v="Service Booked"/>
    <x v="3"/>
    <n v="0.3"/>
    <n v="364.8"/>
    <n v="1216"/>
    <n v="851.2"/>
  </r>
  <r>
    <x v="3"/>
    <d v="2024-12-24T00:00:00"/>
    <n v="2"/>
    <s v="Service Booked"/>
    <x v="7"/>
    <n v="0.3"/>
    <n v="443.1"/>
    <n v="1477"/>
    <n v="1033.9000000000001"/>
  </r>
  <r>
    <x v="0"/>
    <d v="2024-12-24T00:00:00"/>
    <n v="2"/>
    <s v="Service Booked"/>
    <x v="3"/>
    <n v="0.25"/>
    <n v="17.25"/>
    <n v="69"/>
    <n v="51.75"/>
  </r>
  <r>
    <x v="3"/>
    <d v="2024-12-25T00:00:00"/>
    <n v="3"/>
    <s v="Service Booked"/>
    <x v="0"/>
    <n v="0.3"/>
    <n v="324"/>
    <n v="1080"/>
    <n v="756"/>
  </r>
  <r>
    <x v="5"/>
    <d v="2024-12-25T00:00:00"/>
    <n v="1"/>
    <s v="In Progress"/>
    <x v="2"/>
    <n v="0.2"/>
    <n v="84.6"/>
    <n v="423"/>
    <n v="338.4"/>
  </r>
  <r>
    <x v="5"/>
    <d v="2024-12-25T00:00:00"/>
    <n v="3"/>
    <s v="Service Booked"/>
    <x v="7"/>
    <n v="0.2"/>
    <n v="137"/>
    <n v="685"/>
    <n v="548"/>
  </r>
  <r>
    <x v="2"/>
    <d v="2024-12-25T00:00:00"/>
    <n v="2"/>
    <s v="Service Booked"/>
    <x v="1"/>
    <n v="0.3"/>
    <n v="276.3"/>
    <n v="921"/>
    <n v="644.70000000000005"/>
  </r>
  <r>
    <x v="0"/>
    <d v="2024-12-26T00:00:00"/>
    <n v="2"/>
    <s v="Delivered"/>
    <x v="2"/>
    <n v="0.25"/>
    <n v="184.5"/>
    <n v="738"/>
    <n v="553.5"/>
  </r>
  <r>
    <x v="2"/>
    <d v="2024-12-27T00:00:00"/>
    <n v="2"/>
    <s v="Service Booked"/>
    <x v="2"/>
    <n v="0.3"/>
    <n v="143.1"/>
    <n v="477"/>
    <n v="333.9"/>
  </r>
  <r>
    <x v="1"/>
    <d v="2024-12-27T00:00:00"/>
    <n v="3"/>
    <s v="Service Booked"/>
    <x v="0"/>
    <n v="0.1"/>
    <n v="24.6"/>
    <n v="246"/>
    <n v="221.4"/>
  </r>
  <r>
    <x v="0"/>
    <d v="2024-12-27T00:00:00"/>
    <n v="2"/>
    <s v="Service Booked"/>
    <x v="3"/>
    <n v="0.25"/>
    <n v="151.75"/>
    <n v="607"/>
    <n v="455.25"/>
  </r>
  <r>
    <x v="4"/>
    <d v="2024-12-28T00:00:00"/>
    <n v="2"/>
    <s v="Delivered"/>
    <x v="0"/>
    <n v="0.25"/>
    <n v="56"/>
    <n v="224"/>
    <n v="168"/>
  </r>
  <r>
    <x v="3"/>
    <d v="2024-12-28T00:00:00"/>
    <n v="3"/>
    <s v="Service Booked"/>
    <x v="7"/>
    <n v="0.3"/>
    <n v="210.6"/>
    <n v="702"/>
    <n v="491.4"/>
  </r>
  <r>
    <x v="4"/>
    <d v="2024-12-29T00:00:00"/>
    <n v="1"/>
    <s v="Service Booked"/>
    <x v="2"/>
    <n v="0.25"/>
    <n v="120"/>
    <n v="480"/>
    <n v="360"/>
  </r>
  <r>
    <x v="3"/>
    <d v="2024-12-30T00:00:00"/>
    <n v="3"/>
    <s v="In Progress"/>
    <x v="6"/>
    <n v="0.3"/>
    <n v="299.10000000000002"/>
    <n v="997"/>
    <n v="697.9"/>
  </r>
  <r>
    <x v="4"/>
    <d v="2024-12-30T00:00:00"/>
    <n v="1"/>
    <s v="Service Booked"/>
    <x v="3"/>
    <n v="0.25"/>
    <n v="261.5"/>
    <n v="1046"/>
    <n v="784.5"/>
  </r>
  <r>
    <x v="3"/>
    <d v="2024-12-31T00:00:00"/>
    <n v="3"/>
    <s v="Delivered"/>
    <x v="7"/>
    <n v="0.3"/>
    <n v="249"/>
    <n v="830"/>
    <n v="581"/>
  </r>
  <r>
    <x v="2"/>
    <d v="2024-12-31T00:00:00"/>
    <n v="1"/>
    <s v="Service Booked"/>
    <x v="0"/>
    <n v="0.3"/>
    <n v="347.7"/>
    <n v="1159"/>
    <n v="811.3"/>
  </r>
  <r>
    <x v="5"/>
    <d v="2024-12-31T00:00:00"/>
    <n v="3"/>
    <s v="In Progress"/>
    <x v="1"/>
    <n v="0.2"/>
    <n v="63.6"/>
    <n v="318"/>
    <n v="254.4"/>
  </r>
  <r>
    <x v="2"/>
    <d v="2024-12-31T00:00:00"/>
    <n v="2"/>
    <s v="Delivered"/>
    <x v="3"/>
    <n v="0.3"/>
    <n v="62.4"/>
    <n v="208"/>
    <n v="145.6"/>
  </r>
  <r>
    <x v="5"/>
    <d v="2024-12-31T00:00:00"/>
    <n v="3"/>
    <s v="Delivered"/>
    <x v="5"/>
    <n v="0.2"/>
    <n v="276.8"/>
    <n v="1384"/>
    <n v="1107.2"/>
  </r>
  <r>
    <x v="6"/>
    <m/>
    <m/>
    <m/>
    <x v="8"/>
    <m/>
    <m/>
    <m/>
    <m/>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1">
  <r>
    <x v="0"/>
    <x v="0"/>
    <s v="Service Booked"/>
    <x v="0"/>
    <x v="0"/>
    <n v="279.25"/>
    <n v="1117"/>
    <n v="837.75"/>
  </r>
  <r>
    <x v="0"/>
    <x v="1"/>
    <s v="Delivered"/>
    <x v="1"/>
    <x v="1"/>
    <n v="179"/>
    <n v="1790"/>
    <n v="1611"/>
  </r>
  <r>
    <x v="0"/>
    <x v="2"/>
    <s v="Delivered"/>
    <x v="2"/>
    <x v="2"/>
    <n v="479.7"/>
    <n v="1599"/>
    <n v="1119.3"/>
  </r>
  <r>
    <x v="0"/>
    <x v="2"/>
    <s v="Delivered"/>
    <x v="3"/>
    <x v="1"/>
    <n v="25.9"/>
    <n v="259"/>
    <n v="233.1"/>
  </r>
  <r>
    <x v="0"/>
    <x v="1"/>
    <s v="Delivered"/>
    <x v="2"/>
    <x v="1"/>
    <n v="23.4"/>
    <n v="234"/>
    <n v="210.6"/>
  </r>
  <r>
    <x v="0"/>
    <x v="0"/>
    <s v="In Progress"/>
    <x v="0"/>
    <x v="2"/>
    <n v="429.6"/>
    <n v="1432"/>
    <n v="1002.4"/>
  </r>
  <r>
    <x v="0"/>
    <x v="2"/>
    <s v="In Progress"/>
    <x v="0"/>
    <x v="0"/>
    <n v="22.5"/>
    <n v="90"/>
    <n v="67.5"/>
  </r>
  <r>
    <x v="0"/>
    <x v="2"/>
    <s v="Service Booked"/>
    <x v="4"/>
    <x v="1"/>
    <n v="68.3"/>
    <n v="683"/>
    <n v="614.70000000000005"/>
  </r>
  <r>
    <x v="0"/>
    <x v="2"/>
    <s v="In Progress"/>
    <x v="5"/>
    <x v="2"/>
    <n v="263.10000000000002"/>
    <n v="877"/>
    <n v="613.9"/>
  </r>
  <r>
    <x v="0"/>
    <x v="1"/>
    <s v="Service Booked"/>
    <x v="2"/>
    <x v="2"/>
    <n v="3.3"/>
    <n v="11"/>
    <n v="7.7"/>
  </r>
  <r>
    <x v="0"/>
    <x v="2"/>
    <s v="Delivered"/>
    <x v="2"/>
    <x v="0"/>
    <n v="83.5"/>
    <n v="334"/>
    <n v="250.5"/>
  </r>
  <r>
    <x v="0"/>
    <x v="0"/>
    <s v="Delivered"/>
    <x v="1"/>
    <x v="2"/>
    <n v="258.3"/>
    <n v="861"/>
    <n v="602.70000000000005"/>
  </r>
  <r>
    <x v="0"/>
    <x v="0"/>
    <s v="Delivered"/>
    <x v="6"/>
    <x v="0"/>
    <n v="137"/>
    <n v="548"/>
    <n v="411"/>
  </r>
  <r>
    <x v="0"/>
    <x v="2"/>
    <s v="Service Booked"/>
    <x v="2"/>
    <x v="1"/>
    <n v="48.6"/>
    <n v="486"/>
    <n v="437.4"/>
  </r>
  <r>
    <x v="0"/>
    <x v="0"/>
    <s v="Service Booked"/>
    <x v="1"/>
    <x v="0"/>
    <n v="6.75"/>
    <n v="27"/>
    <n v="20.25"/>
  </r>
  <r>
    <x v="0"/>
    <x v="2"/>
    <s v="Delivered"/>
    <x v="5"/>
    <x v="2"/>
    <n v="500.1"/>
    <n v="1667"/>
    <n v="1166.9000000000001"/>
  </r>
  <r>
    <x v="0"/>
    <x v="0"/>
    <s v="Delivered"/>
    <x v="5"/>
    <x v="1"/>
    <n v="113.4"/>
    <n v="1134"/>
    <n v="1020.6"/>
  </r>
  <r>
    <x v="0"/>
    <x v="2"/>
    <s v="Service Booked"/>
    <x v="5"/>
    <x v="2"/>
    <n v="345.3"/>
    <n v="1151"/>
    <n v="805.7"/>
  </r>
  <r>
    <x v="0"/>
    <x v="0"/>
    <s v="Service Booked"/>
    <x v="4"/>
    <x v="2"/>
    <n v="405.9"/>
    <n v="1353"/>
    <n v="947.1"/>
  </r>
  <r>
    <x v="0"/>
    <x v="0"/>
    <s v="Cancelled"/>
    <x v="4"/>
    <x v="1"/>
    <n v="175.1"/>
    <n v="1751"/>
    <n v="1575.9"/>
  </r>
  <r>
    <x v="0"/>
    <x v="2"/>
    <s v="Service Booked"/>
    <x v="2"/>
    <x v="2"/>
    <n v="290.39999999999998"/>
    <n v="968"/>
    <n v="677.6"/>
  </r>
  <r>
    <x v="0"/>
    <x v="2"/>
    <s v="Delivered"/>
    <x v="4"/>
    <x v="0"/>
    <n v="110.5"/>
    <n v="442"/>
    <n v="331.5"/>
  </r>
  <r>
    <x v="0"/>
    <x v="2"/>
    <s v="Service Booked"/>
    <x v="7"/>
    <x v="3"/>
    <n v="216.6"/>
    <n v="1083"/>
    <n v="866.4"/>
  </r>
  <r>
    <x v="0"/>
    <x v="1"/>
    <s v="Cancelled"/>
    <x v="3"/>
    <x v="0"/>
    <n v="181.5"/>
    <n v="726"/>
    <n v="544.5"/>
  </r>
  <r>
    <x v="0"/>
    <x v="1"/>
    <s v="Delivered"/>
    <x v="1"/>
    <x v="3"/>
    <n v="217"/>
    <n v="1085"/>
    <n v="868"/>
  </r>
  <r>
    <x v="0"/>
    <x v="1"/>
    <s v="Cancelled"/>
    <x v="1"/>
    <x v="3"/>
    <n v="154.6"/>
    <n v="773"/>
    <n v="618.4"/>
  </r>
  <r>
    <x v="0"/>
    <x v="0"/>
    <s v="Delivered"/>
    <x v="6"/>
    <x v="0"/>
    <n v="345.25"/>
    <n v="1381"/>
    <n v="1035.75"/>
  </r>
  <r>
    <x v="0"/>
    <x v="2"/>
    <s v="Delivered"/>
    <x v="0"/>
    <x v="2"/>
    <n v="414.3"/>
    <n v="1381"/>
    <n v="966.7"/>
  </r>
  <r>
    <x v="0"/>
    <x v="0"/>
    <s v="Delivered"/>
    <x v="0"/>
    <x v="3"/>
    <n v="9.8000000000000007"/>
    <n v="49"/>
    <n v="39.200000000000003"/>
  </r>
  <r>
    <x v="0"/>
    <x v="0"/>
    <s v="Delivered"/>
    <x v="2"/>
    <x v="0"/>
    <n v="385"/>
    <n v="1540"/>
    <n v="1155"/>
  </r>
  <r>
    <x v="0"/>
    <x v="1"/>
    <s v="Delivered"/>
    <x v="2"/>
    <x v="3"/>
    <n v="42.4"/>
    <n v="212"/>
    <n v="169.6"/>
  </r>
  <r>
    <x v="0"/>
    <x v="0"/>
    <s v="Delivered"/>
    <x v="6"/>
    <x v="0"/>
    <n v="48.75"/>
    <n v="195"/>
    <n v="146.25"/>
  </r>
  <r>
    <x v="0"/>
    <x v="1"/>
    <s v="Service Booked"/>
    <x v="0"/>
    <x v="2"/>
    <n v="77.7"/>
    <n v="259"/>
    <n v="181.3"/>
  </r>
  <r>
    <x v="0"/>
    <x v="0"/>
    <s v="Delivered"/>
    <x v="1"/>
    <x v="3"/>
    <n v="82"/>
    <n v="410"/>
    <n v="328"/>
  </r>
  <r>
    <x v="0"/>
    <x v="0"/>
    <s v="Delivered"/>
    <x v="5"/>
    <x v="0"/>
    <n v="137.75"/>
    <n v="551"/>
    <n v="413.25"/>
  </r>
  <r>
    <x v="0"/>
    <x v="2"/>
    <s v="In Progress"/>
    <x v="0"/>
    <x v="0"/>
    <n v="107.75"/>
    <n v="431"/>
    <n v="323.25"/>
  </r>
  <r>
    <x v="0"/>
    <x v="2"/>
    <s v="Delivered"/>
    <x v="1"/>
    <x v="0"/>
    <n v="279"/>
    <n v="1116"/>
    <n v="837"/>
  </r>
  <r>
    <x v="0"/>
    <x v="2"/>
    <s v="Delivered"/>
    <x v="3"/>
    <x v="2"/>
    <n v="352.5"/>
    <n v="1175"/>
    <n v="822.5"/>
  </r>
  <r>
    <x v="0"/>
    <x v="2"/>
    <s v="Delivered"/>
    <x v="6"/>
    <x v="2"/>
    <n v="233.7"/>
    <n v="779"/>
    <n v="545.29999999999995"/>
  </r>
  <r>
    <x v="0"/>
    <x v="0"/>
    <s v="Cancelled"/>
    <x v="7"/>
    <x v="0"/>
    <n v="405.5"/>
    <n v="1622"/>
    <n v="1216.5"/>
  </r>
  <r>
    <x v="0"/>
    <x v="1"/>
    <s v="Delivered"/>
    <x v="0"/>
    <x v="2"/>
    <n v="38.700000000000003"/>
    <n v="129"/>
    <n v="90.3"/>
  </r>
  <r>
    <x v="0"/>
    <x v="1"/>
    <s v="Service Booked"/>
    <x v="5"/>
    <x v="0"/>
    <n v="175.25"/>
    <n v="701"/>
    <n v="525.75"/>
  </r>
  <r>
    <x v="0"/>
    <x v="2"/>
    <s v="Service Booked"/>
    <x v="5"/>
    <x v="1"/>
    <n v="110.5"/>
    <n v="1105"/>
    <n v="994.5"/>
  </r>
  <r>
    <x v="0"/>
    <x v="2"/>
    <s v="Service Booked"/>
    <x v="4"/>
    <x v="0"/>
    <n v="341.5"/>
    <n v="1366"/>
    <n v="1024.5"/>
  </r>
  <r>
    <x v="0"/>
    <x v="0"/>
    <s v="Service Booked"/>
    <x v="3"/>
    <x v="2"/>
    <n v="210.6"/>
    <n v="702"/>
    <n v="491.4"/>
  </r>
  <r>
    <x v="0"/>
    <x v="0"/>
    <s v="Delivered"/>
    <x v="7"/>
    <x v="1"/>
    <n v="169.3"/>
    <n v="1693"/>
    <n v="1523.7"/>
  </r>
  <r>
    <x v="0"/>
    <x v="2"/>
    <s v="Service Booked"/>
    <x v="0"/>
    <x v="1"/>
    <n v="167.4"/>
    <n v="1674"/>
    <n v="1506.6"/>
  </r>
  <r>
    <x v="0"/>
    <x v="1"/>
    <s v="Service Booked"/>
    <x v="5"/>
    <x v="3"/>
    <n v="359.2"/>
    <n v="1796"/>
    <n v="1436.8"/>
  </r>
  <r>
    <x v="0"/>
    <x v="1"/>
    <s v="Delivered"/>
    <x v="4"/>
    <x v="1"/>
    <n v="159.30000000000001"/>
    <n v="1593"/>
    <n v="1433.7"/>
  </r>
  <r>
    <x v="0"/>
    <x v="1"/>
    <s v="Service Booked"/>
    <x v="6"/>
    <x v="0"/>
    <n v="243.5"/>
    <n v="974"/>
    <n v="730.5"/>
  </r>
  <r>
    <x v="0"/>
    <x v="0"/>
    <s v="In Progress"/>
    <x v="0"/>
    <x v="1"/>
    <n v="59"/>
    <n v="590"/>
    <n v="531"/>
  </r>
  <r>
    <x v="0"/>
    <x v="0"/>
    <s v="Delivered"/>
    <x v="3"/>
    <x v="3"/>
    <n v="319.2"/>
    <n v="1596"/>
    <n v="1276.8"/>
  </r>
  <r>
    <x v="0"/>
    <x v="2"/>
    <s v="In Progress"/>
    <x v="2"/>
    <x v="0"/>
    <n v="233.25"/>
    <n v="933"/>
    <n v="699.75"/>
  </r>
  <r>
    <x v="0"/>
    <x v="2"/>
    <s v="In Progress"/>
    <x v="1"/>
    <x v="3"/>
    <n v="95.8"/>
    <n v="479"/>
    <n v="383.2"/>
  </r>
  <r>
    <x v="0"/>
    <x v="0"/>
    <s v="In Progress"/>
    <x v="7"/>
    <x v="2"/>
    <n v="356.1"/>
    <n v="1187"/>
    <n v="830.9"/>
  </r>
  <r>
    <x v="0"/>
    <x v="2"/>
    <s v="Service Booked"/>
    <x v="2"/>
    <x v="1"/>
    <n v="122.8"/>
    <n v="1228"/>
    <n v="1105.2"/>
  </r>
  <r>
    <x v="0"/>
    <x v="2"/>
    <s v="Delivered"/>
    <x v="4"/>
    <x v="0"/>
    <n v="170"/>
    <n v="680"/>
    <n v="510"/>
  </r>
  <r>
    <x v="0"/>
    <x v="0"/>
    <s v="In Progress"/>
    <x v="7"/>
    <x v="2"/>
    <n v="78.599999999999994"/>
    <n v="262"/>
    <n v="183.4"/>
  </r>
  <r>
    <x v="0"/>
    <x v="1"/>
    <s v="Cancelled"/>
    <x v="0"/>
    <x v="0"/>
    <n v="406.75"/>
    <n v="1627"/>
    <n v="1220.25"/>
  </r>
  <r>
    <x v="0"/>
    <x v="1"/>
    <s v="Service Booked"/>
    <x v="0"/>
    <x v="2"/>
    <n v="71.7"/>
    <n v="239"/>
    <n v="167.3"/>
  </r>
  <r>
    <x v="0"/>
    <x v="0"/>
    <s v="Delivered"/>
    <x v="5"/>
    <x v="0"/>
    <n v="67"/>
    <n v="268"/>
    <n v="201"/>
  </r>
  <r>
    <x v="0"/>
    <x v="0"/>
    <s v="Service Booked"/>
    <x v="2"/>
    <x v="0"/>
    <n v="53.5"/>
    <n v="214"/>
    <n v="160.5"/>
  </r>
  <r>
    <x v="0"/>
    <x v="0"/>
    <s v="Cancelled"/>
    <x v="4"/>
    <x v="1"/>
    <n v="66.599999999999994"/>
    <n v="666"/>
    <n v="599.4"/>
  </r>
  <r>
    <x v="0"/>
    <x v="1"/>
    <s v="Delivered"/>
    <x v="1"/>
    <x v="2"/>
    <n v="64.5"/>
    <n v="215"/>
    <n v="150.5"/>
  </r>
  <r>
    <x v="0"/>
    <x v="1"/>
    <s v="Service Booked"/>
    <x v="1"/>
    <x v="1"/>
    <n v="183.6"/>
    <n v="1836"/>
    <n v="1652.4"/>
  </r>
  <r>
    <x v="0"/>
    <x v="0"/>
    <s v="In Progress"/>
    <x v="7"/>
    <x v="2"/>
    <n v="39"/>
    <n v="130"/>
    <n v="91"/>
  </r>
  <r>
    <x v="0"/>
    <x v="0"/>
    <s v="Service Booked"/>
    <x v="4"/>
    <x v="2"/>
    <n v="371.1"/>
    <n v="1237"/>
    <n v="865.9"/>
  </r>
  <r>
    <x v="0"/>
    <x v="2"/>
    <s v="Delivered"/>
    <x v="4"/>
    <x v="3"/>
    <n v="102.6"/>
    <n v="513"/>
    <n v="410.4"/>
  </r>
  <r>
    <x v="0"/>
    <x v="2"/>
    <s v="In Progress"/>
    <x v="5"/>
    <x v="1"/>
    <n v="59.8"/>
    <n v="598"/>
    <n v="538.20000000000005"/>
  </r>
  <r>
    <x v="0"/>
    <x v="2"/>
    <s v="Delivered"/>
    <x v="5"/>
    <x v="1"/>
    <n v="160.30000000000001"/>
    <n v="1603"/>
    <n v="1442.7"/>
  </r>
  <r>
    <x v="0"/>
    <x v="1"/>
    <s v="Service Booked"/>
    <x v="2"/>
    <x v="0"/>
    <n v="314.5"/>
    <n v="1258"/>
    <n v="943.5"/>
  </r>
  <r>
    <x v="0"/>
    <x v="1"/>
    <s v="Delivered"/>
    <x v="4"/>
    <x v="0"/>
    <n v="95"/>
    <n v="380"/>
    <n v="285"/>
  </r>
  <r>
    <x v="0"/>
    <x v="2"/>
    <s v="Cancelled"/>
    <x v="1"/>
    <x v="2"/>
    <n v="335.7"/>
    <n v="1119"/>
    <n v="783.3"/>
  </r>
  <r>
    <x v="1"/>
    <x v="0"/>
    <s v="Delivered"/>
    <x v="1"/>
    <x v="0"/>
    <n v="168.75"/>
    <n v="675"/>
    <n v="506.25"/>
  </r>
  <r>
    <x v="1"/>
    <x v="2"/>
    <s v="Delivered"/>
    <x v="1"/>
    <x v="0"/>
    <n v="411"/>
    <n v="1644"/>
    <n v="1233"/>
  </r>
  <r>
    <x v="1"/>
    <x v="1"/>
    <s v="Service Booked"/>
    <x v="5"/>
    <x v="3"/>
    <n v="177.2"/>
    <n v="886"/>
    <n v="708.8"/>
  </r>
  <r>
    <x v="1"/>
    <x v="0"/>
    <s v="Service Booked"/>
    <x v="3"/>
    <x v="3"/>
    <n v="73"/>
    <n v="365"/>
    <n v="292"/>
  </r>
  <r>
    <x v="1"/>
    <x v="2"/>
    <s v="Service Booked"/>
    <x v="6"/>
    <x v="1"/>
    <n v="34.4"/>
    <n v="344"/>
    <n v="309.60000000000002"/>
  </r>
  <r>
    <x v="1"/>
    <x v="1"/>
    <s v="Cancelled"/>
    <x v="1"/>
    <x v="3"/>
    <n v="333.4"/>
    <n v="1667"/>
    <n v="1333.6"/>
  </r>
  <r>
    <x v="1"/>
    <x v="1"/>
    <s v="Delivered"/>
    <x v="5"/>
    <x v="2"/>
    <n v="5.0999999999999996"/>
    <n v="17"/>
    <n v="11.9"/>
  </r>
  <r>
    <x v="1"/>
    <x v="1"/>
    <s v="Service Booked"/>
    <x v="5"/>
    <x v="2"/>
    <n v="312.3"/>
    <n v="1041"/>
    <n v="728.7"/>
  </r>
  <r>
    <x v="1"/>
    <x v="1"/>
    <s v="Delivered"/>
    <x v="4"/>
    <x v="0"/>
    <n v="400.75"/>
    <n v="1603"/>
    <n v="1202.25"/>
  </r>
  <r>
    <x v="1"/>
    <x v="2"/>
    <s v="Service Booked"/>
    <x v="5"/>
    <x v="3"/>
    <n v="170.6"/>
    <n v="853"/>
    <n v="682.4"/>
  </r>
  <r>
    <x v="1"/>
    <x v="0"/>
    <s v="Service Booked"/>
    <x v="7"/>
    <x v="0"/>
    <n v="102.75"/>
    <n v="411"/>
    <n v="308.25"/>
  </r>
  <r>
    <x v="1"/>
    <x v="0"/>
    <s v="Cancelled"/>
    <x v="4"/>
    <x v="0"/>
    <n v="272.75"/>
    <n v="1091"/>
    <n v="818.25"/>
  </r>
  <r>
    <x v="1"/>
    <x v="2"/>
    <s v="Cancelled"/>
    <x v="4"/>
    <x v="0"/>
    <n v="100.75"/>
    <n v="403"/>
    <n v="302.25"/>
  </r>
  <r>
    <x v="1"/>
    <x v="0"/>
    <s v="Cancelled"/>
    <x v="1"/>
    <x v="0"/>
    <n v="373.75"/>
    <n v="1495"/>
    <n v="1121.25"/>
  </r>
  <r>
    <x v="1"/>
    <x v="1"/>
    <s v="Service Booked"/>
    <x v="1"/>
    <x v="0"/>
    <n v="62.5"/>
    <n v="250"/>
    <n v="187.5"/>
  </r>
  <r>
    <x v="1"/>
    <x v="2"/>
    <s v="Delivered"/>
    <x v="4"/>
    <x v="2"/>
    <n v="310.8"/>
    <n v="1036"/>
    <n v="725.2"/>
  </r>
  <r>
    <x v="1"/>
    <x v="2"/>
    <s v="Cancelled"/>
    <x v="3"/>
    <x v="3"/>
    <n v="233.6"/>
    <n v="1168"/>
    <n v="934.4"/>
  </r>
  <r>
    <x v="1"/>
    <x v="0"/>
    <s v="Cancelled"/>
    <x v="3"/>
    <x v="2"/>
    <n v="324.3"/>
    <n v="1081"/>
    <n v="756.7"/>
  </r>
  <r>
    <x v="1"/>
    <x v="0"/>
    <s v="Service Booked"/>
    <x v="5"/>
    <x v="0"/>
    <n v="386.75"/>
    <n v="1547"/>
    <n v="1160.25"/>
  </r>
  <r>
    <x v="1"/>
    <x v="0"/>
    <s v="Delivered"/>
    <x v="0"/>
    <x v="2"/>
    <n v="152.1"/>
    <n v="507"/>
    <n v="354.9"/>
  </r>
  <r>
    <x v="1"/>
    <x v="2"/>
    <s v="In Progress"/>
    <x v="4"/>
    <x v="2"/>
    <n v="117"/>
    <n v="390"/>
    <n v="273"/>
  </r>
  <r>
    <x v="1"/>
    <x v="0"/>
    <s v="Delivered"/>
    <x v="3"/>
    <x v="0"/>
    <n v="239.5"/>
    <n v="958"/>
    <n v="718.5"/>
  </r>
  <r>
    <x v="1"/>
    <x v="0"/>
    <s v="In Progress"/>
    <x v="6"/>
    <x v="0"/>
    <n v="86.75"/>
    <n v="347"/>
    <n v="260.25"/>
  </r>
  <r>
    <x v="1"/>
    <x v="0"/>
    <s v="Service Booked"/>
    <x v="6"/>
    <x v="0"/>
    <n v="353.25"/>
    <n v="1413"/>
    <n v="1059.75"/>
  </r>
  <r>
    <x v="1"/>
    <x v="0"/>
    <s v="Delivered"/>
    <x v="0"/>
    <x v="1"/>
    <n v="138.4"/>
    <n v="1384"/>
    <n v="1245.5999999999999"/>
  </r>
  <r>
    <x v="1"/>
    <x v="0"/>
    <s v="In Progress"/>
    <x v="1"/>
    <x v="1"/>
    <n v="28.6"/>
    <n v="286"/>
    <n v="257.39999999999998"/>
  </r>
  <r>
    <x v="1"/>
    <x v="1"/>
    <s v="Delivered"/>
    <x v="5"/>
    <x v="1"/>
    <n v="159.6"/>
    <n v="1596"/>
    <n v="1436.4"/>
  </r>
  <r>
    <x v="1"/>
    <x v="1"/>
    <s v="Service Booked"/>
    <x v="3"/>
    <x v="2"/>
    <n v="385.2"/>
    <n v="1284"/>
    <n v="898.8"/>
  </r>
  <r>
    <x v="1"/>
    <x v="1"/>
    <s v="In Progress"/>
    <x v="5"/>
    <x v="0"/>
    <n v="260.5"/>
    <n v="1042"/>
    <n v="781.5"/>
  </r>
  <r>
    <x v="1"/>
    <x v="2"/>
    <s v="In Progress"/>
    <x v="0"/>
    <x v="3"/>
    <n v="296.39999999999998"/>
    <n v="1482"/>
    <n v="1185.5999999999999"/>
  </r>
  <r>
    <x v="1"/>
    <x v="1"/>
    <s v="Delivered"/>
    <x v="3"/>
    <x v="2"/>
    <n v="384.9"/>
    <n v="1283"/>
    <n v="898.1"/>
  </r>
  <r>
    <x v="1"/>
    <x v="1"/>
    <s v="Delivered"/>
    <x v="4"/>
    <x v="2"/>
    <n v="431.1"/>
    <n v="1437"/>
    <n v="1005.9"/>
  </r>
  <r>
    <x v="1"/>
    <x v="0"/>
    <s v="Delivered"/>
    <x v="2"/>
    <x v="3"/>
    <n v="302.2"/>
    <n v="1511"/>
    <n v="1208.8"/>
  </r>
  <r>
    <x v="1"/>
    <x v="1"/>
    <s v="Delivered"/>
    <x v="0"/>
    <x v="2"/>
    <n v="105.9"/>
    <n v="353"/>
    <n v="247.1"/>
  </r>
  <r>
    <x v="1"/>
    <x v="0"/>
    <s v="Delivered"/>
    <x v="6"/>
    <x v="0"/>
    <n v="259.5"/>
    <n v="1038"/>
    <n v="778.5"/>
  </r>
  <r>
    <x v="1"/>
    <x v="0"/>
    <s v="Delivered"/>
    <x v="3"/>
    <x v="0"/>
    <n v="268.75"/>
    <n v="1075"/>
    <n v="806.25"/>
  </r>
  <r>
    <x v="1"/>
    <x v="2"/>
    <s v="Delivered"/>
    <x v="0"/>
    <x v="3"/>
    <n v="319"/>
    <n v="1595"/>
    <n v="1276"/>
  </r>
  <r>
    <x v="1"/>
    <x v="1"/>
    <s v="In Progress"/>
    <x v="3"/>
    <x v="1"/>
    <n v="171.3"/>
    <n v="1713"/>
    <n v="1541.7"/>
  </r>
  <r>
    <x v="1"/>
    <x v="2"/>
    <s v="Delivered"/>
    <x v="5"/>
    <x v="1"/>
    <n v="178.2"/>
    <n v="1782"/>
    <n v="1603.8"/>
  </r>
  <r>
    <x v="1"/>
    <x v="1"/>
    <s v="Delivered"/>
    <x v="3"/>
    <x v="0"/>
    <n v="166.75"/>
    <n v="667"/>
    <n v="500.25"/>
  </r>
  <r>
    <x v="1"/>
    <x v="0"/>
    <s v="Cancelled"/>
    <x v="5"/>
    <x v="3"/>
    <n v="253.6"/>
    <n v="1268"/>
    <n v="1014.4"/>
  </r>
  <r>
    <x v="1"/>
    <x v="0"/>
    <s v="Service Booked"/>
    <x v="7"/>
    <x v="0"/>
    <n v="294"/>
    <n v="1176"/>
    <n v="882"/>
  </r>
  <r>
    <x v="1"/>
    <x v="1"/>
    <s v="Service Booked"/>
    <x v="0"/>
    <x v="1"/>
    <n v="91.1"/>
    <n v="911"/>
    <n v="819.9"/>
  </r>
  <r>
    <x v="1"/>
    <x v="1"/>
    <s v="In Progress"/>
    <x v="6"/>
    <x v="2"/>
    <n v="12"/>
    <n v="40"/>
    <n v="28"/>
  </r>
  <r>
    <x v="1"/>
    <x v="1"/>
    <s v="In Progress"/>
    <x v="4"/>
    <x v="2"/>
    <n v="319.5"/>
    <n v="1065"/>
    <n v="745.5"/>
  </r>
  <r>
    <x v="1"/>
    <x v="1"/>
    <s v="Delivered"/>
    <x v="6"/>
    <x v="0"/>
    <n v="380.75"/>
    <n v="1523"/>
    <n v="1142.25"/>
  </r>
  <r>
    <x v="1"/>
    <x v="0"/>
    <s v="Delivered"/>
    <x v="0"/>
    <x v="2"/>
    <n v="522.9"/>
    <n v="1743"/>
    <n v="1220.0999999999999"/>
  </r>
  <r>
    <x v="1"/>
    <x v="0"/>
    <s v="Service Booked"/>
    <x v="5"/>
    <x v="3"/>
    <n v="240.4"/>
    <n v="1202"/>
    <n v="961.6"/>
  </r>
  <r>
    <x v="1"/>
    <x v="2"/>
    <s v="Delivered"/>
    <x v="5"/>
    <x v="2"/>
    <n v="119.7"/>
    <n v="399"/>
    <n v="279.3"/>
  </r>
  <r>
    <x v="1"/>
    <x v="1"/>
    <s v="Service Booked"/>
    <x v="7"/>
    <x v="1"/>
    <n v="94.5"/>
    <n v="945"/>
    <n v="850.5"/>
  </r>
  <r>
    <x v="1"/>
    <x v="0"/>
    <s v="Delivered"/>
    <x v="0"/>
    <x v="0"/>
    <n v="348.5"/>
    <n v="1394"/>
    <n v="1045.5"/>
  </r>
  <r>
    <x v="1"/>
    <x v="1"/>
    <s v="Delivered"/>
    <x v="0"/>
    <x v="0"/>
    <n v="285.75"/>
    <n v="1143"/>
    <n v="857.25"/>
  </r>
  <r>
    <x v="1"/>
    <x v="1"/>
    <s v="In Progress"/>
    <x v="0"/>
    <x v="1"/>
    <n v="128.30000000000001"/>
    <n v="1283"/>
    <n v="1154.7"/>
  </r>
  <r>
    <x v="1"/>
    <x v="0"/>
    <s v="Service Booked"/>
    <x v="0"/>
    <x v="3"/>
    <n v="291.2"/>
    <n v="1456"/>
    <n v="1164.8"/>
  </r>
  <r>
    <x v="1"/>
    <x v="0"/>
    <s v="Service Booked"/>
    <x v="7"/>
    <x v="0"/>
    <n v="289.75"/>
    <n v="1159"/>
    <n v="869.25"/>
  </r>
  <r>
    <x v="1"/>
    <x v="0"/>
    <s v="In Progress"/>
    <x v="1"/>
    <x v="0"/>
    <n v="108.25"/>
    <n v="433"/>
    <n v="324.75"/>
  </r>
  <r>
    <x v="1"/>
    <x v="0"/>
    <s v="Cancelled"/>
    <x v="5"/>
    <x v="2"/>
    <n v="168.3"/>
    <n v="561"/>
    <n v="392.7"/>
  </r>
  <r>
    <x v="1"/>
    <x v="0"/>
    <s v="Service Booked"/>
    <x v="0"/>
    <x v="2"/>
    <n v="459.6"/>
    <n v="1532"/>
    <n v="1072.4000000000001"/>
  </r>
  <r>
    <x v="1"/>
    <x v="0"/>
    <s v="Service Booked"/>
    <x v="0"/>
    <x v="3"/>
    <n v="245.2"/>
    <n v="1226"/>
    <n v="980.8"/>
  </r>
  <r>
    <x v="1"/>
    <x v="2"/>
    <s v="Cancelled"/>
    <x v="3"/>
    <x v="0"/>
    <n v="294.5"/>
    <n v="1178"/>
    <n v="883.5"/>
  </r>
  <r>
    <x v="1"/>
    <x v="1"/>
    <s v="Service Booked"/>
    <x v="7"/>
    <x v="2"/>
    <n v="309.3"/>
    <n v="1031"/>
    <n v="721.7"/>
  </r>
  <r>
    <x v="1"/>
    <x v="1"/>
    <s v="Service Booked"/>
    <x v="2"/>
    <x v="0"/>
    <n v="4.25"/>
    <n v="17"/>
    <n v="12.75"/>
  </r>
  <r>
    <x v="1"/>
    <x v="2"/>
    <s v="In Progress"/>
    <x v="4"/>
    <x v="1"/>
    <n v="59.1"/>
    <n v="591"/>
    <n v="531.9"/>
  </r>
  <r>
    <x v="1"/>
    <x v="2"/>
    <s v="Delivered"/>
    <x v="7"/>
    <x v="3"/>
    <n v="138.4"/>
    <n v="692"/>
    <n v="553.6"/>
  </r>
  <r>
    <x v="1"/>
    <x v="2"/>
    <s v="Service Booked"/>
    <x v="1"/>
    <x v="3"/>
    <n v="193"/>
    <n v="965"/>
    <n v="772"/>
  </r>
  <r>
    <x v="1"/>
    <x v="1"/>
    <s v="Delivered"/>
    <x v="7"/>
    <x v="0"/>
    <n v="219"/>
    <n v="876"/>
    <n v="657"/>
  </r>
  <r>
    <x v="1"/>
    <x v="1"/>
    <s v="Delivered"/>
    <x v="7"/>
    <x v="3"/>
    <n v="178"/>
    <n v="890"/>
    <n v="712"/>
  </r>
  <r>
    <x v="1"/>
    <x v="2"/>
    <s v="Delivered"/>
    <x v="2"/>
    <x v="0"/>
    <n v="213.5"/>
    <n v="854"/>
    <n v="640.5"/>
  </r>
  <r>
    <x v="1"/>
    <x v="0"/>
    <s v="Service Booked"/>
    <x v="7"/>
    <x v="0"/>
    <n v="323.25"/>
    <n v="1293"/>
    <n v="969.75"/>
  </r>
  <r>
    <x v="1"/>
    <x v="0"/>
    <s v="Service Booked"/>
    <x v="3"/>
    <x v="1"/>
    <n v="79.400000000000006"/>
    <n v="794"/>
    <n v="714.6"/>
  </r>
  <r>
    <x v="1"/>
    <x v="0"/>
    <s v="In Progress"/>
    <x v="1"/>
    <x v="2"/>
    <n v="364.5"/>
    <n v="1215"/>
    <n v="850.5"/>
  </r>
  <r>
    <x v="1"/>
    <x v="2"/>
    <s v="Delivered"/>
    <x v="2"/>
    <x v="0"/>
    <n v="80.25"/>
    <n v="321"/>
    <n v="240.75"/>
  </r>
  <r>
    <x v="1"/>
    <x v="0"/>
    <s v="Service Booked"/>
    <x v="2"/>
    <x v="3"/>
    <n v="298.60000000000002"/>
    <n v="1493"/>
    <n v="1194.4000000000001"/>
  </r>
  <r>
    <x v="1"/>
    <x v="2"/>
    <s v="Service Booked"/>
    <x v="5"/>
    <x v="2"/>
    <n v="351.3"/>
    <n v="1171"/>
    <n v="819.7"/>
  </r>
  <r>
    <x v="1"/>
    <x v="1"/>
    <s v="Service Booked"/>
    <x v="0"/>
    <x v="0"/>
    <n v="40.5"/>
    <n v="162"/>
    <n v="121.5"/>
  </r>
  <r>
    <x v="1"/>
    <x v="1"/>
    <s v="Delivered"/>
    <x v="3"/>
    <x v="0"/>
    <n v="356.5"/>
    <n v="1426"/>
    <n v="1069.5"/>
  </r>
  <r>
    <x v="1"/>
    <x v="2"/>
    <s v="Delivered"/>
    <x v="2"/>
    <x v="0"/>
    <n v="309.75"/>
    <n v="1239"/>
    <n v="929.25"/>
  </r>
  <r>
    <x v="1"/>
    <x v="2"/>
    <s v="Service Booked"/>
    <x v="5"/>
    <x v="1"/>
    <n v="30.5"/>
    <n v="305"/>
    <n v="274.5"/>
  </r>
  <r>
    <x v="2"/>
    <x v="0"/>
    <s v="Delivered"/>
    <x v="5"/>
    <x v="2"/>
    <n v="94.2"/>
    <n v="314"/>
    <n v="219.8"/>
  </r>
  <r>
    <x v="2"/>
    <x v="0"/>
    <s v="Service Booked"/>
    <x v="0"/>
    <x v="3"/>
    <n v="115"/>
    <n v="575"/>
    <n v="460"/>
  </r>
  <r>
    <x v="2"/>
    <x v="1"/>
    <s v="Service Booked"/>
    <x v="0"/>
    <x v="0"/>
    <n v="353.75"/>
    <n v="1415"/>
    <n v="1061.25"/>
  </r>
  <r>
    <x v="2"/>
    <x v="1"/>
    <s v="Service Booked"/>
    <x v="5"/>
    <x v="0"/>
    <n v="75.25"/>
    <n v="301"/>
    <n v="225.75"/>
  </r>
  <r>
    <x v="2"/>
    <x v="2"/>
    <s v="Service Booked"/>
    <x v="7"/>
    <x v="0"/>
    <n v="403.75"/>
    <n v="1615"/>
    <n v="1211.25"/>
  </r>
  <r>
    <x v="2"/>
    <x v="1"/>
    <s v="Delivered"/>
    <x v="6"/>
    <x v="0"/>
    <n v="222.25"/>
    <n v="889"/>
    <n v="666.75"/>
  </r>
  <r>
    <x v="2"/>
    <x v="1"/>
    <s v="In Progress"/>
    <x v="2"/>
    <x v="0"/>
    <n v="127.75"/>
    <n v="511"/>
    <n v="383.25"/>
  </r>
  <r>
    <x v="2"/>
    <x v="1"/>
    <s v="Delivered"/>
    <x v="4"/>
    <x v="2"/>
    <n v="5.0999999999999996"/>
    <n v="17"/>
    <n v="11.9"/>
  </r>
  <r>
    <x v="2"/>
    <x v="0"/>
    <s v="Service Booked"/>
    <x v="0"/>
    <x v="2"/>
    <n v="423.3"/>
    <n v="1411"/>
    <n v="987.7"/>
  </r>
  <r>
    <x v="2"/>
    <x v="1"/>
    <s v="Delivered"/>
    <x v="3"/>
    <x v="2"/>
    <n v="110.7"/>
    <n v="369"/>
    <n v="258.3"/>
  </r>
  <r>
    <x v="2"/>
    <x v="2"/>
    <s v="In Progress"/>
    <x v="2"/>
    <x v="0"/>
    <n v="168.75"/>
    <n v="675"/>
    <n v="506.25"/>
  </r>
  <r>
    <x v="2"/>
    <x v="0"/>
    <s v="Delivered"/>
    <x v="4"/>
    <x v="1"/>
    <n v="58.9"/>
    <n v="589"/>
    <n v="530.1"/>
  </r>
  <r>
    <x v="2"/>
    <x v="0"/>
    <s v="Delivered"/>
    <x v="4"/>
    <x v="1"/>
    <n v="173.2"/>
    <n v="1732"/>
    <n v="1558.8"/>
  </r>
  <r>
    <x v="2"/>
    <x v="2"/>
    <s v="Cancelled"/>
    <x v="1"/>
    <x v="0"/>
    <n v="439.5"/>
    <n v="1758"/>
    <n v="1318.5"/>
  </r>
  <r>
    <x v="2"/>
    <x v="0"/>
    <s v="Delivered"/>
    <x v="0"/>
    <x v="2"/>
    <n v="558"/>
    <n v="1860"/>
    <n v="1302"/>
  </r>
  <r>
    <x v="2"/>
    <x v="0"/>
    <s v="Delivered"/>
    <x v="0"/>
    <x v="0"/>
    <n v="309.25"/>
    <n v="1237"/>
    <n v="927.75"/>
  </r>
  <r>
    <x v="2"/>
    <x v="2"/>
    <s v="Service Booked"/>
    <x v="1"/>
    <x v="1"/>
    <n v="70.400000000000006"/>
    <n v="704"/>
    <n v="633.6"/>
  </r>
  <r>
    <x v="2"/>
    <x v="0"/>
    <s v="Cancelled"/>
    <x v="7"/>
    <x v="0"/>
    <n v="261.25"/>
    <n v="1045"/>
    <n v="783.75"/>
  </r>
  <r>
    <x v="2"/>
    <x v="0"/>
    <s v="Delivered"/>
    <x v="3"/>
    <x v="0"/>
    <n v="116.5"/>
    <n v="466"/>
    <n v="349.5"/>
  </r>
  <r>
    <x v="2"/>
    <x v="2"/>
    <s v="Delivered"/>
    <x v="3"/>
    <x v="0"/>
    <n v="66.75"/>
    <n v="267"/>
    <n v="200.25"/>
  </r>
  <r>
    <x v="2"/>
    <x v="1"/>
    <s v="Delivered"/>
    <x v="5"/>
    <x v="2"/>
    <n v="228.3"/>
    <n v="761"/>
    <n v="532.70000000000005"/>
  </r>
  <r>
    <x v="2"/>
    <x v="1"/>
    <s v="In Progress"/>
    <x v="0"/>
    <x v="1"/>
    <n v="96.1"/>
    <n v="961"/>
    <n v="864.9"/>
  </r>
  <r>
    <x v="2"/>
    <x v="2"/>
    <s v="Service Booked"/>
    <x v="1"/>
    <x v="0"/>
    <n v="373.5"/>
    <n v="1494"/>
    <n v="1120.5"/>
  </r>
  <r>
    <x v="2"/>
    <x v="0"/>
    <s v="Service Booked"/>
    <x v="6"/>
    <x v="3"/>
    <n v="117.8"/>
    <n v="589"/>
    <n v="471.2"/>
  </r>
  <r>
    <x v="2"/>
    <x v="1"/>
    <s v="Service Booked"/>
    <x v="6"/>
    <x v="0"/>
    <n v="90.25"/>
    <n v="361"/>
    <n v="270.75"/>
  </r>
  <r>
    <x v="2"/>
    <x v="0"/>
    <s v="Service Booked"/>
    <x v="3"/>
    <x v="1"/>
    <n v="153.19999999999999"/>
    <n v="1532"/>
    <n v="1378.8"/>
  </r>
  <r>
    <x v="2"/>
    <x v="2"/>
    <s v="Delivered"/>
    <x v="4"/>
    <x v="0"/>
    <n v="365.25"/>
    <n v="1461"/>
    <n v="1095.75"/>
  </r>
  <r>
    <x v="2"/>
    <x v="0"/>
    <s v="Delivered"/>
    <x v="1"/>
    <x v="0"/>
    <n v="374"/>
    <n v="1496"/>
    <n v="1122"/>
  </r>
  <r>
    <x v="2"/>
    <x v="0"/>
    <s v="Service Booked"/>
    <x v="3"/>
    <x v="0"/>
    <n v="275"/>
    <n v="1100"/>
    <n v="825"/>
  </r>
  <r>
    <x v="2"/>
    <x v="1"/>
    <s v="Service Booked"/>
    <x v="0"/>
    <x v="1"/>
    <n v="148"/>
    <n v="1480"/>
    <n v="1332"/>
  </r>
  <r>
    <x v="2"/>
    <x v="0"/>
    <s v="In Progress"/>
    <x v="0"/>
    <x v="0"/>
    <n v="103.75"/>
    <n v="415"/>
    <n v="311.25"/>
  </r>
  <r>
    <x v="2"/>
    <x v="2"/>
    <s v="Delivered"/>
    <x v="1"/>
    <x v="2"/>
    <n v="378"/>
    <n v="1260"/>
    <n v="882"/>
  </r>
  <r>
    <x v="2"/>
    <x v="2"/>
    <s v="In Progress"/>
    <x v="5"/>
    <x v="2"/>
    <n v="311.7"/>
    <n v="1039"/>
    <n v="727.3"/>
  </r>
  <r>
    <x v="2"/>
    <x v="0"/>
    <s v="Delivered"/>
    <x v="1"/>
    <x v="0"/>
    <n v="100.75"/>
    <n v="403"/>
    <n v="302.25"/>
  </r>
  <r>
    <x v="2"/>
    <x v="2"/>
    <s v="Service Booked"/>
    <x v="4"/>
    <x v="3"/>
    <n v="129.4"/>
    <n v="647"/>
    <n v="517.6"/>
  </r>
  <r>
    <x v="2"/>
    <x v="2"/>
    <s v="Service Booked"/>
    <x v="1"/>
    <x v="0"/>
    <n v="83.5"/>
    <n v="334"/>
    <n v="250.5"/>
  </r>
  <r>
    <x v="2"/>
    <x v="0"/>
    <s v="Cancelled"/>
    <x v="1"/>
    <x v="3"/>
    <n v="4.5999999999999996"/>
    <n v="23"/>
    <n v="18.399999999999999"/>
  </r>
  <r>
    <x v="2"/>
    <x v="1"/>
    <s v="Delivered"/>
    <x v="4"/>
    <x v="2"/>
    <n v="123.3"/>
    <n v="411"/>
    <n v="287.7"/>
  </r>
  <r>
    <x v="2"/>
    <x v="2"/>
    <s v="Service Booked"/>
    <x v="1"/>
    <x v="3"/>
    <n v="141"/>
    <n v="705"/>
    <n v="564"/>
  </r>
  <r>
    <x v="2"/>
    <x v="0"/>
    <s v="Delivered"/>
    <x v="5"/>
    <x v="0"/>
    <n v="133"/>
    <n v="532"/>
    <n v="399"/>
  </r>
  <r>
    <x v="2"/>
    <x v="1"/>
    <s v="In Progress"/>
    <x v="2"/>
    <x v="3"/>
    <n v="349.4"/>
    <n v="1747"/>
    <n v="1397.6"/>
  </r>
  <r>
    <x v="2"/>
    <x v="1"/>
    <s v="Delivered"/>
    <x v="2"/>
    <x v="1"/>
    <n v="56.1"/>
    <n v="561"/>
    <n v="504.9"/>
  </r>
  <r>
    <x v="2"/>
    <x v="0"/>
    <s v="Delivered"/>
    <x v="2"/>
    <x v="0"/>
    <n v="279.25"/>
    <n v="1117"/>
    <n v="837.75"/>
  </r>
  <r>
    <x v="2"/>
    <x v="0"/>
    <s v="Service Booked"/>
    <x v="4"/>
    <x v="2"/>
    <n v="273.3"/>
    <n v="911"/>
    <n v="637.70000000000005"/>
  </r>
  <r>
    <x v="2"/>
    <x v="0"/>
    <s v="Delivered"/>
    <x v="6"/>
    <x v="0"/>
    <n v="321.25"/>
    <n v="1285"/>
    <n v="963.75"/>
  </r>
  <r>
    <x v="2"/>
    <x v="0"/>
    <s v="Cancelled"/>
    <x v="0"/>
    <x v="0"/>
    <n v="208"/>
    <n v="832"/>
    <n v="624"/>
  </r>
  <r>
    <x v="2"/>
    <x v="1"/>
    <s v="Delivered"/>
    <x v="0"/>
    <x v="2"/>
    <n v="451.5"/>
    <n v="1505"/>
    <n v="1053.5"/>
  </r>
  <r>
    <x v="2"/>
    <x v="2"/>
    <s v="Cancelled"/>
    <x v="6"/>
    <x v="3"/>
    <n v="275.39999999999998"/>
    <n v="1377"/>
    <n v="1101.5999999999999"/>
  </r>
  <r>
    <x v="2"/>
    <x v="2"/>
    <s v="Service Booked"/>
    <x v="6"/>
    <x v="1"/>
    <n v="117.6"/>
    <n v="1176"/>
    <n v="1058.4000000000001"/>
  </r>
  <r>
    <x v="2"/>
    <x v="0"/>
    <s v="Delivered"/>
    <x v="4"/>
    <x v="2"/>
    <n v="397.5"/>
    <n v="1325"/>
    <n v="927.5"/>
  </r>
  <r>
    <x v="2"/>
    <x v="0"/>
    <s v="Delivered"/>
    <x v="7"/>
    <x v="2"/>
    <n v="162.9"/>
    <n v="543"/>
    <n v="380.1"/>
  </r>
  <r>
    <x v="2"/>
    <x v="1"/>
    <s v="Delivered"/>
    <x v="1"/>
    <x v="1"/>
    <n v="66.8"/>
    <n v="668"/>
    <n v="601.20000000000005"/>
  </r>
  <r>
    <x v="2"/>
    <x v="2"/>
    <s v="Service Booked"/>
    <x v="0"/>
    <x v="2"/>
    <n v="388.8"/>
    <n v="1296"/>
    <n v="907.2"/>
  </r>
  <r>
    <x v="2"/>
    <x v="0"/>
    <s v="Delivered"/>
    <x v="1"/>
    <x v="3"/>
    <n v="338.2"/>
    <n v="1691"/>
    <n v="1352.8"/>
  </r>
  <r>
    <x v="2"/>
    <x v="0"/>
    <s v="Delivered"/>
    <x v="3"/>
    <x v="2"/>
    <n v="515.70000000000005"/>
    <n v="1719"/>
    <n v="1203.3"/>
  </r>
  <r>
    <x v="2"/>
    <x v="0"/>
    <s v="Service Booked"/>
    <x v="5"/>
    <x v="3"/>
    <n v="223"/>
    <n v="1115"/>
    <n v="892"/>
  </r>
  <r>
    <x v="2"/>
    <x v="2"/>
    <s v="Service Booked"/>
    <x v="4"/>
    <x v="0"/>
    <n v="25.75"/>
    <n v="103"/>
    <n v="77.25"/>
  </r>
  <r>
    <x v="2"/>
    <x v="2"/>
    <s v="Service Booked"/>
    <x v="5"/>
    <x v="3"/>
    <n v="108"/>
    <n v="540"/>
    <n v="432"/>
  </r>
  <r>
    <x v="2"/>
    <x v="2"/>
    <s v="Delivered"/>
    <x v="1"/>
    <x v="0"/>
    <n v="66.75"/>
    <n v="267"/>
    <n v="200.25"/>
  </r>
  <r>
    <x v="2"/>
    <x v="1"/>
    <s v="Service Booked"/>
    <x v="6"/>
    <x v="2"/>
    <n v="365.4"/>
    <n v="1218"/>
    <n v="852.6"/>
  </r>
  <r>
    <x v="2"/>
    <x v="1"/>
    <s v="In Progress"/>
    <x v="6"/>
    <x v="0"/>
    <n v="316.75"/>
    <n v="1267"/>
    <n v="950.25"/>
  </r>
  <r>
    <x v="2"/>
    <x v="2"/>
    <s v="Delivered"/>
    <x v="7"/>
    <x v="1"/>
    <n v="134.1"/>
    <n v="1341"/>
    <n v="1206.9000000000001"/>
  </r>
  <r>
    <x v="2"/>
    <x v="0"/>
    <s v="Service Booked"/>
    <x v="2"/>
    <x v="0"/>
    <n v="7.5"/>
    <n v="30"/>
    <n v="22.5"/>
  </r>
  <r>
    <x v="2"/>
    <x v="2"/>
    <s v="Service Booked"/>
    <x v="3"/>
    <x v="0"/>
    <n v="414.5"/>
    <n v="1658"/>
    <n v="1243.5"/>
  </r>
  <r>
    <x v="2"/>
    <x v="2"/>
    <s v="In Progress"/>
    <x v="0"/>
    <x v="0"/>
    <n v="376.25"/>
    <n v="1505"/>
    <n v="1128.75"/>
  </r>
  <r>
    <x v="2"/>
    <x v="1"/>
    <s v="Service Booked"/>
    <x v="6"/>
    <x v="2"/>
    <n v="201.9"/>
    <n v="673"/>
    <n v="471.1"/>
  </r>
  <r>
    <x v="2"/>
    <x v="1"/>
    <s v="Delivered"/>
    <x v="7"/>
    <x v="3"/>
    <n v="337.8"/>
    <n v="1689"/>
    <n v="1351.2"/>
  </r>
  <r>
    <x v="2"/>
    <x v="2"/>
    <s v="In Progress"/>
    <x v="1"/>
    <x v="2"/>
    <n v="173.7"/>
    <n v="579"/>
    <n v="405.3"/>
  </r>
  <r>
    <x v="2"/>
    <x v="1"/>
    <s v="Service Booked"/>
    <x v="5"/>
    <x v="0"/>
    <n v="132.5"/>
    <n v="530"/>
    <n v="397.5"/>
  </r>
  <r>
    <x v="2"/>
    <x v="2"/>
    <s v="Delivered"/>
    <x v="4"/>
    <x v="2"/>
    <n v="454.2"/>
    <n v="1514"/>
    <n v="1059.8"/>
  </r>
  <r>
    <x v="2"/>
    <x v="0"/>
    <s v="In Progress"/>
    <x v="0"/>
    <x v="0"/>
    <n v="239.25"/>
    <n v="957"/>
    <n v="717.75"/>
  </r>
  <r>
    <x v="2"/>
    <x v="0"/>
    <s v="Service Booked"/>
    <x v="1"/>
    <x v="0"/>
    <n v="56.5"/>
    <n v="226"/>
    <n v="169.5"/>
  </r>
  <r>
    <x v="2"/>
    <x v="0"/>
    <s v="Delivered"/>
    <x v="6"/>
    <x v="0"/>
    <n v="262"/>
    <n v="1048"/>
    <n v="786"/>
  </r>
  <r>
    <x v="2"/>
    <x v="1"/>
    <s v="Delivered"/>
    <x v="2"/>
    <x v="2"/>
    <n v="491.1"/>
    <n v="1637"/>
    <n v="1145.9000000000001"/>
  </r>
  <r>
    <x v="2"/>
    <x v="0"/>
    <s v="Delivered"/>
    <x v="3"/>
    <x v="0"/>
    <n v="189"/>
    <n v="756"/>
    <n v="567"/>
  </r>
  <r>
    <x v="2"/>
    <x v="0"/>
    <s v="Delivered"/>
    <x v="6"/>
    <x v="0"/>
    <n v="198.5"/>
    <n v="794"/>
    <n v="595.5"/>
  </r>
  <r>
    <x v="2"/>
    <x v="0"/>
    <s v="Delivered"/>
    <x v="7"/>
    <x v="1"/>
    <n v="114.5"/>
    <n v="1145"/>
    <n v="1030.5"/>
  </r>
  <r>
    <x v="2"/>
    <x v="1"/>
    <s v="Service Booked"/>
    <x v="3"/>
    <x v="0"/>
    <n v="369"/>
    <n v="1476"/>
    <n v="1107"/>
  </r>
  <r>
    <x v="2"/>
    <x v="1"/>
    <s v="Cancelled"/>
    <x v="7"/>
    <x v="0"/>
    <n v="88"/>
    <n v="352"/>
    <n v="264"/>
  </r>
  <r>
    <x v="2"/>
    <x v="2"/>
    <s v="Delivered"/>
    <x v="7"/>
    <x v="0"/>
    <n v="301.75"/>
    <n v="1207"/>
    <n v="905.25"/>
  </r>
  <r>
    <x v="2"/>
    <x v="0"/>
    <s v="Service Booked"/>
    <x v="1"/>
    <x v="2"/>
    <n v="498.9"/>
    <n v="1663"/>
    <n v="1164.0999999999999"/>
  </r>
  <r>
    <x v="2"/>
    <x v="1"/>
    <s v="Service Booked"/>
    <x v="2"/>
    <x v="0"/>
    <n v="190.75"/>
    <n v="763"/>
    <n v="572.25"/>
  </r>
  <r>
    <x v="2"/>
    <x v="2"/>
    <s v="Service Booked"/>
    <x v="3"/>
    <x v="1"/>
    <n v="68"/>
    <n v="680"/>
    <n v="612"/>
  </r>
  <r>
    <x v="2"/>
    <x v="0"/>
    <s v="Delivered"/>
    <x v="6"/>
    <x v="1"/>
    <n v="116.9"/>
    <n v="1169"/>
    <n v="1052.0999999999999"/>
  </r>
  <r>
    <x v="2"/>
    <x v="2"/>
    <s v="Service Booked"/>
    <x v="6"/>
    <x v="2"/>
    <n v="141.30000000000001"/>
    <n v="471"/>
    <n v="329.7"/>
  </r>
  <r>
    <x v="2"/>
    <x v="2"/>
    <s v="Service Booked"/>
    <x v="4"/>
    <x v="0"/>
    <n v="419"/>
    <n v="1676"/>
    <n v="1257"/>
  </r>
  <r>
    <x v="2"/>
    <x v="2"/>
    <s v="Delivered"/>
    <x v="3"/>
    <x v="1"/>
    <n v="112.5"/>
    <n v="1125"/>
    <n v="1012.5"/>
  </r>
  <r>
    <x v="2"/>
    <x v="2"/>
    <s v="In Progress"/>
    <x v="6"/>
    <x v="0"/>
    <n v="64"/>
    <n v="256"/>
    <n v="192"/>
  </r>
  <r>
    <x v="2"/>
    <x v="2"/>
    <s v="Delivered"/>
    <x v="4"/>
    <x v="2"/>
    <n v="121.2"/>
    <n v="404"/>
    <n v="282.8"/>
  </r>
  <r>
    <x v="2"/>
    <x v="1"/>
    <s v="Delivered"/>
    <x v="7"/>
    <x v="0"/>
    <n v="229.5"/>
    <n v="918"/>
    <n v="688.5"/>
  </r>
  <r>
    <x v="2"/>
    <x v="0"/>
    <s v="Service Booked"/>
    <x v="2"/>
    <x v="3"/>
    <n v="83.4"/>
    <n v="417"/>
    <n v="333.6"/>
  </r>
  <r>
    <x v="2"/>
    <x v="2"/>
    <s v="Service Booked"/>
    <x v="2"/>
    <x v="3"/>
    <n v="133.19999999999999"/>
    <n v="666"/>
    <n v="532.79999999999995"/>
  </r>
  <r>
    <x v="2"/>
    <x v="2"/>
    <s v="Service Booked"/>
    <x v="3"/>
    <x v="0"/>
    <n v="214.25"/>
    <n v="857"/>
    <n v="642.75"/>
  </r>
  <r>
    <x v="2"/>
    <x v="0"/>
    <s v="Delivered"/>
    <x v="7"/>
    <x v="3"/>
    <n v="184"/>
    <n v="920"/>
    <n v="736"/>
  </r>
  <r>
    <x v="2"/>
    <x v="1"/>
    <s v="In Progress"/>
    <x v="0"/>
    <x v="1"/>
    <n v="17.600000000000001"/>
    <n v="176"/>
    <n v="158.4"/>
  </r>
  <r>
    <x v="3"/>
    <x v="0"/>
    <s v="Service Booked"/>
    <x v="7"/>
    <x v="0"/>
    <n v="200.5"/>
    <n v="802"/>
    <n v="601.5"/>
  </r>
  <r>
    <x v="3"/>
    <x v="1"/>
    <s v="Service Booked"/>
    <x v="7"/>
    <x v="2"/>
    <n v="241.8"/>
    <n v="806"/>
    <n v="564.20000000000005"/>
  </r>
  <r>
    <x v="3"/>
    <x v="0"/>
    <s v="Cancelled"/>
    <x v="6"/>
    <x v="2"/>
    <n v="390.9"/>
    <n v="1303"/>
    <n v="912.1"/>
  </r>
  <r>
    <x v="3"/>
    <x v="0"/>
    <s v="Service Booked"/>
    <x v="3"/>
    <x v="2"/>
    <n v="488.4"/>
    <n v="1628"/>
    <n v="1139.5999999999999"/>
  </r>
  <r>
    <x v="3"/>
    <x v="2"/>
    <s v="In Progress"/>
    <x v="5"/>
    <x v="3"/>
    <n v="28.8"/>
    <n v="144"/>
    <n v="115.2"/>
  </r>
  <r>
    <x v="3"/>
    <x v="1"/>
    <s v="Delivered"/>
    <x v="2"/>
    <x v="1"/>
    <n v="138.9"/>
    <n v="1389"/>
    <n v="1250.0999999999999"/>
  </r>
  <r>
    <x v="3"/>
    <x v="2"/>
    <s v="Service Booked"/>
    <x v="2"/>
    <x v="0"/>
    <n v="319.5"/>
    <n v="1278"/>
    <n v="958.5"/>
  </r>
  <r>
    <x v="3"/>
    <x v="1"/>
    <s v="Delivered"/>
    <x v="4"/>
    <x v="2"/>
    <n v="51.6"/>
    <n v="172"/>
    <n v="120.4"/>
  </r>
  <r>
    <x v="3"/>
    <x v="0"/>
    <s v="Service Booked"/>
    <x v="6"/>
    <x v="0"/>
    <n v="224.25"/>
    <n v="897"/>
    <n v="672.75"/>
  </r>
  <r>
    <x v="3"/>
    <x v="0"/>
    <s v="Cancelled"/>
    <x v="5"/>
    <x v="2"/>
    <n v="315"/>
    <n v="1050"/>
    <n v="735"/>
  </r>
  <r>
    <x v="3"/>
    <x v="0"/>
    <s v="Delivered"/>
    <x v="7"/>
    <x v="0"/>
    <n v="14.25"/>
    <n v="57"/>
    <n v="42.75"/>
  </r>
  <r>
    <x v="3"/>
    <x v="2"/>
    <s v="Delivered"/>
    <x v="5"/>
    <x v="0"/>
    <n v="40.25"/>
    <n v="161"/>
    <n v="120.75"/>
  </r>
  <r>
    <x v="3"/>
    <x v="1"/>
    <s v="Cancelled"/>
    <x v="5"/>
    <x v="2"/>
    <n v="313.5"/>
    <n v="1045"/>
    <n v="731.5"/>
  </r>
  <r>
    <x v="3"/>
    <x v="0"/>
    <s v="Delivered"/>
    <x v="4"/>
    <x v="0"/>
    <n v="361.5"/>
    <n v="1446"/>
    <n v="1084.5"/>
  </r>
  <r>
    <x v="3"/>
    <x v="1"/>
    <s v="Cancelled"/>
    <x v="3"/>
    <x v="0"/>
    <n v="142.75"/>
    <n v="571"/>
    <n v="428.25"/>
  </r>
  <r>
    <x v="3"/>
    <x v="0"/>
    <s v="Delivered"/>
    <x v="7"/>
    <x v="0"/>
    <n v="333"/>
    <n v="1332"/>
    <n v="999"/>
  </r>
  <r>
    <x v="3"/>
    <x v="1"/>
    <s v="Cancelled"/>
    <x v="3"/>
    <x v="2"/>
    <n v="112.5"/>
    <n v="375"/>
    <n v="262.5"/>
  </r>
  <r>
    <x v="3"/>
    <x v="1"/>
    <s v="Delivered"/>
    <x v="4"/>
    <x v="0"/>
    <n v="155.5"/>
    <n v="622"/>
    <n v="466.5"/>
  </r>
  <r>
    <x v="3"/>
    <x v="1"/>
    <s v="Service Booked"/>
    <x v="3"/>
    <x v="2"/>
    <n v="288.89999999999998"/>
    <n v="963"/>
    <n v="674.1"/>
  </r>
  <r>
    <x v="3"/>
    <x v="1"/>
    <s v="Service Booked"/>
    <x v="7"/>
    <x v="2"/>
    <n v="104.7"/>
    <n v="349"/>
    <n v="244.3"/>
  </r>
  <r>
    <x v="3"/>
    <x v="2"/>
    <s v="Delivered"/>
    <x v="2"/>
    <x v="1"/>
    <n v="90.8"/>
    <n v="908"/>
    <n v="817.2"/>
  </r>
  <r>
    <x v="3"/>
    <x v="1"/>
    <s v="Service Booked"/>
    <x v="3"/>
    <x v="3"/>
    <n v="145"/>
    <n v="725"/>
    <n v="580"/>
  </r>
  <r>
    <x v="3"/>
    <x v="0"/>
    <s v="Delivered"/>
    <x v="1"/>
    <x v="2"/>
    <n v="323.10000000000002"/>
    <n v="1077"/>
    <n v="753.9"/>
  </r>
  <r>
    <x v="3"/>
    <x v="0"/>
    <s v="Delivered"/>
    <x v="7"/>
    <x v="2"/>
    <n v="108"/>
    <n v="360"/>
    <n v="252"/>
  </r>
  <r>
    <x v="3"/>
    <x v="1"/>
    <s v="Delivered"/>
    <x v="0"/>
    <x v="0"/>
    <n v="430.75"/>
    <n v="1723"/>
    <n v="1292.25"/>
  </r>
  <r>
    <x v="3"/>
    <x v="0"/>
    <s v="Delivered"/>
    <x v="6"/>
    <x v="0"/>
    <n v="418.5"/>
    <n v="1674"/>
    <n v="1255.5"/>
  </r>
  <r>
    <x v="3"/>
    <x v="2"/>
    <s v="Cancelled"/>
    <x v="1"/>
    <x v="2"/>
    <n v="299.10000000000002"/>
    <n v="997"/>
    <n v="697.9"/>
  </r>
  <r>
    <x v="3"/>
    <x v="0"/>
    <s v="Delivered"/>
    <x v="3"/>
    <x v="2"/>
    <n v="414.6"/>
    <n v="1382"/>
    <n v="967.4"/>
  </r>
  <r>
    <x v="3"/>
    <x v="2"/>
    <s v="Cancelled"/>
    <x v="5"/>
    <x v="2"/>
    <n v="375"/>
    <n v="1250"/>
    <n v="875"/>
  </r>
  <r>
    <x v="3"/>
    <x v="0"/>
    <s v="In Progress"/>
    <x v="1"/>
    <x v="0"/>
    <n v="25"/>
    <n v="100"/>
    <n v="75"/>
  </r>
  <r>
    <x v="3"/>
    <x v="1"/>
    <s v="Delivered"/>
    <x v="3"/>
    <x v="2"/>
    <n v="331.5"/>
    <n v="1105"/>
    <n v="773.5"/>
  </r>
  <r>
    <x v="3"/>
    <x v="0"/>
    <s v="Delivered"/>
    <x v="7"/>
    <x v="3"/>
    <n v="198"/>
    <n v="990"/>
    <n v="792"/>
  </r>
  <r>
    <x v="3"/>
    <x v="1"/>
    <s v="Delivered"/>
    <x v="2"/>
    <x v="0"/>
    <n v="151"/>
    <n v="604"/>
    <n v="453"/>
  </r>
  <r>
    <x v="3"/>
    <x v="2"/>
    <s v="Delivered"/>
    <x v="1"/>
    <x v="0"/>
    <n v="295.25"/>
    <n v="1181"/>
    <n v="885.75"/>
  </r>
  <r>
    <x v="3"/>
    <x v="1"/>
    <s v="Delivered"/>
    <x v="1"/>
    <x v="1"/>
    <n v="136.19999999999999"/>
    <n v="1362"/>
    <n v="1225.8"/>
  </r>
  <r>
    <x v="3"/>
    <x v="1"/>
    <s v="Delivered"/>
    <x v="6"/>
    <x v="1"/>
    <n v="77.599999999999994"/>
    <n v="776"/>
    <n v="698.4"/>
  </r>
  <r>
    <x v="3"/>
    <x v="1"/>
    <s v="Delivered"/>
    <x v="2"/>
    <x v="2"/>
    <n v="205.8"/>
    <n v="686"/>
    <n v="480.2"/>
  </r>
  <r>
    <x v="3"/>
    <x v="2"/>
    <s v="Service Booked"/>
    <x v="6"/>
    <x v="1"/>
    <n v="27.6"/>
    <n v="276"/>
    <n v="248.4"/>
  </r>
  <r>
    <x v="3"/>
    <x v="1"/>
    <s v="Delivered"/>
    <x v="4"/>
    <x v="1"/>
    <n v="5.2"/>
    <n v="52"/>
    <n v="46.8"/>
  </r>
  <r>
    <x v="3"/>
    <x v="0"/>
    <s v="In Progress"/>
    <x v="6"/>
    <x v="2"/>
    <n v="403.5"/>
    <n v="1345"/>
    <n v="941.5"/>
  </r>
  <r>
    <x v="3"/>
    <x v="1"/>
    <s v="Service Booked"/>
    <x v="4"/>
    <x v="3"/>
    <n v="304.60000000000002"/>
    <n v="1523"/>
    <n v="1218.4000000000001"/>
  </r>
  <r>
    <x v="3"/>
    <x v="1"/>
    <s v="Service Booked"/>
    <x v="3"/>
    <x v="0"/>
    <n v="154.25"/>
    <n v="617"/>
    <n v="462.75"/>
  </r>
  <r>
    <x v="3"/>
    <x v="2"/>
    <s v="Delivered"/>
    <x v="3"/>
    <x v="3"/>
    <n v="24"/>
    <n v="120"/>
    <n v="96"/>
  </r>
  <r>
    <x v="3"/>
    <x v="1"/>
    <s v="Service Booked"/>
    <x v="5"/>
    <x v="2"/>
    <n v="182.4"/>
    <n v="608"/>
    <n v="425.6"/>
  </r>
  <r>
    <x v="3"/>
    <x v="2"/>
    <s v="Delivered"/>
    <x v="5"/>
    <x v="1"/>
    <n v="142.5"/>
    <n v="1425"/>
    <n v="1282.5"/>
  </r>
  <r>
    <x v="3"/>
    <x v="0"/>
    <s v="Service Booked"/>
    <x v="6"/>
    <x v="1"/>
    <n v="159.5"/>
    <n v="1595"/>
    <n v="1435.5"/>
  </r>
  <r>
    <x v="3"/>
    <x v="1"/>
    <s v="Delivered"/>
    <x v="5"/>
    <x v="1"/>
    <n v="170.8"/>
    <n v="1708"/>
    <n v="1537.2"/>
  </r>
  <r>
    <x v="3"/>
    <x v="0"/>
    <s v="Service Booked"/>
    <x v="6"/>
    <x v="1"/>
    <n v="9.5"/>
    <n v="95"/>
    <n v="85.5"/>
  </r>
  <r>
    <x v="3"/>
    <x v="0"/>
    <s v="Cancelled"/>
    <x v="2"/>
    <x v="2"/>
    <n v="35.1"/>
    <n v="117"/>
    <n v="81.900000000000006"/>
  </r>
  <r>
    <x v="3"/>
    <x v="2"/>
    <s v="Delivered"/>
    <x v="3"/>
    <x v="0"/>
    <n v="30"/>
    <n v="120"/>
    <n v="90"/>
  </r>
  <r>
    <x v="3"/>
    <x v="0"/>
    <s v="Delivered"/>
    <x v="5"/>
    <x v="2"/>
    <n v="455.4"/>
    <n v="1518"/>
    <n v="1062.5999999999999"/>
  </r>
  <r>
    <x v="3"/>
    <x v="0"/>
    <s v="Delivered"/>
    <x v="3"/>
    <x v="2"/>
    <n v="463.8"/>
    <n v="1546"/>
    <n v="1082.2"/>
  </r>
  <r>
    <x v="3"/>
    <x v="0"/>
    <s v="Delivered"/>
    <x v="3"/>
    <x v="3"/>
    <n v="9.8000000000000007"/>
    <n v="49"/>
    <n v="39.200000000000003"/>
  </r>
  <r>
    <x v="3"/>
    <x v="1"/>
    <s v="Service Booked"/>
    <x v="1"/>
    <x v="0"/>
    <n v="152.25"/>
    <n v="609"/>
    <n v="456.75"/>
  </r>
  <r>
    <x v="3"/>
    <x v="1"/>
    <s v="Service Booked"/>
    <x v="7"/>
    <x v="2"/>
    <n v="126.9"/>
    <n v="423"/>
    <n v="296.10000000000002"/>
  </r>
  <r>
    <x v="3"/>
    <x v="1"/>
    <s v="Service Booked"/>
    <x v="6"/>
    <x v="0"/>
    <n v="107"/>
    <n v="428"/>
    <n v="321"/>
  </r>
  <r>
    <x v="3"/>
    <x v="1"/>
    <s v="Delivered"/>
    <x v="3"/>
    <x v="0"/>
    <n v="62.5"/>
    <n v="250"/>
    <n v="187.5"/>
  </r>
  <r>
    <x v="3"/>
    <x v="0"/>
    <s v="Service Booked"/>
    <x v="3"/>
    <x v="2"/>
    <n v="51.9"/>
    <n v="173"/>
    <n v="121.1"/>
  </r>
  <r>
    <x v="3"/>
    <x v="0"/>
    <s v="Service Booked"/>
    <x v="7"/>
    <x v="0"/>
    <n v="144.75"/>
    <n v="579"/>
    <n v="434.25"/>
  </r>
  <r>
    <x v="3"/>
    <x v="0"/>
    <s v="Cancelled"/>
    <x v="7"/>
    <x v="0"/>
    <n v="85.25"/>
    <n v="341"/>
    <n v="255.75"/>
  </r>
  <r>
    <x v="3"/>
    <x v="2"/>
    <s v="Delivered"/>
    <x v="7"/>
    <x v="1"/>
    <n v="155.4"/>
    <n v="1554"/>
    <n v="1398.6"/>
  </r>
  <r>
    <x v="3"/>
    <x v="2"/>
    <s v="Service Booked"/>
    <x v="2"/>
    <x v="1"/>
    <n v="23.5"/>
    <n v="235"/>
    <n v="211.5"/>
  </r>
  <r>
    <x v="3"/>
    <x v="2"/>
    <s v="Service Booked"/>
    <x v="5"/>
    <x v="0"/>
    <n v="115.5"/>
    <n v="462"/>
    <n v="346.5"/>
  </r>
  <r>
    <x v="3"/>
    <x v="1"/>
    <s v="Service Booked"/>
    <x v="5"/>
    <x v="0"/>
    <n v="337.75"/>
    <n v="1351"/>
    <n v="1013.25"/>
  </r>
  <r>
    <x v="3"/>
    <x v="0"/>
    <s v="Service Booked"/>
    <x v="6"/>
    <x v="0"/>
    <n v="396.5"/>
    <n v="1586"/>
    <n v="1189.5"/>
  </r>
  <r>
    <x v="3"/>
    <x v="1"/>
    <s v="Delivered"/>
    <x v="6"/>
    <x v="0"/>
    <n v="32.5"/>
    <n v="130"/>
    <n v="97.5"/>
  </r>
  <r>
    <x v="3"/>
    <x v="2"/>
    <s v="Service Booked"/>
    <x v="6"/>
    <x v="2"/>
    <n v="28.2"/>
    <n v="94"/>
    <n v="65.8"/>
  </r>
  <r>
    <x v="3"/>
    <x v="0"/>
    <s v="Cancelled"/>
    <x v="3"/>
    <x v="0"/>
    <n v="173"/>
    <n v="692"/>
    <n v="519"/>
  </r>
  <r>
    <x v="3"/>
    <x v="2"/>
    <s v="Delivered"/>
    <x v="1"/>
    <x v="2"/>
    <n v="200.7"/>
    <n v="669"/>
    <n v="468.3"/>
  </r>
  <r>
    <x v="3"/>
    <x v="0"/>
    <s v="Service Booked"/>
    <x v="4"/>
    <x v="2"/>
    <n v="166.2"/>
    <n v="554"/>
    <n v="387.8"/>
  </r>
  <r>
    <x v="3"/>
    <x v="1"/>
    <s v="Delivered"/>
    <x v="6"/>
    <x v="3"/>
    <n v="201.8"/>
    <n v="1009"/>
    <n v="807.2"/>
  </r>
  <r>
    <x v="3"/>
    <x v="1"/>
    <s v="Service Booked"/>
    <x v="2"/>
    <x v="0"/>
    <n v="444.25"/>
    <n v="1777"/>
    <n v="1332.75"/>
  </r>
  <r>
    <x v="4"/>
    <x v="1"/>
    <s v="Service Booked"/>
    <x v="0"/>
    <x v="0"/>
    <n v="65"/>
    <n v="260"/>
    <n v="195"/>
  </r>
  <r>
    <x v="4"/>
    <x v="1"/>
    <s v="Service Booked"/>
    <x v="5"/>
    <x v="2"/>
    <n v="510.6"/>
    <n v="1702"/>
    <n v="1191.4000000000001"/>
  </r>
  <r>
    <x v="4"/>
    <x v="2"/>
    <s v="Delivered"/>
    <x v="2"/>
    <x v="1"/>
    <n v="95.3"/>
    <n v="953"/>
    <n v="857.7"/>
  </r>
  <r>
    <x v="4"/>
    <x v="2"/>
    <s v="Service Booked"/>
    <x v="6"/>
    <x v="2"/>
    <n v="457.2"/>
    <n v="1524"/>
    <n v="1066.8"/>
  </r>
  <r>
    <x v="4"/>
    <x v="1"/>
    <s v="In Progress"/>
    <x v="2"/>
    <x v="0"/>
    <n v="280"/>
    <n v="1120"/>
    <n v="840"/>
  </r>
  <r>
    <x v="4"/>
    <x v="0"/>
    <s v="Delivered"/>
    <x v="6"/>
    <x v="3"/>
    <n v="83.8"/>
    <n v="419"/>
    <n v="335.2"/>
  </r>
  <r>
    <x v="4"/>
    <x v="2"/>
    <s v="Delivered"/>
    <x v="4"/>
    <x v="0"/>
    <n v="386.5"/>
    <n v="1546"/>
    <n v="1159.5"/>
  </r>
  <r>
    <x v="4"/>
    <x v="0"/>
    <s v="Service Booked"/>
    <x v="0"/>
    <x v="3"/>
    <n v="198.6"/>
    <n v="993"/>
    <n v="794.4"/>
  </r>
  <r>
    <x v="4"/>
    <x v="2"/>
    <s v="Delivered"/>
    <x v="0"/>
    <x v="0"/>
    <n v="389.5"/>
    <n v="1558"/>
    <n v="1168.5"/>
  </r>
  <r>
    <x v="4"/>
    <x v="1"/>
    <s v="Service Booked"/>
    <x v="0"/>
    <x v="1"/>
    <n v="1.1000000000000001"/>
    <n v="11"/>
    <n v="9.9"/>
  </r>
  <r>
    <x v="4"/>
    <x v="1"/>
    <s v="Cancelled"/>
    <x v="2"/>
    <x v="0"/>
    <n v="58"/>
    <n v="232"/>
    <n v="174"/>
  </r>
  <r>
    <x v="4"/>
    <x v="1"/>
    <s v="Delivered"/>
    <x v="3"/>
    <x v="1"/>
    <n v="56.4"/>
    <n v="564"/>
    <n v="507.6"/>
  </r>
  <r>
    <x v="4"/>
    <x v="2"/>
    <s v="Service Booked"/>
    <x v="0"/>
    <x v="3"/>
    <n v="197"/>
    <n v="985"/>
    <n v="788"/>
  </r>
  <r>
    <x v="4"/>
    <x v="2"/>
    <s v="Service Booked"/>
    <x v="7"/>
    <x v="2"/>
    <n v="318.89999999999998"/>
    <n v="1063"/>
    <n v="744.1"/>
  </r>
  <r>
    <x v="4"/>
    <x v="0"/>
    <s v="Delivered"/>
    <x v="7"/>
    <x v="0"/>
    <n v="67.75"/>
    <n v="271"/>
    <n v="203.25"/>
  </r>
  <r>
    <x v="4"/>
    <x v="1"/>
    <s v="Delivered"/>
    <x v="3"/>
    <x v="3"/>
    <n v="86.6"/>
    <n v="433"/>
    <n v="346.4"/>
  </r>
  <r>
    <x v="4"/>
    <x v="2"/>
    <s v="Service Booked"/>
    <x v="0"/>
    <x v="0"/>
    <n v="410"/>
    <n v="1640"/>
    <n v="1230"/>
  </r>
  <r>
    <x v="4"/>
    <x v="0"/>
    <s v="Service Booked"/>
    <x v="3"/>
    <x v="2"/>
    <n v="210.9"/>
    <n v="703"/>
    <n v="492.1"/>
  </r>
  <r>
    <x v="4"/>
    <x v="0"/>
    <s v="Cancelled"/>
    <x v="5"/>
    <x v="1"/>
    <n v="43.6"/>
    <n v="436"/>
    <n v="392.4"/>
  </r>
  <r>
    <x v="4"/>
    <x v="1"/>
    <s v="Delivered"/>
    <x v="3"/>
    <x v="0"/>
    <n v="32.25"/>
    <n v="129"/>
    <n v="96.75"/>
  </r>
  <r>
    <x v="4"/>
    <x v="0"/>
    <s v="Service Booked"/>
    <x v="4"/>
    <x v="0"/>
    <n v="95.75"/>
    <n v="383"/>
    <n v="287.25"/>
  </r>
  <r>
    <x v="4"/>
    <x v="0"/>
    <s v="In Progress"/>
    <x v="5"/>
    <x v="0"/>
    <n v="436.75"/>
    <n v="1747"/>
    <n v="1310.25"/>
  </r>
  <r>
    <x v="4"/>
    <x v="0"/>
    <s v="Delivered"/>
    <x v="4"/>
    <x v="3"/>
    <n v="212.4"/>
    <n v="1062"/>
    <n v="849.6"/>
  </r>
  <r>
    <x v="4"/>
    <x v="2"/>
    <s v="Delivered"/>
    <x v="2"/>
    <x v="0"/>
    <n v="261.75"/>
    <n v="1047"/>
    <n v="785.25"/>
  </r>
  <r>
    <x v="4"/>
    <x v="2"/>
    <s v="Service Booked"/>
    <x v="4"/>
    <x v="0"/>
    <n v="156.75"/>
    <n v="627"/>
    <n v="470.25"/>
  </r>
  <r>
    <x v="4"/>
    <x v="1"/>
    <s v="Delivered"/>
    <x v="1"/>
    <x v="3"/>
    <n v="253.4"/>
    <n v="1267"/>
    <n v="1013.6"/>
  </r>
  <r>
    <x v="4"/>
    <x v="1"/>
    <s v="Service Booked"/>
    <x v="0"/>
    <x v="0"/>
    <n v="279"/>
    <n v="1116"/>
    <n v="837"/>
  </r>
  <r>
    <x v="4"/>
    <x v="2"/>
    <s v="Service Booked"/>
    <x v="2"/>
    <x v="3"/>
    <n v="170.8"/>
    <n v="854"/>
    <n v="683.2"/>
  </r>
  <r>
    <x v="4"/>
    <x v="0"/>
    <s v="Delivered"/>
    <x v="5"/>
    <x v="3"/>
    <n v="120.4"/>
    <n v="602"/>
    <n v="481.6"/>
  </r>
  <r>
    <x v="4"/>
    <x v="1"/>
    <s v="Delivered"/>
    <x v="1"/>
    <x v="2"/>
    <n v="388.2"/>
    <n v="1294"/>
    <n v="905.8"/>
  </r>
  <r>
    <x v="4"/>
    <x v="2"/>
    <s v="Cancelled"/>
    <x v="5"/>
    <x v="1"/>
    <n v="5"/>
    <n v="50"/>
    <n v="45"/>
  </r>
  <r>
    <x v="4"/>
    <x v="1"/>
    <s v="Cancelled"/>
    <x v="1"/>
    <x v="0"/>
    <n v="59.75"/>
    <n v="239"/>
    <n v="179.25"/>
  </r>
  <r>
    <x v="4"/>
    <x v="2"/>
    <s v="Service Booked"/>
    <x v="0"/>
    <x v="3"/>
    <n v="143.4"/>
    <n v="717"/>
    <n v="573.6"/>
  </r>
  <r>
    <x v="4"/>
    <x v="0"/>
    <s v="Delivered"/>
    <x v="3"/>
    <x v="0"/>
    <n v="312"/>
    <n v="1248"/>
    <n v="936"/>
  </r>
  <r>
    <x v="4"/>
    <x v="2"/>
    <s v="Delivered"/>
    <x v="3"/>
    <x v="1"/>
    <n v="130.4"/>
    <n v="1304"/>
    <n v="1173.5999999999999"/>
  </r>
  <r>
    <x v="4"/>
    <x v="2"/>
    <s v="Delivered"/>
    <x v="7"/>
    <x v="2"/>
    <n v="272.7"/>
    <n v="909"/>
    <n v="636.29999999999995"/>
  </r>
  <r>
    <x v="4"/>
    <x v="1"/>
    <s v="Service Booked"/>
    <x v="5"/>
    <x v="3"/>
    <n v="194"/>
    <n v="970"/>
    <n v="776"/>
  </r>
  <r>
    <x v="4"/>
    <x v="0"/>
    <s v="Service Booked"/>
    <x v="2"/>
    <x v="2"/>
    <n v="240"/>
    <n v="800"/>
    <n v="560"/>
  </r>
  <r>
    <x v="4"/>
    <x v="1"/>
    <s v="Cancelled"/>
    <x v="5"/>
    <x v="3"/>
    <n v="205.4"/>
    <n v="1027"/>
    <n v="821.6"/>
  </r>
  <r>
    <x v="4"/>
    <x v="0"/>
    <s v="Service Booked"/>
    <x v="0"/>
    <x v="2"/>
    <n v="33.9"/>
    <n v="113"/>
    <n v="79.099999999999994"/>
  </r>
  <r>
    <x v="4"/>
    <x v="0"/>
    <s v="Service Booked"/>
    <x v="5"/>
    <x v="0"/>
    <n v="230"/>
    <n v="920"/>
    <n v="690"/>
  </r>
  <r>
    <x v="4"/>
    <x v="1"/>
    <s v="Delivered"/>
    <x v="6"/>
    <x v="0"/>
    <n v="144"/>
    <n v="576"/>
    <n v="432"/>
  </r>
  <r>
    <x v="4"/>
    <x v="2"/>
    <s v="Delivered"/>
    <x v="1"/>
    <x v="2"/>
    <n v="51.3"/>
    <n v="171"/>
    <n v="119.7"/>
  </r>
  <r>
    <x v="4"/>
    <x v="2"/>
    <s v="Service Booked"/>
    <x v="6"/>
    <x v="1"/>
    <n v="19.3"/>
    <n v="193"/>
    <n v="173.7"/>
  </r>
  <r>
    <x v="4"/>
    <x v="0"/>
    <s v="Service Booked"/>
    <x v="5"/>
    <x v="2"/>
    <n v="299.7"/>
    <n v="999"/>
    <n v="699.3"/>
  </r>
  <r>
    <x v="4"/>
    <x v="2"/>
    <s v="Delivered"/>
    <x v="3"/>
    <x v="3"/>
    <n v="331.6"/>
    <n v="1658"/>
    <n v="1326.4"/>
  </r>
  <r>
    <x v="4"/>
    <x v="2"/>
    <s v="Service Booked"/>
    <x v="1"/>
    <x v="0"/>
    <n v="334.25"/>
    <n v="1337"/>
    <n v="1002.75"/>
  </r>
  <r>
    <x v="4"/>
    <x v="2"/>
    <s v="Cancelled"/>
    <x v="3"/>
    <x v="0"/>
    <n v="248.25"/>
    <n v="993"/>
    <n v="744.75"/>
  </r>
  <r>
    <x v="4"/>
    <x v="2"/>
    <s v="Delivered"/>
    <x v="3"/>
    <x v="3"/>
    <n v="136.19999999999999"/>
    <n v="681"/>
    <n v="544.79999999999995"/>
  </r>
  <r>
    <x v="4"/>
    <x v="0"/>
    <s v="Cancelled"/>
    <x v="6"/>
    <x v="0"/>
    <n v="66.75"/>
    <n v="267"/>
    <n v="200.25"/>
  </r>
  <r>
    <x v="4"/>
    <x v="0"/>
    <s v="In Progress"/>
    <x v="5"/>
    <x v="3"/>
    <n v="160"/>
    <n v="800"/>
    <n v="640"/>
  </r>
  <r>
    <x v="4"/>
    <x v="2"/>
    <s v="Delivered"/>
    <x v="1"/>
    <x v="2"/>
    <n v="309"/>
    <n v="1030"/>
    <n v="721"/>
  </r>
  <r>
    <x v="4"/>
    <x v="2"/>
    <s v="Delivered"/>
    <x v="1"/>
    <x v="1"/>
    <n v="54.4"/>
    <n v="544"/>
    <n v="489.6"/>
  </r>
  <r>
    <x v="4"/>
    <x v="1"/>
    <s v="Service Booked"/>
    <x v="7"/>
    <x v="0"/>
    <n v="82.25"/>
    <n v="329"/>
    <n v="246.75"/>
  </r>
  <r>
    <x v="4"/>
    <x v="0"/>
    <s v="Service Booked"/>
    <x v="1"/>
    <x v="0"/>
    <n v="21.25"/>
    <n v="85"/>
    <n v="63.75"/>
  </r>
  <r>
    <x v="4"/>
    <x v="2"/>
    <s v="Delivered"/>
    <x v="2"/>
    <x v="0"/>
    <n v="79"/>
    <n v="316"/>
    <n v="237"/>
  </r>
  <r>
    <x v="4"/>
    <x v="1"/>
    <s v="Delivered"/>
    <x v="7"/>
    <x v="3"/>
    <n v="155.80000000000001"/>
    <n v="779"/>
    <n v="623.20000000000005"/>
  </r>
  <r>
    <x v="4"/>
    <x v="0"/>
    <s v="Service Booked"/>
    <x v="2"/>
    <x v="0"/>
    <n v="214.75"/>
    <n v="859"/>
    <n v="644.25"/>
  </r>
  <r>
    <x v="4"/>
    <x v="0"/>
    <s v="Service Booked"/>
    <x v="5"/>
    <x v="3"/>
    <n v="46.8"/>
    <n v="234"/>
    <n v="187.2"/>
  </r>
  <r>
    <x v="4"/>
    <x v="1"/>
    <s v="Delivered"/>
    <x v="6"/>
    <x v="3"/>
    <n v="168.6"/>
    <n v="843"/>
    <n v="674.4"/>
  </r>
  <r>
    <x v="4"/>
    <x v="0"/>
    <s v="Delivered"/>
    <x v="1"/>
    <x v="0"/>
    <n v="231.5"/>
    <n v="926"/>
    <n v="694.5"/>
  </r>
  <r>
    <x v="4"/>
    <x v="1"/>
    <s v="In Progress"/>
    <x v="1"/>
    <x v="2"/>
    <n v="264.3"/>
    <n v="881"/>
    <n v="616.70000000000005"/>
  </r>
  <r>
    <x v="4"/>
    <x v="0"/>
    <s v="In Progress"/>
    <x v="6"/>
    <x v="2"/>
    <n v="66"/>
    <n v="220"/>
    <n v="154"/>
  </r>
  <r>
    <x v="4"/>
    <x v="1"/>
    <s v="In Progress"/>
    <x v="2"/>
    <x v="0"/>
    <n v="131.75"/>
    <n v="527"/>
    <n v="395.25"/>
  </r>
  <r>
    <x v="4"/>
    <x v="2"/>
    <s v="Cancelled"/>
    <x v="4"/>
    <x v="2"/>
    <n v="304.5"/>
    <n v="1015"/>
    <n v="710.5"/>
  </r>
  <r>
    <x v="4"/>
    <x v="2"/>
    <s v="In Progress"/>
    <x v="4"/>
    <x v="1"/>
    <n v="131.4"/>
    <n v="1314"/>
    <n v="1182.5999999999999"/>
  </r>
  <r>
    <x v="4"/>
    <x v="1"/>
    <s v="Cancelled"/>
    <x v="5"/>
    <x v="0"/>
    <n v="332.5"/>
    <n v="1330"/>
    <n v="997.5"/>
  </r>
  <r>
    <x v="4"/>
    <x v="2"/>
    <s v="Delivered"/>
    <x v="4"/>
    <x v="0"/>
    <n v="260.5"/>
    <n v="1042"/>
    <n v="781.5"/>
  </r>
  <r>
    <x v="4"/>
    <x v="2"/>
    <s v="Delivered"/>
    <x v="6"/>
    <x v="2"/>
    <n v="320.10000000000002"/>
    <n v="1067"/>
    <n v="746.9"/>
  </r>
  <r>
    <x v="4"/>
    <x v="2"/>
    <s v="Service Booked"/>
    <x v="1"/>
    <x v="0"/>
    <n v="97.25"/>
    <n v="389"/>
    <n v="291.75"/>
  </r>
  <r>
    <x v="4"/>
    <x v="0"/>
    <s v="Delivered"/>
    <x v="4"/>
    <x v="2"/>
    <n v="520.79999999999995"/>
    <n v="1736"/>
    <n v="1215.2"/>
  </r>
  <r>
    <x v="4"/>
    <x v="2"/>
    <s v="Service Booked"/>
    <x v="1"/>
    <x v="2"/>
    <n v="194.7"/>
    <n v="649"/>
    <n v="454.3"/>
  </r>
  <r>
    <x v="4"/>
    <x v="2"/>
    <s v="Cancelled"/>
    <x v="3"/>
    <x v="1"/>
    <n v="146.30000000000001"/>
    <n v="1463"/>
    <n v="1316.7"/>
  </r>
  <r>
    <x v="4"/>
    <x v="0"/>
    <s v="Service Booked"/>
    <x v="3"/>
    <x v="0"/>
    <n v="187.5"/>
    <n v="750"/>
    <n v="562.5"/>
  </r>
  <r>
    <x v="4"/>
    <x v="0"/>
    <s v="Delivered"/>
    <x v="1"/>
    <x v="1"/>
    <n v="37.299999999999997"/>
    <n v="373"/>
    <n v="335.7"/>
  </r>
  <r>
    <x v="4"/>
    <x v="1"/>
    <s v="Cancelled"/>
    <x v="5"/>
    <x v="3"/>
    <n v="102.8"/>
    <n v="514"/>
    <n v="411.2"/>
  </r>
  <r>
    <x v="4"/>
    <x v="0"/>
    <s v="Delivered"/>
    <x v="2"/>
    <x v="3"/>
    <n v="164.8"/>
    <n v="824"/>
    <n v="659.2"/>
  </r>
  <r>
    <x v="5"/>
    <x v="2"/>
    <s v="Service Booked"/>
    <x v="1"/>
    <x v="2"/>
    <n v="96.6"/>
    <n v="322"/>
    <n v="225.4"/>
  </r>
  <r>
    <x v="5"/>
    <x v="0"/>
    <s v="Cancelled"/>
    <x v="2"/>
    <x v="0"/>
    <n v="181"/>
    <n v="724"/>
    <n v="543"/>
  </r>
  <r>
    <x v="5"/>
    <x v="0"/>
    <s v="Delivered"/>
    <x v="0"/>
    <x v="0"/>
    <n v="301"/>
    <n v="1204"/>
    <n v="903"/>
  </r>
  <r>
    <x v="5"/>
    <x v="1"/>
    <s v="Delivered"/>
    <x v="7"/>
    <x v="0"/>
    <n v="78.5"/>
    <n v="314"/>
    <n v="235.5"/>
  </r>
  <r>
    <x v="5"/>
    <x v="2"/>
    <s v="Cancelled"/>
    <x v="7"/>
    <x v="1"/>
    <n v="18.7"/>
    <n v="187"/>
    <n v="168.3"/>
  </r>
  <r>
    <x v="5"/>
    <x v="0"/>
    <s v="Delivered"/>
    <x v="7"/>
    <x v="3"/>
    <n v="111"/>
    <n v="555"/>
    <n v="444"/>
  </r>
  <r>
    <x v="5"/>
    <x v="0"/>
    <s v="Delivered"/>
    <x v="5"/>
    <x v="3"/>
    <n v="221.2"/>
    <n v="1106"/>
    <n v="884.8"/>
  </r>
  <r>
    <x v="5"/>
    <x v="2"/>
    <s v="Service Booked"/>
    <x v="0"/>
    <x v="0"/>
    <n v="341.5"/>
    <n v="1366"/>
    <n v="1024.5"/>
  </r>
  <r>
    <x v="5"/>
    <x v="1"/>
    <s v="Delivered"/>
    <x v="0"/>
    <x v="0"/>
    <n v="47.25"/>
    <n v="189"/>
    <n v="141.75"/>
  </r>
  <r>
    <x v="5"/>
    <x v="2"/>
    <s v="In Progress"/>
    <x v="7"/>
    <x v="0"/>
    <n v="270"/>
    <n v="1080"/>
    <n v="810"/>
  </r>
  <r>
    <x v="5"/>
    <x v="1"/>
    <s v="Service Booked"/>
    <x v="2"/>
    <x v="2"/>
    <n v="461.4"/>
    <n v="1538"/>
    <n v="1076.5999999999999"/>
  </r>
  <r>
    <x v="5"/>
    <x v="2"/>
    <s v="Service Booked"/>
    <x v="0"/>
    <x v="2"/>
    <n v="335.4"/>
    <n v="1118"/>
    <n v="782.6"/>
  </r>
  <r>
    <x v="5"/>
    <x v="0"/>
    <s v="Service Booked"/>
    <x v="1"/>
    <x v="2"/>
    <n v="356.1"/>
    <n v="1187"/>
    <n v="830.9"/>
  </r>
  <r>
    <x v="5"/>
    <x v="2"/>
    <s v="Cancelled"/>
    <x v="3"/>
    <x v="3"/>
    <n v="287.8"/>
    <n v="1439"/>
    <n v="1151.2"/>
  </r>
  <r>
    <x v="5"/>
    <x v="0"/>
    <s v="Delivered"/>
    <x v="7"/>
    <x v="3"/>
    <n v="304.2"/>
    <n v="1521"/>
    <n v="1216.8"/>
  </r>
  <r>
    <x v="5"/>
    <x v="0"/>
    <s v="Service Booked"/>
    <x v="2"/>
    <x v="1"/>
    <n v="126.6"/>
    <n v="1266"/>
    <n v="1139.4000000000001"/>
  </r>
  <r>
    <x v="5"/>
    <x v="0"/>
    <s v="Delivered"/>
    <x v="4"/>
    <x v="1"/>
    <n v="39.200000000000003"/>
    <n v="392"/>
    <n v="352.8"/>
  </r>
  <r>
    <x v="5"/>
    <x v="1"/>
    <s v="Service Booked"/>
    <x v="7"/>
    <x v="3"/>
    <n v="266.8"/>
    <n v="1334"/>
    <n v="1067.2"/>
  </r>
  <r>
    <x v="5"/>
    <x v="0"/>
    <s v="Delivered"/>
    <x v="3"/>
    <x v="1"/>
    <n v="107.1"/>
    <n v="1071"/>
    <n v="963.9"/>
  </r>
  <r>
    <x v="5"/>
    <x v="0"/>
    <s v="Delivered"/>
    <x v="5"/>
    <x v="0"/>
    <n v="427.75"/>
    <n v="1711"/>
    <n v="1283.25"/>
  </r>
  <r>
    <x v="5"/>
    <x v="1"/>
    <s v="Delivered"/>
    <x v="1"/>
    <x v="1"/>
    <n v="130.69999999999999"/>
    <n v="1307"/>
    <n v="1176.3"/>
  </r>
  <r>
    <x v="5"/>
    <x v="2"/>
    <s v="Delivered"/>
    <x v="7"/>
    <x v="0"/>
    <n v="318.5"/>
    <n v="1274"/>
    <n v="955.5"/>
  </r>
  <r>
    <x v="5"/>
    <x v="1"/>
    <s v="Delivered"/>
    <x v="0"/>
    <x v="2"/>
    <n v="107.7"/>
    <n v="359"/>
    <n v="251.3"/>
  </r>
  <r>
    <x v="5"/>
    <x v="1"/>
    <s v="Delivered"/>
    <x v="0"/>
    <x v="2"/>
    <n v="571.20000000000005"/>
    <n v="1904"/>
    <n v="1332.8"/>
  </r>
  <r>
    <x v="5"/>
    <x v="2"/>
    <s v="Cancelled"/>
    <x v="2"/>
    <x v="2"/>
    <n v="259.8"/>
    <n v="866"/>
    <n v="606.20000000000005"/>
  </r>
  <r>
    <x v="5"/>
    <x v="0"/>
    <s v="In Progress"/>
    <x v="2"/>
    <x v="3"/>
    <n v="68.2"/>
    <n v="341"/>
    <n v="272.8"/>
  </r>
  <r>
    <x v="5"/>
    <x v="0"/>
    <s v="Service Booked"/>
    <x v="4"/>
    <x v="0"/>
    <n v="79.5"/>
    <n v="318"/>
    <n v="238.5"/>
  </r>
  <r>
    <x v="5"/>
    <x v="2"/>
    <s v="Cancelled"/>
    <x v="1"/>
    <x v="0"/>
    <n v="332"/>
    <n v="1328"/>
    <n v="996"/>
  </r>
  <r>
    <x v="5"/>
    <x v="1"/>
    <s v="Delivered"/>
    <x v="2"/>
    <x v="0"/>
    <n v="411.75"/>
    <n v="1647"/>
    <n v="1235.25"/>
  </r>
  <r>
    <x v="5"/>
    <x v="1"/>
    <s v="Delivered"/>
    <x v="4"/>
    <x v="1"/>
    <n v="147.80000000000001"/>
    <n v="1478"/>
    <n v="1330.2"/>
  </r>
  <r>
    <x v="5"/>
    <x v="0"/>
    <s v="Delivered"/>
    <x v="1"/>
    <x v="2"/>
    <n v="503.1"/>
    <n v="1677"/>
    <n v="1173.9000000000001"/>
  </r>
  <r>
    <x v="5"/>
    <x v="2"/>
    <s v="Cancelled"/>
    <x v="6"/>
    <x v="3"/>
    <n v="31"/>
    <n v="155"/>
    <n v="124"/>
  </r>
  <r>
    <x v="5"/>
    <x v="2"/>
    <s v="Delivered"/>
    <x v="5"/>
    <x v="0"/>
    <n v="287.5"/>
    <n v="1150"/>
    <n v="862.5"/>
  </r>
  <r>
    <x v="5"/>
    <x v="1"/>
    <s v="Service Booked"/>
    <x v="7"/>
    <x v="0"/>
    <n v="192"/>
    <n v="768"/>
    <n v="576"/>
  </r>
  <r>
    <x v="5"/>
    <x v="1"/>
    <s v="Delivered"/>
    <x v="2"/>
    <x v="2"/>
    <n v="355.5"/>
    <n v="1185"/>
    <n v="829.5"/>
  </r>
  <r>
    <x v="5"/>
    <x v="1"/>
    <s v="Service Booked"/>
    <x v="7"/>
    <x v="1"/>
    <n v="16.7"/>
    <n v="167"/>
    <n v="150.30000000000001"/>
  </r>
  <r>
    <x v="5"/>
    <x v="0"/>
    <s v="Service Booked"/>
    <x v="4"/>
    <x v="2"/>
    <n v="464.7"/>
    <n v="1549"/>
    <n v="1084.3"/>
  </r>
  <r>
    <x v="5"/>
    <x v="1"/>
    <s v="Cancelled"/>
    <x v="6"/>
    <x v="2"/>
    <n v="539.4"/>
    <n v="1798"/>
    <n v="1258.5999999999999"/>
  </r>
  <r>
    <x v="5"/>
    <x v="2"/>
    <s v="Service Booked"/>
    <x v="2"/>
    <x v="1"/>
    <n v="144.30000000000001"/>
    <n v="1443"/>
    <n v="1298.7"/>
  </r>
  <r>
    <x v="5"/>
    <x v="1"/>
    <s v="Service Booked"/>
    <x v="1"/>
    <x v="0"/>
    <n v="126.75"/>
    <n v="507"/>
    <n v="380.25"/>
  </r>
  <r>
    <x v="5"/>
    <x v="2"/>
    <s v="Delivered"/>
    <x v="5"/>
    <x v="0"/>
    <n v="163.5"/>
    <n v="654"/>
    <n v="490.5"/>
  </r>
  <r>
    <x v="5"/>
    <x v="2"/>
    <s v="Delivered"/>
    <x v="2"/>
    <x v="0"/>
    <n v="180"/>
    <n v="720"/>
    <n v="540"/>
  </r>
  <r>
    <x v="5"/>
    <x v="2"/>
    <s v="Cancelled"/>
    <x v="0"/>
    <x v="2"/>
    <n v="30.9"/>
    <n v="103"/>
    <n v="72.099999999999994"/>
  </r>
  <r>
    <x v="5"/>
    <x v="1"/>
    <s v="Cancelled"/>
    <x v="4"/>
    <x v="2"/>
    <n v="491.7"/>
    <n v="1639"/>
    <n v="1147.3"/>
  </r>
  <r>
    <x v="5"/>
    <x v="2"/>
    <s v="Service Booked"/>
    <x v="3"/>
    <x v="0"/>
    <n v="49.5"/>
    <n v="198"/>
    <n v="148.5"/>
  </r>
  <r>
    <x v="5"/>
    <x v="0"/>
    <s v="In Progress"/>
    <x v="1"/>
    <x v="0"/>
    <n v="65.75"/>
    <n v="263"/>
    <n v="197.25"/>
  </r>
  <r>
    <x v="5"/>
    <x v="1"/>
    <s v="Cancelled"/>
    <x v="7"/>
    <x v="0"/>
    <n v="457.25"/>
    <n v="1829"/>
    <n v="1371.75"/>
  </r>
  <r>
    <x v="5"/>
    <x v="0"/>
    <s v="Delivered"/>
    <x v="3"/>
    <x v="1"/>
    <n v="49.2"/>
    <n v="492"/>
    <n v="442.8"/>
  </r>
  <r>
    <x v="5"/>
    <x v="2"/>
    <s v="Delivered"/>
    <x v="1"/>
    <x v="0"/>
    <n v="323.25"/>
    <n v="1293"/>
    <n v="969.75"/>
  </r>
  <r>
    <x v="5"/>
    <x v="1"/>
    <s v="Service Booked"/>
    <x v="3"/>
    <x v="0"/>
    <n v="354.5"/>
    <n v="1418"/>
    <n v="1063.5"/>
  </r>
  <r>
    <x v="5"/>
    <x v="0"/>
    <s v="Delivered"/>
    <x v="7"/>
    <x v="3"/>
    <n v="152.80000000000001"/>
    <n v="764"/>
    <n v="611.20000000000005"/>
  </r>
  <r>
    <x v="5"/>
    <x v="1"/>
    <s v="In Progress"/>
    <x v="0"/>
    <x v="2"/>
    <n v="216"/>
    <n v="720"/>
    <n v="504"/>
  </r>
  <r>
    <x v="5"/>
    <x v="1"/>
    <s v="In Progress"/>
    <x v="1"/>
    <x v="2"/>
    <n v="331.8"/>
    <n v="1106"/>
    <n v="774.2"/>
  </r>
  <r>
    <x v="5"/>
    <x v="2"/>
    <s v="Delivered"/>
    <x v="7"/>
    <x v="3"/>
    <n v="332"/>
    <n v="1660"/>
    <n v="1328"/>
  </r>
  <r>
    <x v="5"/>
    <x v="1"/>
    <s v="Service Booked"/>
    <x v="7"/>
    <x v="2"/>
    <n v="366.3"/>
    <n v="1221"/>
    <n v="854.7"/>
  </r>
  <r>
    <x v="5"/>
    <x v="2"/>
    <s v="Delivered"/>
    <x v="6"/>
    <x v="0"/>
    <n v="70"/>
    <n v="280"/>
    <n v="210"/>
  </r>
  <r>
    <x v="5"/>
    <x v="2"/>
    <s v="Delivered"/>
    <x v="4"/>
    <x v="2"/>
    <n v="168.9"/>
    <n v="563"/>
    <n v="394.1"/>
  </r>
  <r>
    <x v="5"/>
    <x v="0"/>
    <s v="Cancelled"/>
    <x v="7"/>
    <x v="2"/>
    <n v="208.8"/>
    <n v="696"/>
    <n v="487.2"/>
  </r>
  <r>
    <x v="5"/>
    <x v="2"/>
    <s v="Cancelled"/>
    <x v="2"/>
    <x v="0"/>
    <n v="300"/>
    <n v="1200"/>
    <n v="900"/>
  </r>
  <r>
    <x v="5"/>
    <x v="2"/>
    <s v="Service Booked"/>
    <x v="1"/>
    <x v="1"/>
    <n v="100.9"/>
    <n v="1009"/>
    <n v="908.1"/>
  </r>
  <r>
    <x v="5"/>
    <x v="2"/>
    <s v="Delivered"/>
    <x v="7"/>
    <x v="2"/>
    <n v="179.4"/>
    <n v="598"/>
    <n v="418.6"/>
  </r>
  <r>
    <x v="5"/>
    <x v="2"/>
    <s v="Delivered"/>
    <x v="5"/>
    <x v="0"/>
    <n v="164"/>
    <n v="656"/>
    <n v="492"/>
  </r>
  <r>
    <x v="5"/>
    <x v="1"/>
    <s v="Service Booked"/>
    <x v="1"/>
    <x v="1"/>
    <n v="151.19999999999999"/>
    <n v="1512"/>
    <n v="1360.8"/>
  </r>
  <r>
    <x v="5"/>
    <x v="1"/>
    <s v="Service Booked"/>
    <x v="3"/>
    <x v="0"/>
    <n v="264.75"/>
    <n v="1059"/>
    <n v="794.25"/>
  </r>
  <r>
    <x v="5"/>
    <x v="2"/>
    <s v="Delivered"/>
    <x v="6"/>
    <x v="1"/>
    <n v="76.5"/>
    <n v="765"/>
    <n v="688.5"/>
  </r>
  <r>
    <x v="5"/>
    <x v="0"/>
    <s v="Service Booked"/>
    <x v="5"/>
    <x v="1"/>
    <n v="78.599999999999994"/>
    <n v="786"/>
    <n v="707.4"/>
  </r>
  <r>
    <x v="5"/>
    <x v="2"/>
    <s v="Cancelled"/>
    <x v="2"/>
    <x v="0"/>
    <n v="411.5"/>
    <n v="1646"/>
    <n v="1234.5"/>
  </r>
  <r>
    <x v="5"/>
    <x v="1"/>
    <s v="Delivered"/>
    <x v="7"/>
    <x v="0"/>
    <n v="27"/>
    <n v="108"/>
    <n v="81"/>
  </r>
  <r>
    <x v="5"/>
    <x v="0"/>
    <s v="Delivered"/>
    <x v="5"/>
    <x v="0"/>
    <n v="56.75"/>
    <n v="227"/>
    <n v="170.25"/>
  </r>
  <r>
    <x v="5"/>
    <x v="0"/>
    <s v="Service Booked"/>
    <x v="6"/>
    <x v="0"/>
    <n v="103.25"/>
    <n v="413"/>
    <n v="309.75"/>
  </r>
  <r>
    <x v="5"/>
    <x v="1"/>
    <s v="In Progress"/>
    <x v="2"/>
    <x v="0"/>
    <n v="363.25"/>
    <n v="1453"/>
    <n v="1089.75"/>
  </r>
  <r>
    <x v="5"/>
    <x v="1"/>
    <s v="Service Booked"/>
    <x v="5"/>
    <x v="2"/>
    <n v="53.7"/>
    <n v="179"/>
    <n v="125.3"/>
  </r>
  <r>
    <x v="5"/>
    <x v="2"/>
    <s v="Service Booked"/>
    <x v="7"/>
    <x v="1"/>
    <n v="19.899999999999999"/>
    <n v="199"/>
    <n v="179.1"/>
  </r>
  <r>
    <x v="5"/>
    <x v="1"/>
    <s v="Service Booked"/>
    <x v="5"/>
    <x v="2"/>
    <n v="445.5"/>
    <n v="1485"/>
    <n v="1039.5"/>
  </r>
  <r>
    <x v="5"/>
    <x v="1"/>
    <s v="Delivered"/>
    <x v="2"/>
    <x v="3"/>
    <n v="106"/>
    <n v="530"/>
    <n v="424"/>
  </r>
  <r>
    <x v="5"/>
    <x v="0"/>
    <s v="Service Booked"/>
    <x v="4"/>
    <x v="0"/>
    <n v="76.5"/>
    <n v="306"/>
    <n v="229.5"/>
  </r>
  <r>
    <x v="5"/>
    <x v="2"/>
    <s v="Delivered"/>
    <x v="1"/>
    <x v="2"/>
    <n v="478.2"/>
    <n v="1594"/>
    <n v="1115.8"/>
  </r>
  <r>
    <x v="5"/>
    <x v="2"/>
    <s v="Service Booked"/>
    <x v="6"/>
    <x v="1"/>
    <n v="80.2"/>
    <n v="802"/>
    <n v="721.8"/>
  </r>
  <r>
    <x v="5"/>
    <x v="2"/>
    <s v="Service Booked"/>
    <x v="4"/>
    <x v="3"/>
    <n v="25.4"/>
    <n v="127"/>
    <n v="101.6"/>
  </r>
  <r>
    <x v="5"/>
    <x v="1"/>
    <s v="Service Booked"/>
    <x v="5"/>
    <x v="0"/>
    <n v="53"/>
    <n v="212"/>
    <n v="159"/>
  </r>
  <r>
    <x v="5"/>
    <x v="0"/>
    <s v="Delivered"/>
    <x v="2"/>
    <x v="0"/>
    <n v="208.5"/>
    <n v="834"/>
    <n v="625.5"/>
  </r>
  <r>
    <x v="5"/>
    <x v="2"/>
    <s v="Service Booked"/>
    <x v="1"/>
    <x v="1"/>
    <n v="36.9"/>
    <n v="369"/>
    <n v="332.1"/>
  </r>
  <r>
    <x v="6"/>
    <x v="0"/>
    <s v="Delivered"/>
    <x v="1"/>
    <x v="3"/>
    <n v="302.8"/>
    <n v="1514"/>
    <n v="1211.2"/>
  </r>
  <r>
    <x v="6"/>
    <x v="1"/>
    <s v="Delivered"/>
    <x v="1"/>
    <x v="0"/>
    <n v="117.75"/>
    <n v="471"/>
    <n v="353.25"/>
  </r>
  <r>
    <x v="6"/>
    <x v="2"/>
    <s v="Cancelled"/>
    <x v="0"/>
    <x v="1"/>
    <n v="90.6"/>
    <n v="906"/>
    <n v="815.4"/>
  </r>
  <r>
    <x v="6"/>
    <x v="2"/>
    <s v="Service Booked"/>
    <x v="6"/>
    <x v="3"/>
    <n v="281.2"/>
    <n v="1406"/>
    <n v="1124.8"/>
  </r>
  <r>
    <x v="6"/>
    <x v="0"/>
    <s v="Delivered"/>
    <x v="4"/>
    <x v="0"/>
    <n v="419.25"/>
    <n v="1677"/>
    <n v="1257.75"/>
  </r>
  <r>
    <x v="6"/>
    <x v="0"/>
    <s v="Cancelled"/>
    <x v="6"/>
    <x v="0"/>
    <n v="245.25"/>
    <n v="981"/>
    <n v="735.75"/>
  </r>
  <r>
    <x v="6"/>
    <x v="2"/>
    <s v="Service Booked"/>
    <x v="0"/>
    <x v="0"/>
    <n v="16.75"/>
    <n v="67"/>
    <n v="50.25"/>
  </r>
  <r>
    <x v="6"/>
    <x v="0"/>
    <s v="Service Booked"/>
    <x v="5"/>
    <x v="0"/>
    <n v="220.5"/>
    <n v="882"/>
    <n v="661.5"/>
  </r>
  <r>
    <x v="6"/>
    <x v="2"/>
    <s v="Delivered"/>
    <x v="4"/>
    <x v="3"/>
    <n v="91.4"/>
    <n v="457"/>
    <n v="365.6"/>
  </r>
  <r>
    <x v="6"/>
    <x v="1"/>
    <s v="Delivered"/>
    <x v="7"/>
    <x v="2"/>
    <n v="424.8"/>
    <n v="1416"/>
    <n v="991.2"/>
  </r>
  <r>
    <x v="6"/>
    <x v="2"/>
    <s v="Delivered"/>
    <x v="7"/>
    <x v="2"/>
    <n v="24"/>
    <n v="80"/>
    <n v="56"/>
  </r>
  <r>
    <x v="6"/>
    <x v="2"/>
    <s v="Service Booked"/>
    <x v="5"/>
    <x v="0"/>
    <n v="125.25"/>
    <n v="501"/>
    <n v="375.75"/>
  </r>
  <r>
    <x v="6"/>
    <x v="1"/>
    <s v="In Progress"/>
    <x v="6"/>
    <x v="0"/>
    <n v="285.75"/>
    <n v="1143"/>
    <n v="857.25"/>
  </r>
  <r>
    <x v="6"/>
    <x v="2"/>
    <s v="Service Booked"/>
    <x v="2"/>
    <x v="2"/>
    <n v="463.2"/>
    <n v="1544"/>
    <n v="1080.8"/>
  </r>
  <r>
    <x v="6"/>
    <x v="1"/>
    <s v="Delivered"/>
    <x v="2"/>
    <x v="2"/>
    <n v="206.7"/>
    <n v="689"/>
    <n v="482.3"/>
  </r>
  <r>
    <x v="6"/>
    <x v="1"/>
    <s v="Service Booked"/>
    <x v="4"/>
    <x v="0"/>
    <n v="375"/>
    <n v="1500"/>
    <n v="1125"/>
  </r>
  <r>
    <x v="6"/>
    <x v="0"/>
    <s v="Service Booked"/>
    <x v="2"/>
    <x v="1"/>
    <n v="167.6"/>
    <n v="1676"/>
    <n v="1508.4"/>
  </r>
  <r>
    <x v="6"/>
    <x v="2"/>
    <s v="Delivered"/>
    <x v="6"/>
    <x v="1"/>
    <n v="36.200000000000003"/>
    <n v="362"/>
    <n v="325.8"/>
  </r>
  <r>
    <x v="6"/>
    <x v="1"/>
    <s v="Delivered"/>
    <x v="2"/>
    <x v="2"/>
    <n v="36.9"/>
    <n v="123"/>
    <n v="86.1"/>
  </r>
  <r>
    <x v="6"/>
    <x v="2"/>
    <s v="Delivered"/>
    <x v="6"/>
    <x v="0"/>
    <n v="259.25"/>
    <n v="1037"/>
    <n v="777.75"/>
  </r>
  <r>
    <x v="6"/>
    <x v="1"/>
    <s v="Delivered"/>
    <x v="5"/>
    <x v="2"/>
    <n v="139.80000000000001"/>
    <n v="466"/>
    <n v="326.2"/>
  </r>
  <r>
    <x v="6"/>
    <x v="0"/>
    <s v="In Progress"/>
    <x v="4"/>
    <x v="3"/>
    <n v="239.8"/>
    <n v="1199"/>
    <n v="959.2"/>
  </r>
  <r>
    <x v="6"/>
    <x v="1"/>
    <s v="Service Booked"/>
    <x v="3"/>
    <x v="2"/>
    <n v="203.1"/>
    <n v="677"/>
    <n v="473.9"/>
  </r>
  <r>
    <x v="6"/>
    <x v="2"/>
    <s v="Delivered"/>
    <x v="4"/>
    <x v="2"/>
    <n v="393.3"/>
    <n v="1311"/>
    <n v="917.7"/>
  </r>
  <r>
    <x v="6"/>
    <x v="0"/>
    <s v="Service Booked"/>
    <x v="0"/>
    <x v="2"/>
    <n v="325.5"/>
    <n v="1085"/>
    <n v="759.5"/>
  </r>
  <r>
    <x v="6"/>
    <x v="1"/>
    <s v="Delivered"/>
    <x v="1"/>
    <x v="1"/>
    <n v="90"/>
    <n v="900"/>
    <n v="810"/>
  </r>
  <r>
    <x v="6"/>
    <x v="1"/>
    <s v="Service Booked"/>
    <x v="0"/>
    <x v="2"/>
    <n v="247.5"/>
    <n v="825"/>
    <n v="577.5"/>
  </r>
  <r>
    <x v="6"/>
    <x v="1"/>
    <s v="Service Booked"/>
    <x v="6"/>
    <x v="2"/>
    <n v="551.1"/>
    <n v="1837"/>
    <n v="1285.9000000000001"/>
  </r>
  <r>
    <x v="6"/>
    <x v="2"/>
    <s v="Delivered"/>
    <x v="5"/>
    <x v="0"/>
    <n v="395.75"/>
    <n v="1583"/>
    <n v="1187.25"/>
  </r>
  <r>
    <x v="6"/>
    <x v="2"/>
    <s v="In Progress"/>
    <x v="6"/>
    <x v="2"/>
    <n v="74.7"/>
    <n v="249"/>
    <n v="174.3"/>
  </r>
  <r>
    <x v="6"/>
    <x v="2"/>
    <s v="Service Booked"/>
    <x v="3"/>
    <x v="0"/>
    <n v="59.75"/>
    <n v="239"/>
    <n v="179.25"/>
  </r>
  <r>
    <x v="6"/>
    <x v="0"/>
    <s v="Service Booked"/>
    <x v="3"/>
    <x v="3"/>
    <n v="210.8"/>
    <n v="1054"/>
    <n v="843.2"/>
  </r>
  <r>
    <x v="6"/>
    <x v="1"/>
    <s v="Service Booked"/>
    <x v="0"/>
    <x v="0"/>
    <n v="143.25"/>
    <n v="573"/>
    <n v="429.75"/>
  </r>
  <r>
    <x v="6"/>
    <x v="2"/>
    <s v="Delivered"/>
    <x v="5"/>
    <x v="0"/>
    <n v="358.75"/>
    <n v="1435"/>
    <n v="1076.25"/>
  </r>
  <r>
    <x v="6"/>
    <x v="1"/>
    <s v="Delivered"/>
    <x v="0"/>
    <x v="0"/>
    <n v="179.5"/>
    <n v="718"/>
    <n v="538.5"/>
  </r>
  <r>
    <x v="6"/>
    <x v="2"/>
    <s v="Delivered"/>
    <x v="1"/>
    <x v="0"/>
    <n v="457.25"/>
    <n v="1829"/>
    <n v="1371.75"/>
  </r>
  <r>
    <x v="6"/>
    <x v="0"/>
    <s v="Delivered"/>
    <x v="4"/>
    <x v="0"/>
    <n v="347.75"/>
    <n v="1391"/>
    <n v="1043.25"/>
  </r>
  <r>
    <x v="6"/>
    <x v="0"/>
    <s v="Service Booked"/>
    <x v="2"/>
    <x v="0"/>
    <n v="364"/>
    <n v="1456"/>
    <n v="1092"/>
  </r>
  <r>
    <x v="6"/>
    <x v="1"/>
    <s v="Service Booked"/>
    <x v="1"/>
    <x v="0"/>
    <n v="144.25"/>
    <n v="577"/>
    <n v="432.75"/>
  </r>
  <r>
    <x v="6"/>
    <x v="2"/>
    <s v="Delivered"/>
    <x v="2"/>
    <x v="0"/>
    <n v="248.75"/>
    <n v="995"/>
    <n v="746.25"/>
  </r>
  <r>
    <x v="6"/>
    <x v="1"/>
    <s v="Cancelled"/>
    <x v="0"/>
    <x v="0"/>
    <n v="418.5"/>
    <n v="1674"/>
    <n v="1255.5"/>
  </r>
  <r>
    <x v="6"/>
    <x v="2"/>
    <s v="Service Booked"/>
    <x v="1"/>
    <x v="0"/>
    <n v="117.5"/>
    <n v="470"/>
    <n v="352.5"/>
  </r>
  <r>
    <x v="6"/>
    <x v="1"/>
    <s v="Delivered"/>
    <x v="3"/>
    <x v="3"/>
    <n v="113.4"/>
    <n v="567"/>
    <n v="453.6"/>
  </r>
  <r>
    <x v="6"/>
    <x v="2"/>
    <s v="Service Booked"/>
    <x v="0"/>
    <x v="3"/>
    <n v="86.6"/>
    <n v="433"/>
    <n v="346.4"/>
  </r>
  <r>
    <x v="6"/>
    <x v="0"/>
    <s v="Cancelled"/>
    <x v="7"/>
    <x v="0"/>
    <n v="305"/>
    <n v="1220"/>
    <n v="915"/>
  </r>
  <r>
    <x v="6"/>
    <x v="1"/>
    <s v="In Progress"/>
    <x v="4"/>
    <x v="2"/>
    <n v="233.1"/>
    <n v="777"/>
    <n v="543.9"/>
  </r>
  <r>
    <x v="6"/>
    <x v="1"/>
    <s v="Delivered"/>
    <x v="1"/>
    <x v="1"/>
    <n v="138.5"/>
    <n v="1385"/>
    <n v="1246.5"/>
  </r>
  <r>
    <x v="6"/>
    <x v="2"/>
    <s v="Cancelled"/>
    <x v="0"/>
    <x v="2"/>
    <n v="95.7"/>
    <n v="319"/>
    <n v="223.3"/>
  </r>
  <r>
    <x v="6"/>
    <x v="1"/>
    <s v="Service Booked"/>
    <x v="2"/>
    <x v="2"/>
    <n v="93.6"/>
    <n v="312"/>
    <n v="218.4"/>
  </r>
  <r>
    <x v="6"/>
    <x v="2"/>
    <s v="Cancelled"/>
    <x v="0"/>
    <x v="2"/>
    <n v="324.60000000000002"/>
    <n v="1082"/>
    <n v="757.4"/>
  </r>
  <r>
    <x v="6"/>
    <x v="0"/>
    <s v="In Progress"/>
    <x v="1"/>
    <x v="2"/>
    <n v="184.8"/>
    <n v="616"/>
    <n v="431.2"/>
  </r>
  <r>
    <x v="6"/>
    <x v="0"/>
    <s v="Delivered"/>
    <x v="5"/>
    <x v="1"/>
    <n v="61.6"/>
    <n v="616"/>
    <n v="554.4"/>
  </r>
  <r>
    <x v="6"/>
    <x v="2"/>
    <s v="Service Booked"/>
    <x v="3"/>
    <x v="0"/>
    <n v="43.75"/>
    <n v="175"/>
    <n v="131.25"/>
  </r>
  <r>
    <x v="6"/>
    <x v="0"/>
    <s v="Delivered"/>
    <x v="2"/>
    <x v="0"/>
    <n v="73.5"/>
    <n v="294"/>
    <n v="220.5"/>
  </r>
  <r>
    <x v="6"/>
    <x v="0"/>
    <s v="Service Booked"/>
    <x v="2"/>
    <x v="0"/>
    <n v="306.5"/>
    <n v="1226"/>
    <n v="919.5"/>
  </r>
  <r>
    <x v="6"/>
    <x v="0"/>
    <s v="In Progress"/>
    <x v="1"/>
    <x v="0"/>
    <n v="160.25"/>
    <n v="641"/>
    <n v="480.75"/>
  </r>
  <r>
    <x v="6"/>
    <x v="1"/>
    <s v="Cancelled"/>
    <x v="5"/>
    <x v="0"/>
    <n v="303.75"/>
    <n v="1215"/>
    <n v="911.25"/>
  </r>
  <r>
    <x v="6"/>
    <x v="2"/>
    <s v="Delivered"/>
    <x v="7"/>
    <x v="1"/>
    <n v="176.3"/>
    <n v="1763"/>
    <n v="1586.7"/>
  </r>
  <r>
    <x v="6"/>
    <x v="1"/>
    <s v="Service Booked"/>
    <x v="4"/>
    <x v="1"/>
    <n v="130.9"/>
    <n v="1309"/>
    <n v="1178.0999999999999"/>
  </r>
  <r>
    <x v="6"/>
    <x v="1"/>
    <s v="Service Booked"/>
    <x v="7"/>
    <x v="2"/>
    <n v="78.599999999999994"/>
    <n v="262"/>
    <n v="183.4"/>
  </r>
  <r>
    <x v="6"/>
    <x v="1"/>
    <s v="Delivered"/>
    <x v="7"/>
    <x v="0"/>
    <n v="125.25"/>
    <n v="501"/>
    <n v="375.75"/>
  </r>
  <r>
    <x v="6"/>
    <x v="1"/>
    <s v="Delivered"/>
    <x v="4"/>
    <x v="0"/>
    <n v="34.25"/>
    <n v="137"/>
    <n v="102.75"/>
  </r>
  <r>
    <x v="6"/>
    <x v="1"/>
    <s v="Delivered"/>
    <x v="5"/>
    <x v="1"/>
    <n v="90.9"/>
    <n v="909"/>
    <n v="818.1"/>
  </r>
  <r>
    <x v="6"/>
    <x v="0"/>
    <s v="Cancelled"/>
    <x v="7"/>
    <x v="3"/>
    <n v="188.8"/>
    <n v="944"/>
    <n v="755.2"/>
  </r>
  <r>
    <x v="6"/>
    <x v="1"/>
    <s v="Service Booked"/>
    <x v="6"/>
    <x v="2"/>
    <n v="513.6"/>
    <n v="1712"/>
    <n v="1198.4000000000001"/>
  </r>
  <r>
    <x v="6"/>
    <x v="1"/>
    <s v="Cancelled"/>
    <x v="7"/>
    <x v="3"/>
    <n v="107"/>
    <n v="535"/>
    <n v="428"/>
  </r>
  <r>
    <x v="6"/>
    <x v="1"/>
    <s v="Delivered"/>
    <x v="3"/>
    <x v="0"/>
    <n v="328"/>
    <n v="1312"/>
    <n v="984"/>
  </r>
  <r>
    <x v="6"/>
    <x v="0"/>
    <s v="Delivered"/>
    <x v="3"/>
    <x v="3"/>
    <n v="327.60000000000002"/>
    <n v="1638"/>
    <n v="1310.4000000000001"/>
  </r>
  <r>
    <x v="6"/>
    <x v="0"/>
    <s v="Delivered"/>
    <x v="3"/>
    <x v="0"/>
    <n v="320.5"/>
    <n v="1282"/>
    <n v="961.5"/>
  </r>
  <r>
    <x v="6"/>
    <x v="1"/>
    <s v="Service Booked"/>
    <x v="7"/>
    <x v="0"/>
    <n v="73.25"/>
    <n v="293"/>
    <n v="219.75"/>
  </r>
  <r>
    <x v="6"/>
    <x v="2"/>
    <s v="Delivered"/>
    <x v="7"/>
    <x v="0"/>
    <n v="251.25"/>
    <n v="1005"/>
    <n v="753.75"/>
  </r>
  <r>
    <x v="6"/>
    <x v="1"/>
    <s v="Service Booked"/>
    <x v="6"/>
    <x v="0"/>
    <n v="360"/>
    <n v="1440"/>
    <n v="1080"/>
  </r>
  <r>
    <x v="6"/>
    <x v="1"/>
    <s v="Service Booked"/>
    <x v="3"/>
    <x v="3"/>
    <n v="204.2"/>
    <n v="1021"/>
    <n v="816.8"/>
  </r>
  <r>
    <x v="6"/>
    <x v="0"/>
    <s v="Service Booked"/>
    <x v="6"/>
    <x v="3"/>
    <n v="16.399999999999999"/>
    <n v="82"/>
    <n v="65.599999999999994"/>
  </r>
  <r>
    <x v="6"/>
    <x v="1"/>
    <s v="Delivered"/>
    <x v="2"/>
    <x v="2"/>
    <n v="36.299999999999997"/>
    <n v="121"/>
    <n v="84.7"/>
  </r>
  <r>
    <x v="6"/>
    <x v="0"/>
    <s v="Cancelled"/>
    <x v="0"/>
    <x v="1"/>
    <n v="32.200000000000003"/>
    <n v="322"/>
    <n v="289.8"/>
  </r>
  <r>
    <x v="6"/>
    <x v="1"/>
    <s v="Delivered"/>
    <x v="1"/>
    <x v="0"/>
    <n v="59.75"/>
    <n v="239"/>
    <n v="179.25"/>
  </r>
  <r>
    <x v="6"/>
    <x v="2"/>
    <s v="Service Booked"/>
    <x v="6"/>
    <x v="2"/>
    <n v="351.9"/>
    <n v="1173"/>
    <n v="821.1"/>
  </r>
  <r>
    <x v="6"/>
    <x v="1"/>
    <s v="Delivered"/>
    <x v="7"/>
    <x v="2"/>
    <n v="165.3"/>
    <n v="551"/>
    <n v="385.7"/>
  </r>
  <r>
    <x v="6"/>
    <x v="1"/>
    <s v="Cancelled"/>
    <x v="5"/>
    <x v="1"/>
    <n v="39.1"/>
    <n v="391"/>
    <n v="351.9"/>
  </r>
  <r>
    <x v="6"/>
    <x v="0"/>
    <s v="Delivered"/>
    <x v="6"/>
    <x v="1"/>
    <n v="5.4"/>
    <n v="54"/>
    <n v="48.6"/>
  </r>
  <r>
    <x v="6"/>
    <x v="1"/>
    <s v="Delivered"/>
    <x v="7"/>
    <x v="2"/>
    <n v="109.2"/>
    <n v="364"/>
    <n v="254.8"/>
  </r>
  <r>
    <x v="6"/>
    <x v="0"/>
    <s v="In Progress"/>
    <x v="5"/>
    <x v="0"/>
    <n v="158"/>
    <n v="632"/>
    <n v="474"/>
  </r>
  <r>
    <x v="6"/>
    <x v="1"/>
    <s v="Cancelled"/>
    <x v="1"/>
    <x v="1"/>
    <n v="127"/>
    <n v="1270"/>
    <n v="1143"/>
  </r>
  <r>
    <x v="6"/>
    <x v="1"/>
    <s v="Delivered"/>
    <x v="6"/>
    <x v="0"/>
    <n v="301.75"/>
    <n v="1207"/>
    <n v="905.25"/>
  </r>
  <r>
    <x v="6"/>
    <x v="2"/>
    <s v="In Progress"/>
    <x v="1"/>
    <x v="3"/>
    <n v="270.60000000000002"/>
    <n v="1353"/>
    <n v="1082.4000000000001"/>
  </r>
  <r>
    <x v="6"/>
    <x v="1"/>
    <s v="In Progress"/>
    <x v="2"/>
    <x v="3"/>
    <n v="252"/>
    <n v="1260"/>
    <n v="1008"/>
  </r>
  <r>
    <x v="7"/>
    <x v="1"/>
    <s v="Delivered"/>
    <x v="0"/>
    <x v="3"/>
    <n v="295.2"/>
    <n v="1476"/>
    <n v="1180.8"/>
  </r>
  <r>
    <x v="7"/>
    <x v="2"/>
    <s v="Delivered"/>
    <x v="2"/>
    <x v="2"/>
    <n v="176.7"/>
    <n v="589"/>
    <n v="412.3"/>
  </r>
  <r>
    <x v="7"/>
    <x v="2"/>
    <s v="Service Booked"/>
    <x v="7"/>
    <x v="2"/>
    <n v="450.6"/>
    <n v="1502"/>
    <n v="1051.4000000000001"/>
  </r>
  <r>
    <x v="7"/>
    <x v="1"/>
    <s v="Service Booked"/>
    <x v="0"/>
    <x v="2"/>
    <n v="75"/>
    <n v="250"/>
    <n v="175"/>
  </r>
  <r>
    <x v="7"/>
    <x v="1"/>
    <s v="Service Booked"/>
    <x v="3"/>
    <x v="1"/>
    <n v="175.6"/>
    <n v="1756"/>
    <n v="1580.4"/>
  </r>
  <r>
    <x v="7"/>
    <x v="2"/>
    <s v="Service Booked"/>
    <x v="4"/>
    <x v="3"/>
    <n v="318.60000000000002"/>
    <n v="1593"/>
    <n v="1274.4000000000001"/>
  </r>
  <r>
    <x v="7"/>
    <x v="0"/>
    <s v="Delivered"/>
    <x v="6"/>
    <x v="0"/>
    <n v="43.75"/>
    <n v="175"/>
    <n v="131.25"/>
  </r>
  <r>
    <x v="7"/>
    <x v="0"/>
    <s v="Delivered"/>
    <x v="7"/>
    <x v="0"/>
    <n v="275"/>
    <n v="1100"/>
    <n v="825"/>
  </r>
  <r>
    <x v="7"/>
    <x v="2"/>
    <s v="Service Booked"/>
    <x v="0"/>
    <x v="1"/>
    <n v="178.3"/>
    <n v="1783"/>
    <n v="1604.7"/>
  </r>
  <r>
    <x v="7"/>
    <x v="2"/>
    <s v="Delivered"/>
    <x v="5"/>
    <x v="0"/>
    <n v="243.25"/>
    <n v="973"/>
    <n v="729.75"/>
  </r>
  <r>
    <x v="7"/>
    <x v="0"/>
    <s v="Service Booked"/>
    <x v="2"/>
    <x v="3"/>
    <n v="97.8"/>
    <n v="489"/>
    <n v="391.2"/>
  </r>
  <r>
    <x v="7"/>
    <x v="1"/>
    <s v="Delivered"/>
    <x v="4"/>
    <x v="3"/>
    <n v="307"/>
    <n v="1535"/>
    <n v="1228"/>
  </r>
  <r>
    <x v="7"/>
    <x v="2"/>
    <s v="Delivered"/>
    <x v="7"/>
    <x v="2"/>
    <n v="473.1"/>
    <n v="1577"/>
    <n v="1103.9000000000001"/>
  </r>
  <r>
    <x v="7"/>
    <x v="1"/>
    <s v="Service Booked"/>
    <x v="4"/>
    <x v="3"/>
    <n v="216.6"/>
    <n v="1083"/>
    <n v="866.4"/>
  </r>
  <r>
    <x v="7"/>
    <x v="1"/>
    <s v="Service Booked"/>
    <x v="5"/>
    <x v="0"/>
    <n v="443"/>
    <n v="1772"/>
    <n v="1329"/>
  </r>
  <r>
    <x v="7"/>
    <x v="1"/>
    <s v="Service Booked"/>
    <x v="4"/>
    <x v="0"/>
    <n v="309.5"/>
    <n v="1238"/>
    <n v="928.5"/>
  </r>
  <r>
    <x v="7"/>
    <x v="2"/>
    <s v="Service Booked"/>
    <x v="1"/>
    <x v="2"/>
    <n v="277.5"/>
    <n v="925"/>
    <n v="647.5"/>
  </r>
  <r>
    <x v="7"/>
    <x v="1"/>
    <s v="In Progress"/>
    <x v="5"/>
    <x v="1"/>
    <n v="70.400000000000006"/>
    <n v="704"/>
    <n v="633.6"/>
  </r>
  <r>
    <x v="7"/>
    <x v="1"/>
    <s v="Delivered"/>
    <x v="3"/>
    <x v="3"/>
    <n v="11.4"/>
    <n v="57"/>
    <n v="45.6"/>
  </r>
  <r>
    <x v="7"/>
    <x v="2"/>
    <s v="Service Booked"/>
    <x v="0"/>
    <x v="1"/>
    <n v="122.7"/>
    <n v="1227"/>
    <n v="1104.3"/>
  </r>
  <r>
    <x v="7"/>
    <x v="0"/>
    <s v="Delivered"/>
    <x v="7"/>
    <x v="0"/>
    <n v="111.25"/>
    <n v="445"/>
    <n v="333.75"/>
  </r>
  <r>
    <x v="7"/>
    <x v="2"/>
    <s v="Cancelled"/>
    <x v="2"/>
    <x v="2"/>
    <n v="551.70000000000005"/>
    <n v="1839"/>
    <n v="1287.3"/>
  </r>
  <r>
    <x v="7"/>
    <x v="2"/>
    <s v="Cancelled"/>
    <x v="5"/>
    <x v="2"/>
    <n v="269.10000000000002"/>
    <n v="897"/>
    <n v="627.9"/>
  </r>
  <r>
    <x v="7"/>
    <x v="2"/>
    <s v="Service Booked"/>
    <x v="1"/>
    <x v="2"/>
    <n v="144.6"/>
    <n v="482"/>
    <n v="337.4"/>
  </r>
  <r>
    <x v="7"/>
    <x v="1"/>
    <s v="Service Booked"/>
    <x v="5"/>
    <x v="3"/>
    <n v="107.8"/>
    <n v="539"/>
    <n v="431.2"/>
  </r>
  <r>
    <x v="7"/>
    <x v="0"/>
    <s v="Delivered"/>
    <x v="6"/>
    <x v="3"/>
    <n v="319.2"/>
    <n v="1596"/>
    <n v="1276.8"/>
  </r>
  <r>
    <x v="7"/>
    <x v="1"/>
    <s v="Delivered"/>
    <x v="1"/>
    <x v="0"/>
    <n v="331.75"/>
    <n v="1327"/>
    <n v="995.25"/>
  </r>
  <r>
    <x v="7"/>
    <x v="0"/>
    <s v="Cancelled"/>
    <x v="4"/>
    <x v="0"/>
    <n v="96.75"/>
    <n v="387"/>
    <n v="290.25"/>
  </r>
  <r>
    <x v="7"/>
    <x v="1"/>
    <s v="Delivered"/>
    <x v="4"/>
    <x v="2"/>
    <n v="107.1"/>
    <n v="357"/>
    <n v="249.9"/>
  </r>
  <r>
    <x v="7"/>
    <x v="2"/>
    <s v="Delivered"/>
    <x v="1"/>
    <x v="1"/>
    <n v="48.2"/>
    <n v="482"/>
    <n v="433.8"/>
  </r>
  <r>
    <x v="7"/>
    <x v="0"/>
    <s v="Cancelled"/>
    <x v="3"/>
    <x v="3"/>
    <n v="237.8"/>
    <n v="1189"/>
    <n v="951.2"/>
  </r>
  <r>
    <x v="7"/>
    <x v="1"/>
    <s v="Delivered"/>
    <x v="4"/>
    <x v="0"/>
    <n v="96"/>
    <n v="384"/>
    <n v="288"/>
  </r>
  <r>
    <x v="7"/>
    <x v="0"/>
    <s v="Service Booked"/>
    <x v="3"/>
    <x v="2"/>
    <n v="11.7"/>
    <n v="39"/>
    <n v="27.3"/>
  </r>
  <r>
    <x v="7"/>
    <x v="2"/>
    <s v="Delivered"/>
    <x v="7"/>
    <x v="3"/>
    <n v="51.6"/>
    <n v="258"/>
    <n v="206.4"/>
  </r>
  <r>
    <x v="7"/>
    <x v="1"/>
    <s v="Service Booked"/>
    <x v="1"/>
    <x v="2"/>
    <n v="133.5"/>
    <n v="445"/>
    <n v="311.5"/>
  </r>
  <r>
    <x v="7"/>
    <x v="1"/>
    <s v="Delivered"/>
    <x v="2"/>
    <x v="2"/>
    <n v="37.5"/>
    <n v="125"/>
    <n v="87.5"/>
  </r>
  <r>
    <x v="7"/>
    <x v="0"/>
    <s v="Service Booked"/>
    <x v="2"/>
    <x v="0"/>
    <n v="198.5"/>
    <n v="794"/>
    <n v="595.5"/>
  </r>
  <r>
    <x v="7"/>
    <x v="1"/>
    <s v="Delivered"/>
    <x v="7"/>
    <x v="0"/>
    <n v="108"/>
    <n v="432"/>
    <n v="324"/>
  </r>
  <r>
    <x v="7"/>
    <x v="0"/>
    <s v="Delivered"/>
    <x v="6"/>
    <x v="3"/>
    <n v="259.39999999999998"/>
    <n v="1297"/>
    <n v="1037.5999999999999"/>
  </r>
  <r>
    <x v="7"/>
    <x v="1"/>
    <s v="Delivered"/>
    <x v="0"/>
    <x v="1"/>
    <n v="92.1"/>
    <n v="921"/>
    <n v="828.9"/>
  </r>
  <r>
    <x v="7"/>
    <x v="2"/>
    <s v="Delivered"/>
    <x v="5"/>
    <x v="1"/>
    <n v="130.5"/>
    <n v="1305"/>
    <n v="1174.5"/>
  </r>
  <r>
    <x v="7"/>
    <x v="0"/>
    <s v="Service Booked"/>
    <x v="7"/>
    <x v="0"/>
    <n v="25.5"/>
    <n v="102"/>
    <n v="76.5"/>
  </r>
  <r>
    <x v="7"/>
    <x v="2"/>
    <s v="Service Booked"/>
    <x v="5"/>
    <x v="2"/>
    <n v="276"/>
    <n v="920"/>
    <n v="644"/>
  </r>
  <r>
    <x v="7"/>
    <x v="2"/>
    <s v="Delivered"/>
    <x v="3"/>
    <x v="3"/>
    <n v="329.8"/>
    <n v="1649"/>
    <n v="1319.2"/>
  </r>
  <r>
    <x v="7"/>
    <x v="2"/>
    <s v="Delivered"/>
    <x v="4"/>
    <x v="0"/>
    <n v="377.5"/>
    <n v="1510"/>
    <n v="1132.5"/>
  </r>
  <r>
    <x v="7"/>
    <x v="1"/>
    <s v="Delivered"/>
    <x v="4"/>
    <x v="0"/>
    <n v="261.25"/>
    <n v="1045"/>
    <n v="783.75"/>
  </r>
  <r>
    <x v="7"/>
    <x v="2"/>
    <s v="Service Booked"/>
    <x v="1"/>
    <x v="0"/>
    <n v="133.25"/>
    <n v="533"/>
    <n v="399.75"/>
  </r>
  <r>
    <x v="7"/>
    <x v="1"/>
    <s v="Delivered"/>
    <x v="2"/>
    <x v="3"/>
    <n v="147.80000000000001"/>
    <n v="739"/>
    <n v="591.20000000000005"/>
  </r>
  <r>
    <x v="7"/>
    <x v="1"/>
    <s v="Delivered"/>
    <x v="2"/>
    <x v="1"/>
    <n v="43"/>
    <n v="430"/>
    <n v="387"/>
  </r>
  <r>
    <x v="7"/>
    <x v="2"/>
    <s v="In Progress"/>
    <x v="1"/>
    <x v="0"/>
    <n v="368"/>
    <n v="1472"/>
    <n v="1104"/>
  </r>
  <r>
    <x v="7"/>
    <x v="0"/>
    <s v="Service Booked"/>
    <x v="0"/>
    <x v="2"/>
    <n v="433.2"/>
    <n v="1444"/>
    <n v="1010.8"/>
  </r>
  <r>
    <x v="7"/>
    <x v="2"/>
    <s v="Service Booked"/>
    <x v="2"/>
    <x v="1"/>
    <n v="98"/>
    <n v="980"/>
    <n v="882"/>
  </r>
  <r>
    <x v="7"/>
    <x v="2"/>
    <s v="Delivered"/>
    <x v="4"/>
    <x v="2"/>
    <n v="33.299999999999997"/>
    <n v="111"/>
    <n v="77.7"/>
  </r>
  <r>
    <x v="7"/>
    <x v="0"/>
    <s v="Service Booked"/>
    <x v="0"/>
    <x v="0"/>
    <n v="189.75"/>
    <n v="759"/>
    <n v="569.25"/>
  </r>
  <r>
    <x v="7"/>
    <x v="1"/>
    <s v="Service Booked"/>
    <x v="2"/>
    <x v="1"/>
    <n v="80.900000000000006"/>
    <n v="809"/>
    <n v="728.1"/>
  </r>
  <r>
    <x v="7"/>
    <x v="2"/>
    <s v="Delivered"/>
    <x v="5"/>
    <x v="0"/>
    <n v="323.25"/>
    <n v="1293"/>
    <n v="969.75"/>
  </r>
  <r>
    <x v="7"/>
    <x v="0"/>
    <s v="In Progress"/>
    <x v="6"/>
    <x v="3"/>
    <n v="326"/>
    <n v="1630"/>
    <n v="1304"/>
  </r>
  <r>
    <x v="7"/>
    <x v="0"/>
    <s v="Delivered"/>
    <x v="1"/>
    <x v="3"/>
    <n v="291.60000000000002"/>
    <n v="1458"/>
    <n v="1166.4000000000001"/>
  </r>
  <r>
    <x v="7"/>
    <x v="1"/>
    <s v="Delivered"/>
    <x v="6"/>
    <x v="1"/>
    <n v="11.6"/>
    <n v="116"/>
    <n v="104.4"/>
  </r>
  <r>
    <x v="7"/>
    <x v="2"/>
    <s v="Service Booked"/>
    <x v="6"/>
    <x v="0"/>
    <n v="385"/>
    <n v="1540"/>
    <n v="1155"/>
  </r>
  <r>
    <x v="7"/>
    <x v="2"/>
    <s v="Delivered"/>
    <x v="2"/>
    <x v="0"/>
    <n v="237.25"/>
    <n v="949"/>
    <n v="711.75"/>
  </r>
  <r>
    <x v="7"/>
    <x v="0"/>
    <s v="Service Booked"/>
    <x v="3"/>
    <x v="2"/>
    <n v="50.7"/>
    <n v="169"/>
    <n v="118.3"/>
  </r>
  <r>
    <x v="7"/>
    <x v="2"/>
    <s v="In Progress"/>
    <x v="1"/>
    <x v="0"/>
    <n v="222"/>
    <n v="888"/>
    <n v="666"/>
  </r>
  <r>
    <x v="7"/>
    <x v="1"/>
    <s v="In Progress"/>
    <x v="2"/>
    <x v="3"/>
    <n v="50.6"/>
    <n v="253"/>
    <n v="202.4"/>
  </r>
  <r>
    <x v="7"/>
    <x v="0"/>
    <s v="In Progress"/>
    <x v="6"/>
    <x v="2"/>
    <n v="165"/>
    <n v="550"/>
    <n v="385"/>
  </r>
  <r>
    <x v="7"/>
    <x v="1"/>
    <s v="In Progress"/>
    <x v="1"/>
    <x v="0"/>
    <n v="212"/>
    <n v="848"/>
    <n v="636"/>
  </r>
  <r>
    <x v="7"/>
    <x v="1"/>
    <s v="Delivered"/>
    <x v="1"/>
    <x v="0"/>
    <n v="192.5"/>
    <n v="770"/>
    <n v="577.5"/>
  </r>
  <r>
    <x v="7"/>
    <x v="2"/>
    <s v="Service Booked"/>
    <x v="2"/>
    <x v="0"/>
    <n v="101.75"/>
    <n v="407"/>
    <n v="305.25"/>
  </r>
  <r>
    <x v="7"/>
    <x v="1"/>
    <s v="Delivered"/>
    <x v="6"/>
    <x v="0"/>
    <n v="74.25"/>
    <n v="297"/>
    <n v="222.75"/>
  </r>
  <r>
    <x v="7"/>
    <x v="0"/>
    <s v="Delivered"/>
    <x v="7"/>
    <x v="0"/>
    <n v="172.25"/>
    <n v="689"/>
    <n v="516.75"/>
  </r>
  <r>
    <x v="7"/>
    <x v="1"/>
    <s v="Service Booked"/>
    <x v="6"/>
    <x v="2"/>
    <n v="382.8"/>
    <n v="1276"/>
    <n v="893.2"/>
  </r>
  <r>
    <x v="7"/>
    <x v="2"/>
    <s v="Delivered"/>
    <x v="2"/>
    <x v="2"/>
    <n v="414"/>
    <n v="1380"/>
    <n v="966"/>
  </r>
  <r>
    <x v="7"/>
    <x v="1"/>
    <s v="Service Booked"/>
    <x v="1"/>
    <x v="0"/>
    <n v="90.75"/>
    <n v="363"/>
    <n v="272.25"/>
  </r>
  <r>
    <x v="7"/>
    <x v="2"/>
    <s v="Service Booked"/>
    <x v="4"/>
    <x v="0"/>
    <n v="77.25"/>
    <n v="309"/>
    <n v="231.75"/>
  </r>
  <r>
    <x v="7"/>
    <x v="1"/>
    <s v="Delivered"/>
    <x v="5"/>
    <x v="0"/>
    <n v="141.5"/>
    <n v="566"/>
    <n v="424.5"/>
  </r>
  <r>
    <x v="7"/>
    <x v="2"/>
    <s v="Delivered"/>
    <x v="7"/>
    <x v="0"/>
    <n v="61.25"/>
    <n v="245"/>
    <n v="183.75"/>
  </r>
  <r>
    <x v="7"/>
    <x v="0"/>
    <s v="Cancelled"/>
    <x v="3"/>
    <x v="1"/>
    <n v="165.3"/>
    <n v="1653"/>
    <n v="1487.7"/>
  </r>
  <r>
    <x v="7"/>
    <x v="2"/>
    <s v="Service Booked"/>
    <x v="3"/>
    <x v="0"/>
    <n v="47"/>
    <n v="188"/>
    <n v="141"/>
  </r>
  <r>
    <x v="7"/>
    <x v="1"/>
    <s v="Delivered"/>
    <x v="2"/>
    <x v="2"/>
    <n v="171.9"/>
    <n v="573"/>
    <n v="401.1"/>
  </r>
  <r>
    <x v="7"/>
    <x v="1"/>
    <s v="Cancelled"/>
    <x v="7"/>
    <x v="0"/>
    <n v="62.75"/>
    <n v="251"/>
    <n v="188.25"/>
  </r>
  <r>
    <x v="7"/>
    <x v="2"/>
    <s v="Delivered"/>
    <x v="7"/>
    <x v="2"/>
    <n v="229.2"/>
    <n v="764"/>
    <n v="534.79999999999995"/>
  </r>
  <r>
    <x v="7"/>
    <x v="0"/>
    <s v="Delivered"/>
    <x v="2"/>
    <x v="1"/>
    <n v="94.3"/>
    <n v="943"/>
    <n v="848.7"/>
  </r>
  <r>
    <x v="7"/>
    <x v="2"/>
    <s v="Service Booked"/>
    <x v="2"/>
    <x v="2"/>
    <n v="26.4"/>
    <n v="88"/>
    <n v="61.6"/>
  </r>
  <r>
    <x v="7"/>
    <x v="2"/>
    <s v="Delivered"/>
    <x v="1"/>
    <x v="0"/>
    <n v="320.75"/>
    <n v="1283"/>
    <n v="962.25"/>
  </r>
  <r>
    <x v="7"/>
    <x v="1"/>
    <s v="Service Booked"/>
    <x v="7"/>
    <x v="2"/>
    <n v="248.1"/>
    <n v="827"/>
    <n v="578.9"/>
  </r>
  <r>
    <x v="7"/>
    <x v="0"/>
    <s v="Cancelled"/>
    <x v="7"/>
    <x v="2"/>
    <n v="60.3"/>
    <n v="201"/>
    <n v="140.69999999999999"/>
  </r>
  <r>
    <x v="7"/>
    <x v="2"/>
    <s v="Cancelled"/>
    <x v="2"/>
    <x v="3"/>
    <n v="52.6"/>
    <n v="263"/>
    <n v="210.4"/>
  </r>
  <r>
    <x v="7"/>
    <x v="0"/>
    <s v="In Progress"/>
    <x v="4"/>
    <x v="1"/>
    <n v="31"/>
    <n v="310"/>
    <n v="279"/>
  </r>
  <r>
    <x v="7"/>
    <x v="0"/>
    <s v="Delivered"/>
    <x v="0"/>
    <x v="3"/>
    <n v="109"/>
    <n v="545"/>
    <n v="436"/>
  </r>
  <r>
    <x v="7"/>
    <x v="2"/>
    <s v="Delivered"/>
    <x v="3"/>
    <x v="1"/>
    <n v="162.9"/>
    <n v="1629"/>
    <n v="1466.1"/>
  </r>
  <r>
    <x v="7"/>
    <x v="0"/>
    <s v="Delivered"/>
    <x v="5"/>
    <x v="1"/>
    <n v="122.5"/>
    <n v="1225"/>
    <n v="1102.5"/>
  </r>
  <r>
    <x v="7"/>
    <x v="0"/>
    <s v="Service Booked"/>
    <x v="3"/>
    <x v="1"/>
    <n v="143.6"/>
    <n v="1436"/>
    <n v="1292.4000000000001"/>
  </r>
  <r>
    <x v="7"/>
    <x v="1"/>
    <s v="Service Booked"/>
    <x v="1"/>
    <x v="2"/>
    <n v="301.8"/>
    <n v="1006"/>
    <n v="704.2"/>
  </r>
  <r>
    <x v="7"/>
    <x v="0"/>
    <s v="Cancelled"/>
    <x v="3"/>
    <x v="0"/>
    <n v="252.75"/>
    <n v="1011"/>
    <n v="758.25"/>
  </r>
  <r>
    <x v="7"/>
    <x v="2"/>
    <s v="Delivered"/>
    <x v="7"/>
    <x v="2"/>
    <n v="536.1"/>
    <n v="1787"/>
    <n v="1250.9000000000001"/>
  </r>
  <r>
    <x v="7"/>
    <x v="0"/>
    <s v="Service Booked"/>
    <x v="5"/>
    <x v="0"/>
    <n v="400.5"/>
    <n v="1602"/>
    <n v="1201.5"/>
  </r>
  <r>
    <x v="7"/>
    <x v="0"/>
    <s v="In Progress"/>
    <x v="7"/>
    <x v="0"/>
    <n v="116"/>
    <n v="464"/>
    <n v="348"/>
  </r>
  <r>
    <x v="8"/>
    <x v="2"/>
    <s v="Delivered"/>
    <x v="0"/>
    <x v="3"/>
    <n v="50"/>
    <n v="250"/>
    <n v="200"/>
  </r>
  <r>
    <x v="8"/>
    <x v="2"/>
    <s v="Service Booked"/>
    <x v="0"/>
    <x v="2"/>
    <n v="279.3"/>
    <n v="931"/>
    <n v="651.70000000000005"/>
  </r>
  <r>
    <x v="8"/>
    <x v="2"/>
    <s v="Delivered"/>
    <x v="5"/>
    <x v="0"/>
    <n v="326.25"/>
    <n v="1305"/>
    <n v="978.75"/>
  </r>
  <r>
    <x v="8"/>
    <x v="2"/>
    <s v="Service Booked"/>
    <x v="4"/>
    <x v="1"/>
    <n v="55.5"/>
    <n v="555"/>
    <n v="499.5"/>
  </r>
  <r>
    <x v="8"/>
    <x v="1"/>
    <s v="Service Booked"/>
    <x v="3"/>
    <x v="2"/>
    <n v="414"/>
    <n v="1380"/>
    <n v="966"/>
  </r>
  <r>
    <x v="8"/>
    <x v="1"/>
    <s v="Delivered"/>
    <x v="2"/>
    <x v="0"/>
    <n v="438.75"/>
    <n v="1755"/>
    <n v="1316.25"/>
  </r>
  <r>
    <x v="8"/>
    <x v="2"/>
    <s v="In Progress"/>
    <x v="2"/>
    <x v="2"/>
    <n v="42.3"/>
    <n v="141"/>
    <n v="98.7"/>
  </r>
  <r>
    <x v="8"/>
    <x v="0"/>
    <s v="Service Booked"/>
    <x v="3"/>
    <x v="1"/>
    <n v="40.5"/>
    <n v="405"/>
    <n v="364.5"/>
  </r>
  <r>
    <x v="8"/>
    <x v="0"/>
    <s v="Service Booked"/>
    <x v="1"/>
    <x v="2"/>
    <n v="16.5"/>
    <n v="55"/>
    <n v="38.5"/>
  </r>
  <r>
    <x v="8"/>
    <x v="1"/>
    <s v="Delivered"/>
    <x v="2"/>
    <x v="3"/>
    <n v="206.4"/>
    <n v="1032"/>
    <n v="825.6"/>
  </r>
  <r>
    <x v="8"/>
    <x v="0"/>
    <s v="Service Booked"/>
    <x v="1"/>
    <x v="2"/>
    <n v="291.60000000000002"/>
    <n v="972"/>
    <n v="680.4"/>
  </r>
  <r>
    <x v="8"/>
    <x v="1"/>
    <s v="Service Booked"/>
    <x v="7"/>
    <x v="2"/>
    <n v="17.100000000000001"/>
    <n v="57"/>
    <n v="39.9"/>
  </r>
  <r>
    <x v="8"/>
    <x v="2"/>
    <s v="Service Booked"/>
    <x v="6"/>
    <x v="0"/>
    <n v="296.75"/>
    <n v="1187"/>
    <n v="890.25"/>
  </r>
  <r>
    <x v="8"/>
    <x v="0"/>
    <s v="Service Booked"/>
    <x v="1"/>
    <x v="2"/>
    <n v="340.2"/>
    <n v="1134"/>
    <n v="793.8"/>
  </r>
  <r>
    <x v="8"/>
    <x v="2"/>
    <s v="In Progress"/>
    <x v="0"/>
    <x v="3"/>
    <n v="33"/>
    <n v="165"/>
    <n v="132"/>
  </r>
  <r>
    <x v="8"/>
    <x v="1"/>
    <s v="Delivered"/>
    <x v="2"/>
    <x v="1"/>
    <n v="126.9"/>
    <n v="1269"/>
    <n v="1142.0999999999999"/>
  </r>
  <r>
    <x v="8"/>
    <x v="1"/>
    <s v="Delivered"/>
    <x v="6"/>
    <x v="0"/>
    <n v="448.5"/>
    <n v="1794"/>
    <n v="1345.5"/>
  </r>
  <r>
    <x v="8"/>
    <x v="1"/>
    <s v="Service Booked"/>
    <x v="1"/>
    <x v="0"/>
    <n v="27.25"/>
    <n v="109"/>
    <n v="81.75"/>
  </r>
  <r>
    <x v="8"/>
    <x v="2"/>
    <s v="Service Booked"/>
    <x v="4"/>
    <x v="0"/>
    <n v="429.25"/>
    <n v="1717"/>
    <n v="1287.75"/>
  </r>
  <r>
    <x v="8"/>
    <x v="0"/>
    <s v="In Progress"/>
    <x v="1"/>
    <x v="3"/>
    <n v="129"/>
    <n v="645"/>
    <n v="516"/>
  </r>
  <r>
    <x v="8"/>
    <x v="1"/>
    <s v="Service Booked"/>
    <x v="1"/>
    <x v="2"/>
    <n v="425.1"/>
    <n v="1417"/>
    <n v="991.9"/>
  </r>
  <r>
    <x v="8"/>
    <x v="0"/>
    <s v="Cancelled"/>
    <x v="7"/>
    <x v="2"/>
    <n v="64.2"/>
    <n v="214"/>
    <n v="149.80000000000001"/>
  </r>
  <r>
    <x v="8"/>
    <x v="0"/>
    <s v="Delivered"/>
    <x v="0"/>
    <x v="0"/>
    <n v="412"/>
    <n v="1648"/>
    <n v="1236"/>
  </r>
  <r>
    <x v="8"/>
    <x v="1"/>
    <s v="Service Booked"/>
    <x v="2"/>
    <x v="1"/>
    <n v="172.6"/>
    <n v="1726"/>
    <n v="1553.4"/>
  </r>
  <r>
    <x v="8"/>
    <x v="2"/>
    <s v="Service Booked"/>
    <x v="5"/>
    <x v="2"/>
    <n v="490.8"/>
    <n v="1636"/>
    <n v="1145.2"/>
  </r>
  <r>
    <x v="8"/>
    <x v="0"/>
    <s v="Service Booked"/>
    <x v="2"/>
    <x v="0"/>
    <n v="248.5"/>
    <n v="994"/>
    <n v="745.5"/>
  </r>
  <r>
    <x v="8"/>
    <x v="0"/>
    <s v="Delivered"/>
    <x v="7"/>
    <x v="3"/>
    <n v="98"/>
    <n v="490"/>
    <n v="392"/>
  </r>
  <r>
    <x v="8"/>
    <x v="2"/>
    <s v="Service Booked"/>
    <x v="5"/>
    <x v="0"/>
    <n v="300.75"/>
    <n v="1203"/>
    <n v="902.25"/>
  </r>
  <r>
    <x v="8"/>
    <x v="1"/>
    <s v="Service Booked"/>
    <x v="3"/>
    <x v="2"/>
    <n v="292.8"/>
    <n v="976"/>
    <n v="683.2"/>
  </r>
  <r>
    <x v="8"/>
    <x v="1"/>
    <s v="Service Booked"/>
    <x v="5"/>
    <x v="1"/>
    <n v="123.3"/>
    <n v="1233"/>
    <n v="1109.7"/>
  </r>
  <r>
    <x v="8"/>
    <x v="1"/>
    <s v="Service Booked"/>
    <x v="1"/>
    <x v="0"/>
    <n v="340.25"/>
    <n v="1361"/>
    <n v="1020.75"/>
  </r>
  <r>
    <x v="8"/>
    <x v="2"/>
    <s v="Delivered"/>
    <x v="1"/>
    <x v="0"/>
    <n v="205.75"/>
    <n v="823"/>
    <n v="617.25"/>
  </r>
  <r>
    <x v="8"/>
    <x v="0"/>
    <s v="Service Booked"/>
    <x v="7"/>
    <x v="0"/>
    <n v="366.5"/>
    <n v="1466"/>
    <n v="1099.5"/>
  </r>
  <r>
    <x v="8"/>
    <x v="1"/>
    <s v="Delivered"/>
    <x v="3"/>
    <x v="2"/>
    <n v="558.6"/>
    <n v="1862"/>
    <n v="1303.4000000000001"/>
  </r>
  <r>
    <x v="8"/>
    <x v="1"/>
    <s v="Service Booked"/>
    <x v="6"/>
    <x v="0"/>
    <n v="248.75"/>
    <n v="995"/>
    <n v="746.25"/>
  </r>
  <r>
    <x v="8"/>
    <x v="2"/>
    <s v="In Progress"/>
    <x v="3"/>
    <x v="0"/>
    <n v="368.5"/>
    <n v="1474"/>
    <n v="1105.5"/>
  </r>
  <r>
    <x v="8"/>
    <x v="1"/>
    <s v="Delivered"/>
    <x v="5"/>
    <x v="0"/>
    <n v="325.75"/>
    <n v="1303"/>
    <n v="977.25"/>
  </r>
  <r>
    <x v="8"/>
    <x v="1"/>
    <s v="Cancelled"/>
    <x v="6"/>
    <x v="2"/>
    <n v="71.099999999999994"/>
    <n v="237"/>
    <n v="165.9"/>
  </r>
  <r>
    <x v="8"/>
    <x v="1"/>
    <s v="Service Booked"/>
    <x v="3"/>
    <x v="3"/>
    <n v="293"/>
    <n v="1465"/>
    <n v="1172"/>
  </r>
  <r>
    <x v="8"/>
    <x v="0"/>
    <s v="In Progress"/>
    <x v="3"/>
    <x v="0"/>
    <n v="128.75"/>
    <n v="515"/>
    <n v="386.25"/>
  </r>
  <r>
    <x v="8"/>
    <x v="1"/>
    <s v="Delivered"/>
    <x v="4"/>
    <x v="0"/>
    <n v="408"/>
    <n v="1632"/>
    <n v="1224"/>
  </r>
  <r>
    <x v="8"/>
    <x v="0"/>
    <s v="Service Booked"/>
    <x v="5"/>
    <x v="0"/>
    <n v="258.5"/>
    <n v="1034"/>
    <n v="775.5"/>
  </r>
  <r>
    <x v="8"/>
    <x v="0"/>
    <s v="Service Booked"/>
    <x v="2"/>
    <x v="3"/>
    <n v="151.80000000000001"/>
    <n v="759"/>
    <n v="607.20000000000005"/>
  </r>
  <r>
    <x v="8"/>
    <x v="1"/>
    <s v="Delivered"/>
    <x v="4"/>
    <x v="0"/>
    <n v="217.75"/>
    <n v="871"/>
    <n v="653.25"/>
  </r>
  <r>
    <x v="8"/>
    <x v="1"/>
    <s v="Service Booked"/>
    <x v="2"/>
    <x v="2"/>
    <n v="498.9"/>
    <n v="1663"/>
    <n v="1164.0999999999999"/>
  </r>
  <r>
    <x v="8"/>
    <x v="0"/>
    <s v="Delivered"/>
    <x v="4"/>
    <x v="2"/>
    <n v="98.7"/>
    <n v="329"/>
    <n v="230.3"/>
  </r>
  <r>
    <x v="8"/>
    <x v="2"/>
    <s v="Delivered"/>
    <x v="5"/>
    <x v="0"/>
    <n v="396.5"/>
    <n v="1586"/>
    <n v="1189.5"/>
  </r>
  <r>
    <x v="8"/>
    <x v="0"/>
    <s v="Service Booked"/>
    <x v="5"/>
    <x v="0"/>
    <n v="14"/>
    <n v="56"/>
    <n v="42"/>
  </r>
  <r>
    <x v="8"/>
    <x v="0"/>
    <s v="Delivered"/>
    <x v="3"/>
    <x v="0"/>
    <n v="79.75"/>
    <n v="319"/>
    <n v="239.25"/>
  </r>
  <r>
    <x v="8"/>
    <x v="0"/>
    <s v="Service Booked"/>
    <x v="0"/>
    <x v="0"/>
    <n v="404.5"/>
    <n v="1618"/>
    <n v="1213.5"/>
  </r>
  <r>
    <x v="8"/>
    <x v="1"/>
    <s v="Service Booked"/>
    <x v="4"/>
    <x v="0"/>
    <n v="56.75"/>
    <n v="227"/>
    <n v="170.25"/>
  </r>
  <r>
    <x v="8"/>
    <x v="0"/>
    <s v="Service Booked"/>
    <x v="5"/>
    <x v="1"/>
    <n v="9.6999999999999993"/>
    <n v="97"/>
    <n v="87.3"/>
  </r>
  <r>
    <x v="8"/>
    <x v="0"/>
    <s v="Service Booked"/>
    <x v="6"/>
    <x v="2"/>
    <n v="440.7"/>
    <n v="1469"/>
    <n v="1028.3"/>
  </r>
  <r>
    <x v="8"/>
    <x v="0"/>
    <s v="Service Booked"/>
    <x v="5"/>
    <x v="1"/>
    <n v="63.8"/>
    <n v="638"/>
    <n v="574.20000000000005"/>
  </r>
  <r>
    <x v="8"/>
    <x v="0"/>
    <s v="Service Booked"/>
    <x v="3"/>
    <x v="0"/>
    <n v="281"/>
    <n v="1124"/>
    <n v="843"/>
  </r>
  <r>
    <x v="8"/>
    <x v="0"/>
    <s v="Delivered"/>
    <x v="4"/>
    <x v="3"/>
    <n v="92.6"/>
    <n v="463"/>
    <n v="370.4"/>
  </r>
  <r>
    <x v="8"/>
    <x v="2"/>
    <s v="Delivered"/>
    <x v="3"/>
    <x v="0"/>
    <n v="228.75"/>
    <n v="915"/>
    <n v="686.25"/>
  </r>
  <r>
    <x v="8"/>
    <x v="2"/>
    <s v="Delivered"/>
    <x v="3"/>
    <x v="0"/>
    <n v="384.75"/>
    <n v="1539"/>
    <n v="1154.25"/>
  </r>
  <r>
    <x v="8"/>
    <x v="2"/>
    <s v="In Progress"/>
    <x v="5"/>
    <x v="3"/>
    <n v="211.4"/>
    <n v="1057"/>
    <n v="845.6"/>
  </r>
  <r>
    <x v="8"/>
    <x v="1"/>
    <s v="Service Booked"/>
    <x v="4"/>
    <x v="2"/>
    <n v="195.9"/>
    <n v="653"/>
    <n v="457.1"/>
  </r>
  <r>
    <x v="8"/>
    <x v="0"/>
    <s v="Cancelled"/>
    <x v="7"/>
    <x v="2"/>
    <n v="119.4"/>
    <n v="398"/>
    <n v="278.60000000000002"/>
  </r>
  <r>
    <x v="8"/>
    <x v="2"/>
    <s v="Delivered"/>
    <x v="5"/>
    <x v="2"/>
    <n v="354.6"/>
    <n v="1182"/>
    <n v="827.4"/>
  </r>
  <r>
    <x v="8"/>
    <x v="0"/>
    <s v="In Progress"/>
    <x v="1"/>
    <x v="1"/>
    <n v="72.7"/>
    <n v="727"/>
    <n v="654.29999999999995"/>
  </r>
  <r>
    <x v="8"/>
    <x v="1"/>
    <s v="Service Booked"/>
    <x v="0"/>
    <x v="1"/>
    <n v="172.7"/>
    <n v="1727"/>
    <n v="1554.3"/>
  </r>
  <r>
    <x v="8"/>
    <x v="0"/>
    <s v="Delivered"/>
    <x v="6"/>
    <x v="2"/>
    <n v="531"/>
    <n v="1770"/>
    <n v="1239"/>
  </r>
  <r>
    <x v="8"/>
    <x v="2"/>
    <s v="Delivered"/>
    <x v="0"/>
    <x v="2"/>
    <n v="306.89999999999998"/>
    <n v="1023"/>
    <n v="716.1"/>
  </r>
  <r>
    <x v="8"/>
    <x v="2"/>
    <s v="Service Booked"/>
    <x v="7"/>
    <x v="0"/>
    <n v="83.75"/>
    <n v="335"/>
    <n v="251.25"/>
  </r>
  <r>
    <x v="8"/>
    <x v="0"/>
    <s v="Delivered"/>
    <x v="7"/>
    <x v="0"/>
    <n v="257.75"/>
    <n v="1031"/>
    <n v="773.25"/>
  </r>
  <r>
    <x v="8"/>
    <x v="0"/>
    <s v="Service Booked"/>
    <x v="4"/>
    <x v="0"/>
    <n v="94.5"/>
    <n v="378"/>
    <n v="283.5"/>
  </r>
  <r>
    <x v="8"/>
    <x v="0"/>
    <s v="Delivered"/>
    <x v="7"/>
    <x v="0"/>
    <n v="163.5"/>
    <n v="654"/>
    <n v="490.5"/>
  </r>
  <r>
    <x v="8"/>
    <x v="1"/>
    <s v="Service Booked"/>
    <x v="4"/>
    <x v="0"/>
    <n v="140.5"/>
    <n v="562"/>
    <n v="421.5"/>
  </r>
  <r>
    <x v="8"/>
    <x v="2"/>
    <s v="Service Booked"/>
    <x v="2"/>
    <x v="2"/>
    <n v="46.2"/>
    <n v="154"/>
    <n v="107.8"/>
  </r>
  <r>
    <x v="8"/>
    <x v="1"/>
    <s v="Delivered"/>
    <x v="1"/>
    <x v="3"/>
    <n v="74.2"/>
    <n v="371"/>
    <n v="296.8"/>
  </r>
  <r>
    <x v="8"/>
    <x v="0"/>
    <s v="Service Booked"/>
    <x v="6"/>
    <x v="2"/>
    <n v="350.1"/>
    <n v="1167"/>
    <n v="816.9"/>
  </r>
  <r>
    <x v="8"/>
    <x v="0"/>
    <s v="Service Booked"/>
    <x v="1"/>
    <x v="2"/>
    <n v="504.6"/>
    <n v="1682"/>
    <n v="1177.4000000000001"/>
  </r>
  <r>
    <x v="8"/>
    <x v="1"/>
    <s v="Service Booked"/>
    <x v="7"/>
    <x v="2"/>
    <n v="400.2"/>
    <n v="1334"/>
    <n v="933.8"/>
  </r>
  <r>
    <x v="8"/>
    <x v="0"/>
    <s v="Delivered"/>
    <x v="1"/>
    <x v="0"/>
    <n v="34.75"/>
    <n v="139"/>
    <n v="104.25"/>
  </r>
  <r>
    <x v="8"/>
    <x v="1"/>
    <s v="Delivered"/>
    <x v="2"/>
    <x v="2"/>
    <n v="451.2"/>
    <n v="1504"/>
    <n v="1052.8"/>
  </r>
  <r>
    <x v="8"/>
    <x v="2"/>
    <s v="Delivered"/>
    <x v="3"/>
    <x v="1"/>
    <n v="100.9"/>
    <n v="1009"/>
    <n v="908.1"/>
  </r>
  <r>
    <x v="8"/>
    <x v="1"/>
    <s v="Delivered"/>
    <x v="7"/>
    <x v="0"/>
    <n v="458"/>
    <n v="1832"/>
    <n v="1374"/>
  </r>
  <r>
    <x v="8"/>
    <x v="2"/>
    <s v="Service Booked"/>
    <x v="6"/>
    <x v="0"/>
    <n v="176"/>
    <n v="704"/>
    <n v="528"/>
  </r>
  <r>
    <x v="8"/>
    <x v="2"/>
    <s v="In Progress"/>
    <x v="6"/>
    <x v="2"/>
    <n v="58.2"/>
    <n v="194"/>
    <n v="135.80000000000001"/>
  </r>
  <r>
    <x v="8"/>
    <x v="0"/>
    <s v="Delivered"/>
    <x v="7"/>
    <x v="0"/>
    <n v="173.75"/>
    <n v="695"/>
    <n v="521.25"/>
  </r>
  <r>
    <x v="9"/>
    <x v="2"/>
    <s v="In Progress"/>
    <x v="0"/>
    <x v="0"/>
    <n v="266.25"/>
    <n v="1065"/>
    <n v="798.75"/>
  </r>
  <r>
    <x v="9"/>
    <x v="0"/>
    <s v="Cancelled"/>
    <x v="0"/>
    <x v="2"/>
    <n v="512.4"/>
    <n v="1708"/>
    <n v="1195.5999999999999"/>
  </r>
  <r>
    <x v="9"/>
    <x v="0"/>
    <s v="Cancelled"/>
    <x v="6"/>
    <x v="0"/>
    <n v="125.5"/>
    <n v="502"/>
    <n v="376.5"/>
  </r>
  <r>
    <x v="9"/>
    <x v="1"/>
    <s v="In Progress"/>
    <x v="7"/>
    <x v="0"/>
    <n v="264.75"/>
    <n v="1059"/>
    <n v="794.25"/>
  </r>
  <r>
    <x v="9"/>
    <x v="2"/>
    <s v="In Progress"/>
    <x v="7"/>
    <x v="3"/>
    <n v="134.80000000000001"/>
    <n v="674"/>
    <n v="539.20000000000005"/>
  </r>
  <r>
    <x v="9"/>
    <x v="0"/>
    <s v="Delivered"/>
    <x v="1"/>
    <x v="0"/>
    <n v="213"/>
    <n v="852"/>
    <n v="639"/>
  </r>
  <r>
    <x v="9"/>
    <x v="0"/>
    <s v="Service Booked"/>
    <x v="3"/>
    <x v="0"/>
    <n v="120"/>
    <n v="480"/>
    <n v="360"/>
  </r>
  <r>
    <x v="9"/>
    <x v="0"/>
    <s v="Service Booked"/>
    <x v="2"/>
    <x v="1"/>
    <n v="95.5"/>
    <n v="955"/>
    <n v="859.5"/>
  </r>
  <r>
    <x v="9"/>
    <x v="1"/>
    <s v="Delivered"/>
    <x v="0"/>
    <x v="0"/>
    <n v="79.25"/>
    <n v="317"/>
    <n v="237.75"/>
  </r>
  <r>
    <x v="9"/>
    <x v="0"/>
    <s v="Delivered"/>
    <x v="7"/>
    <x v="0"/>
    <n v="229"/>
    <n v="916"/>
    <n v="687"/>
  </r>
  <r>
    <x v="9"/>
    <x v="1"/>
    <s v="Delivered"/>
    <x v="6"/>
    <x v="2"/>
    <n v="204.3"/>
    <n v="681"/>
    <n v="476.7"/>
  </r>
  <r>
    <x v="9"/>
    <x v="2"/>
    <s v="Delivered"/>
    <x v="5"/>
    <x v="0"/>
    <n v="449.75"/>
    <n v="1799"/>
    <n v="1349.25"/>
  </r>
  <r>
    <x v="9"/>
    <x v="2"/>
    <s v="Delivered"/>
    <x v="6"/>
    <x v="1"/>
    <n v="26.7"/>
    <n v="267"/>
    <n v="240.3"/>
  </r>
  <r>
    <x v="9"/>
    <x v="1"/>
    <s v="Service Booked"/>
    <x v="2"/>
    <x v="0"/>
    <n v="38.25"/>
    <n v="153"/>
    <n v="114.75"/>
  </r>
  <r>
    <x v="9"/>
    <x v="2"/>
    <s v="In Progress"/>
    <x v="4"/>
    <x v="3"/>
    <n v="3.8"/>
    <n v="19"/>
    <n v="15.2"/>
  </r>
  <r>
    <x v="9"/>
    <x v="2"/>
    <s v="Delivered"/>
    <x v="0"/>
    <x v="2"/>
    <n v="421.5"/>
    <n v="1405"/>
    <n v="983.5"/>
  </r>
  <r>
    <x v="9"/>
    <x v="0"/>
    <s v="Delivered"/>
    <x v="7"/>
    <x v="2"/>
    <n v="374.4"/>
    <n v="1248"/>
    <n v="873.6"/>
  </r>
  <r>
    <x v="9"/>
    <x v="2"/>
    <s v="Delivered"/>
    <x v="2"/>
    <x v="0"/>
    <n v="385.5"/>
    <n v="1542"/>
    <n v="1156.5"/>
  </r>
  <r>
    <x v="9"/>
    <x v="0"/>
    <s v="Service Booked"/>
    <x v="1"/>
    <x v="2"/>
    <n v="465.6"/>
    <n v="1552"/>
    <n v="1086.4000000000001"/>
  </r>
  <r>
    <x v="9"/>
    <x v="2"/>
    <s v="Service Booked"/>
    <x v="1"/>
    <x v="0"/>
    <n v="263.25"/>
    <n v="1053"/>
    <n v="789.75"/>
  </r>
  <r>
    <x v="9"/>
    <x v="1"/>
    <s v="Service Booked"/>
    <x v="4"/>
    <x v="0"/>
    <n v="30.5"/>
    <n v="122"/>
    <n v="91.5"/>
  </r>
  <r>
    <x v="9"/>
    <x v="1"/>
    <s v="Cancelled"/>
    <x v="7"/>
    <x v="3"/>
    <n v="45.4"/>
    <n v="227"/>
    <n v="181.6"/>
  </r>
  <r>
    <x v="9"/>
    <x v="1"/>
    <s v="Service Booked"/>
    <x v="2"/>
    <x v="1"/>
    <n v="143.6"/>
    <n v="1436"/>
    <n v="1292.4000000000001"/>
  </r>
  <r>
    <x v="9"/>
    <x v="2"/>
    <s v="Delivered"/>
    <x v="6"/>
    <x v="0"/>
    <n v="111.25"/>
    <n v="445"/>
    <n v="333.75"/>
  </r>
  <r>
    <x v="9"/>
    <x v="0"/>
    <s v="Delivered"/>
    <x v="7"/>
    <x v="0"/>
    <n v="67"/>
    <n v="268"/>
    <n v="201"/>
  </r>
  <r>
    <x v="9"/>
    <x v="2"/>
    <s v="Delivered"/>
    <x v="2"/>
    <x v="0"/>
    <n v="152"/>
    <n v="608"/>
    <n v="456"/>
  </r>
  <r>
    <x v="9"/>
    <x v="2"/>
    <s v="Service Booked"/>
    <x v="3"/>
    <x v="0"/>
    <n v="359.25"/>
    <n v="1437"/>
    <n v="1077.75"/>
  </r>
  <r>
    <x v="9"/>
    <x v="0"/>
    <s v="Delivered"/>
    <x v="6"/>
    <x v="2"/>
    <n v="354"/>
    <n v="1180"/>
    <n v="826"/>
  </r>
  <r>
    <x v="9"/>
    <x v="0"/>
    <s v="Cancelled"/>
    <x v="3"/>
    <x v="2"/>
    <n v="414.9"/>
    <n v="1383"/>
    <n v="968.1"/>
  </r>
  <r>
    <x v="9"/>
    <x v="1"/>
    <s v="Service Booked"/>
    <x v="7"/>
    <x v="1"/>
    <n v="138.19999999999999"/>
    <n v="1382"/>
    <n v="1243.8"/>
  </r>
  <r>
    <x v="9"/>
    <x v="0"/>
    <s v="Delivered"/>
    <x v="6"/>
    <x v="0"/>
    <n v="112.75"/>
    <n v="451"/>
    <n v="338.25"/>
  </r>
  <r>
    <x v="9"/>
    <x v="2"/>
    <s v="Service Booked"/>
    <x v="7"/>
    <x v="3"/>
    <n v="325.39999999999998"/>
    <n v="1627"/>
    <n v="1301.5999999999999"/>
  </r>
  <r>
    <x v="9"/>
    <x v="0"/>
    <s v="In Progress"/>
    <x v="3"/>
    <x v="3"/>
    <n v="151.6"/>
    <n v="758"/>
    <n v="606.4"/>
  </r>
  <r>
    <x v="9"/>
    <x v="1"/>
    <s v="Delivered"/>
    <x v="2"/>
    <x v="3"/>
    <n v="201"/>
    <n v="1005"/>
    <n v="804"/>
  </r>
  <r>
    <x v="9"/>
    <x v="0"/>
    <s v="Service Booked"/>
    <x v="2"/>
    <x v="0"/>
    <n v="141.75"/>
    <n v="567"/>
    <n v="425.25"/>
  </r>
  <r>
    <x v="9"/>
    <x v="2"/>
    <s v="Service Booked"/>
    <x v="4"/>
    <x v="0"/>
    <n v="386.25"/>
    <n v="1545"/>
    <n v="1158.75"/>
  </r>
  <r>
    <x v="9"/>
    <x v="0"/>
    <s v="Service Booked"/>
    <x v="1"/>
    <x v="2"/>
    <n v="259.5"/>
    <n v="865"/>
    <n v="605.5"/>
  </r>
  <r>
    <x v="9"/>
    <x v="2"/>
    <s v="Delivered"/>
    <x v="1"/>
    <x v="2"/>
    <n v="54.9"/>
    <n v="183"/>
    <n v="128.1"/>
  </r>
  <r>
    <x v="9"/>
    <x v="2"/>
    <s v="Service Booked"/>
    <x v="3"/>
    <x v="2"/>
    <n v="446.4"/>
    <n v="1488"/>
    <n v="1041.5999999999999"/>
  </r>
  <r>
    <x v="9"/>
    <x v="1"/>
    <s v="Service Booked"/>
    <x v="0"/>
    <x v="0"/>
    <n v="199.5"/>
    <n v="798"/>
    <n v="598.5"/>
  </r>
  <r>
    <x v="9"/>
    <x v="1"/>
    <s v="Delivered"/>
    <x v="3"/>
    <x v="3"/>
    <n v="270.8"/>
    <n v="1354"/>
    <n v="1083.2"/>
  </r>
  <r>
    <x v="9"/>
    <x v="0"/>
    <s v="Service Booked"/>
    <x v="0"/>
    <x v="0"/>
    <n v="251"/>
    <n v="1004"/>
    <n v="753"/>
  </r>
  <r>
    <x v="9"/>
    <x v="2"/>
    <s v="Service Booked"/>
    <x v="2"/>
    <x v="0"/>
    <n v="275.25"/>
    <n v="1101"/>
    <n v="825.75"/>
  </r>
  <r>
    <x v="9"/>
    <x v="2"/>
    <s v="In Progress"/>
    <x v="4"/>
    <x v="3"/>
    <n v="200.4"/>
    <n v="1002"/>
    <n v="801.6"/>
  </r>
  <r>
    <x v="9"/>
    <x v="2"/>
    <s v="Delivered"/>
    <x v="5"/>
    <x v="2"/>
    <n v="530.70000000000005"/>
    <n v="1769"/>
    <n v="1238.3"/>
  </r>
  <r>
    <x v="9"/>
    <x v="0"/>
    <s v="Delivered"/>
    <x v="4"/>
    <x v="2"/>
    <n v="114.9"/>
    <n v="383"/>
    <n v="268.10000000000002"/>
  </r>
  <r>
    <x v="9"/>
    <x v="1"/>
    <s v="Delivered"/>
    <x v="5"/>
    <x v="0"/>
    <n v="63.25"/>
    <n v="253"/>
    <n v="189.75"/>
  </r>
  <r>
    <x v="9"/>
    <x v="2"/>
    <s v="Delivered"/>
    <x v="1"/>
    <x v="0"/>
    <n v="461"/>
    <n v="1844"/>
    <n v="1383"/>
  </r>
  <r>
    <x v="9"/>
    <x v="1"/>
    <s v="Cancelled"/>
    <x v="6"/>
    <x v="0"/>
    <n v="204.5"/>
    <n v="818"/>
    <n v="613.5"/>
  </r>
  <r>
    <x v="9"/>
    <x v="2"/>
    <s v="Service Booked"/>
    <x v="6"/>
    <x v="0"/>
    <n v="116.75"/>
    <n v="467"/>
    <n v="350.25"/>
  </r>
  <r>
    <x v="9"/>
    <x v="1"/>
    <s v="Delivered"/>
    <x v="0"/>
    <x v="0"/>
    <n v="264.5"/>
    <n v="1058"/>
    <n v="793.5"/>
  </r>
  <r>
    <x v="9"/>
    <x v="2"/>
    <s v="Service Booked"/>
    <x v="3"/>
    <x v="2"/>
    <n v="4.8"/>
    <n v="16"/>
    <n v="11.2"/>
  </r>
  <r>
    <x v="9"/>
    <x v="0"/>
    <s v="Service Booked"/>
    <x v="5"/>
    <x v="1"/>
    <n v="32.299999999999997"/>
    <n v="323"/>
    <n v="290.7"/>
  </r>
  <r>
    <x v="9"/>
    <x v="0"/>
    <s v="Service Booked"/>
    <x v="7"/>
    <x v="0"/>
    <n v="303.5"/>
    <n v="1214"/>
    <n v="910.5"/>
  </r>
  <r>
    <x v="9"/>
    <x v="2"/>
    <s v="In Progress"/>
    <x v="4"/>
    <x v="2"/>
    <n v="345.3"/>
    <n v="1151"/>
    <n v="805.7"/>
  </r>
  <r>
    <x v="9"/>
    <x v="2"/>
    <s v="Service Booked"/>
    <x v="1"/>
    <x v="0"/>
    <n v="373.25"/>
    <n v="1493"/>
    <n v="1119.75"/>
  </r>
  <r>
    <x v="9"/>
    <x v="1"/>
    <s v="Service Booked"/>
    <x v="2"/>
    <x v="0"/>
    <n v="88.25"/>
    <n v="353"/>
    <n v="264.75"/>
  </r>
  <r>
    <x v="9"/>
    <x v="0"/>
    <s v="Service Booked"/>
    <x v="0"/>
    <x v="2"/>
    <n v="176.4"/>
    <n v="588"/>
    <n v="411.6"/>
  </r>
  <r>
    <x v="9"/>
    <x v="2"/>
    <s v="Cancelled"/>
    <x v="6"/>
    <x v="0"/>
    <n v="302"/>
    <n v="1208"/>
    <n v="906"/>
  </r>
  <r>
    <x v="9"/>
    <x v="0"/>
    <s v="Delivered"/>
    <x v="3"/>
    <x v="2"/>
    <n v="357.9"/>
    <n v="1193"/>
    <n v="835.1"/>
  </r>
  <r>
    <x v="9"/>
    <x v="2"/>
    <s v="Service Booked"/>
    <x v="5"/>
    <x v="2"/>
    <n v="269.10000000000002"/>
    <n v="897"/>
    <n v="627.9"/>
  </r>
  <r>
    <x v="9"/>
    <x v="0"/>
    <s v="In Progress"/>
    <x v="3"/>
    <x v="2"/>
    <n v="514.20000000000005"/>
    <n v="1714"/>
    <n v="1199.8"/>
  </r>
  <r>
    <x v="9"/>
    <x v="0"/>
    <s v="Delivered"/>
    <x v="7"/>
    <x v="0"/>
    <n v="254.25"/>
    <n v="1017"/>
    <n v="762.75"/>
  </r>
  <r>
    <x v="9"/>
    <x v="1"/>
    <s v="Service Booked"/>
    <x v="1"/>
    <x v="2"/>
    <n v="523.20000000000005"/>
    <n v="1744"/>
    <n v="1220.8"/>
  </r>
  <r>
    <x v="9"/>
    <x v="0"/>
    <s v="Service Booked"/>
    <x v="2"/>
    <x v="3"/>
    <n v="149"/>
    <n v="745"/>
    <n v="596"/>
  </r>
  <r>
    <x v="9"/>
    <x v="1"/>
    <s v="Service Booked"/>
    <x v="1"/>
    <x v="3"/>
    <n v="93.6"/>
    <n v="468"/>
    <n v="374.4"/>
  </r>
  <r>
    <x v="9"/>
    <x v="1"/>
    <s v="Delivered"/>
    <x v="3"/>
    <x v="0"/>
    <n v="354.5"/>
    <n v="1418"/>
    <n v="1063.5"/>
  </r>
  <r>
    <x v="9"/>
    <x v="2"/>
    <s v="Service Booked"/>
    <x v="0"/>
    <x v="1"/>
    <n v="99.4"/>
    <n v="994"/>
    <n v="894.6"/>
  </r>
  <r>
    <x v="9"/>
    <x v="2"/>
    <s v="Cancelled"/>
    <x v="7"/>
    <x v="3"/>
    <n v="153.4"/>
    <n v="767"/>
    <n v="613.6"/>
  </r>
  <r>
    <x v="9"/>
    <x v="2"/>
    <s v="In Progress"/>
    <x v="5"/>
    <x v="3"/>
    <n v="185.8"/>
    <n v="929"/>
    <n v="743.2"/>
  </r>
  <r>
    <x v="9"/>
    <x v="2"/>
    <s v="Delivered"/>
    <x v="4"/>
    <x v="3"/>
    <n v="115.6"/>
    <n v="578"/>
    <n v="462.4"/>
  </r>
  <r>
    <x v="9"/>
    <x v="2"/>
    <s v="Cancelled"/>
    <x v="1"/>
    <x v="0"/>
    <n v="211"/>
    <n v="844"/>
    <n v="633"/>
  </r>
  <r>
    <x v="9"/>
    <x v="0"/>
    <s v="Service Booked"/>
    <x v="4"/>
    <x v="1"/>
    <n v="86.5"/>
    <n v="865"/>
    <n v="778.5"/>
  </r>
  <r>
    <x v="9"/>
    <x v="0"/>
    <s v="Delivered"/>
    <x v="1"/>
    <x v="0"/>
    <n v="394.5"/>
    <n v="1578"/>
    <n v="1183.5"/>
  </r>
  <r>
    <x v="9"/>
    <x v="2"/>
    <s v="Delivered"/>
    <x v="7"/>
    <x v="1"/>
    <n v="121"/>
    <n v="1210"/>
    <n v="1089"/>
  </r>
  <r>
    <x v="9"/>
    <x v="2"/>
    <s v="In Progress"/>
    <x v="2"/>
    <x v="0"/>
    <n v="262.25"/>
    <n v="1049"/>
    <n v="786.75"/>
  </r>
  <r>
    <x v="9"/>
    <x v="0"/>
    <s v="Cancelled"/>
    <x v="1"/>
    <x v="3"/>
    <n v="105.8"/>
    <n v="529"/>
    <n v="423.2"/>
  </r>
  <r>
    <x v="9"/>
    <x v="0"/>
    <s v="In Progress"/>
    <x v="4"/>
    <x v="0"/>
    <n v="238.5"/>
    <n v="954"/>
    <n v="715.5"/>
  </r>
  <r>
    <x v="9"/>
    <x v="1"/>
    <s v="Service Booked"/>
    <x v="5"/>
    <x v="0"/>
    <n v="86"/>
    <n v="344"/>
    <n v="258"/>
  </r>
  <r>
    <x v="9"/>
    <x v="1"/>
    <s v="Service Booked"/>
    <x v="2"/>
    <x v="2"/>
    <n v="531"/>
    <n v="1770"/>
    <n v="1239"/>
  </r>
  <r>
    <x v="10"/>
    <x v="2"/>
    <s v="Service Booked"/>
    <x v="1"/>
    <x v="2"/>
    <n v="125.4"/>
    <n v="418"/>
    <n v="292.60000000000002"/>
  </r>
  <r>
    <x v="10"/>
    <x v="1"/>
    <s v="Service Booked"/>
    <x v="6"/>
    <x v="3"/>
    <n v="295"/>
    <n v="1475"/>
    <n v="1180"/>
  </r>
  <r>
    <x v="10"/>
    <x v="2"/>
    <s v="Delivered"/>
    <x v="5"/>
    <x v="1"/>
    <n v="20.3"/>
    <n v="203"/>
    <n v="182.7"/>
  </r>
  <r>
    <x v="10"/>
    <x v="1"/>
    <s v="Cancelled"/>
    <x v="1"/>
    <x v="2"/>
    <n v="159.30000000000001"/>
    <n v="531"/>
    <n v="371.7"/>
  </r>
  <r>
    <x v="10"/>
    <x v="2"/>
    <s v="Delivered"/>
    <x v="0"/>
    <x v="0"/>
    <n v="242"/>
    <n v="968"/>
    <n v="726"/>
  </r>
  <r>
    <x v="10"/>
    <x v="2"/>
    <s v="In Progress"/>
    <x v="0"/>
    <x v="2"/>
    <n v="26.1"/>
    <n v="87"/>
    <n v="60.9"/>
  </r>
  <r>
    <x v="10"/>
    <x v="0"/>
    <s v="Delivered"/>
    <x v="4"/>
    <x v="1"/>
    <n v="54.3"/>
    <n v="543"/>
    <n v="488.7"/>
  </r>
  <r>
    <x v="10"/>
    <x v="2"/>
    <s v="In Progress"/>
    <x v="0"/>
    <x v="0"/>
    <n v="88.25"/>
    <n v="353"/>
    <n v="264.75"/>
  </r>
  <r>
    <x v="10"/>
    <x v="2"/>
    <s v="Service Booked"/>
    <x v="5"/>
    <x v="0"/>
    <n v="65.5"/>
    <n v="262"/>
    <n v="196.5"/>
  </r>
  <r>
    <x v="10"/>
    <x v="1"/>
    <s v="Service Booked"/>
    <x v="6"/>
    <x v="1"/>
    <n v="46.8"/>
    <n v="468"/>
    <n v="421.2"/>
  </r>
  <r>
    <x v="10"/>
    <x v="0"/>
    <s v="Cancelled"/>
    <x v="5"/>
    <x v="0"/>
    <n v="25"/>
    <n v="100"/>
    <n v="75"/>
  </r>
  <r>
    <x v="10"/>
    <x v="2"/>
    <s v="Delivered"/>
    <x v="7"/>
    <x v="0"/>
    <n v="10.25"/>
    <n v="41"/>
    <n v="30.75"/>
  </r>
  <r>
    <x v="10"/>
    <x v="2"/>
    <s v="Service Booked"/>
    <x v="7"/>
    <x v="0"/>
    <n v="211.5"/>
    <n v="846"/>
    <n v="634.5"/>
  </r>
  <r>
    <x v="10"/>
    <x v="0"/>
    <s v="Service Booked"/>
    <x v="7"/>
    <x v="2"/>
    <n v="122.1"/>
    <n v="407"/>
    <n v="284.89999999999998"/>
  </r>
  <r>
    <x v="10"/>
    <x v="1"/>
    <s v="Service Booked"/>
    <x v="7"/>
    <x v="0"/>
    <n v="297"/>
    <n v="1188"/>
    <n v="891"/>
  </r>
  <r>
    <x v="10"/>
    <x v="0"/>
    <s v="In Progress"/>
    <x v="0"/>
    <x v="2"/>
    <n v="46.5"/>
    <n v="155"/>
    <n v="108.5"/>
  </r>
  <r>
    <x v="10"/>
    <x v="2"/>
    <s v="Delivered"/>
    <x v="4"/>
    <x v="0"/>
    <n v="38.25"/>
    <n v="153"/>
    <n v="114.75"/>
  </r>
  <r>
    <x v="10"/>
    <x v="0"/>
    <s v="Service Booked"/>
    <x v="6"/>
    <x v="0"/>
    <n v="38.5"/>
    <n v="154"/>
    <n v="115.5"/>
  </r>
  <r>
    <x v="10"/>
    <x v="2"/>
    <s v="Service Booked"/>
    <x v="1"/>
    <x v="3"/>
    <n v="56.6"/>
    <n v="283"/>
    <n v="226.4"/>
  </r>
  <r>
    <x v="10"/>
    <x v="0"/>
    <s v="Cancelled"/>
    <x v="6"/>
    <x v="0"/>
    <n v="299.75"/>
    <n v="1199"/>
    <n v="899.25"/>
  </r>
  <r>
    <x v="10"/>
    <x v="1"/>
    <s v="Service Booked"/>
    <x v="7"/>
    <x v="0"/>
    <n v="298"/>
    <n v="1192"/>
    <n v="894"/>
  </r>
  <r>
    <x v="10"/>
    <x v="2"/>
    <s v="Service Booked"/>
    <x v="1"/>
    <x v="1"/>
    <n v="126.1"/>
    <n v="1261"/>
    <n v="1134.9000000000001"/>
  </r>
  <r>
    <x v="10"/>
    <x v="0"/>
    <s v="Cancelled"/>
    <x v="5"/>
    <x v="2"/>
    <n v="99.3"/>
    <n v="331"/>
    <n v="231.7"/>
  </r>
  <r>
    <x v="10"/>
    <x v="1"/>
    <s v="Delivered"/>
    <x v="0"/>
    <x v="3"/>
    <n v="64.599999999999994"/>
    <n v="323"/>
    <n v="258.39999999999998"/>
  </r>
  <r>
    <x v="10"/>
    <x v="1"/>
    <s v="Cancelled"/>
    <x v="0"/>
    <x v="0"/>
    <n v="27.25"/>
    <n v="109"/>
    <n v="81.75"/>
  </r>
  <r>
    <x v="10"/>
    <x v="1"/>
    <s v="Service Booked"/>
    <x v="3"/>
    <x v="3"/>
    <n v="105.6"/>
    <n v="528"/>
    <n v="422.4"/>
  </r>
  <r>
    <x v="10"/>
    <x v="2"/>
    <s v="Service Booked"/>
    <x v="4"/>
    <x v="0"/>
    <n v="363.5"/>
    <n v="1454"/>
    <n v="1090.5"/>
  </r>
  <r>
    <x v="10"/>
    <x v="1"/>
    <s v="Service Booked"/>
    <x v="0"/>
    <x v="0"/>
    <n v="184.25"/>
    <n v="737"/>
    <n v="552.75"/>
  </r>
  <r>
    <x v="10"/>
    <x v="2"/>
    <s v="Delivered"/>
    <x v="0"/>
    <x v="2"/>
    <n v="72.3"/>
    <n v="241"/>
    <n v="168.7"/>
  </r>
  <r>
    <x v="10"/>
    <x v="0"/>
    <s v="Cancelled"/>
    <x v="1"/>
    <x v="0"/>
    <n v="24.75"/>
    <n v="99"/>
    <n v="74.25"/>
  </r>
  <r>
    <x v="10"/>
    <x v="2"/>
    <s v="Delivered"/>
    <x v="7"/>
    <x v="2"/>
    <n v="465.6"/>
    <n v="1552"/>
    <n v="1086.4000000000001"/>
  </r>
  <r>
    <x v="10"/>
    <x v="2"/>
    <s v="Delivered"/>
    <x v="0"/>
    <x v="3"/>
    <n v="249.2"/>
    <n v="1246"/>
    <n v="996.8"/>
  </r>
  <r>
    <x v="10"/>
    <x v="1"/>
    <s v="Delivered"/>
    <x v="7"/>
    <x v="2"/>
    <n v="63.6"/>
    <n v="212"/>
    <n v="148.4"/>
  </r>
  <r>
    <x v="10"/>
    <x v="2"/>
    <s v="Delivered"/>
    <x v="3"/>
    <x v="2"/>
    <n v="231.6"/>
    <n v="772"/>
    <n v="540.4"/>
  </r>
  <r>
    <x v="10"/>
    <x v="1"/>
    <s v="Delivered"/>
    <x v="0"/>
    <x v="2"/>
    <n v="196.2"/>
    <n v="654"/>
    <n v="457.8"/>
  </r>
  <r>
    <x v="10"/>
    <x v="0"/>
    <s v="In Progress"/>
    <x v="7"/>
    <x v="0"/>
    <n v="407"/>
    <n v="1628"/>
    <n v="1221"/>
  </r>
  <r>
    <x v="10"/>
    <x v="2"/>
    <s v="Delivered"/>
    <x v="5"/>
    <x v="0"/>
    <n v="398.25"/>
    <n v="1593"/>
    <n v="1194.75"/>
  </r>
  <r>
    <x v="10"/>
    <x v="2"/>
    <s v="Service Booked"/>
    <x v="3"/>
    <x v="2"/>
    <n v="240.9"/>
    <n v="803"/>
    <n v="562.1"/>
  </r>
  <r>
    <x v="10"/>
    <x v="0"/>
    <s v="Delivered"/>
    <x v="5"/>
    <x v="0"/>
    <n v="204"/>
    <n v="816"/>
    <n v="612"/>
  </r>
  <r>
    <x v="10"/>
    <x v="2"/>
    <s v="Delivered"/>
    <x v="3"/>
    <x v="0"/>
    <n v="109"/>
    <n v="436"/>
    <n v="327"/>
  </r>
  <r>
    <x v="10"/>
    <x v="1"/>
    <s v="Delivered"/>
    <x v="6"/>
    <x v="2"/>
    <n v="247.2"/>
    <n v="824"/>
    <n v="576.79999999999995"/>
  </r>
  <r>
    <x v="10"/>
    <x v="2"/>
    <s v="Service Booked"/>
    <x v="4"/>
    <x v="0"/>
    <n v="35.5"/>
    <n v="142"/>
    <n v="106.5"/>
  </r>
  <r>
    <x v="10"/>
    <x v="2"/>
    <s v="Cancelled"/>
    <x v="6"/>
    <x v="0"/>
    <n v="326.5"/>
    <n v="1306"/>
    <n v="979.5"/>
  </r>
  <r>
    <x v="10"/>
    <x v="1"/>
    <s v="Service Booked"/>
    <x v="3"/>
    <x v="2"/>
    <n v="375.3"/>
    <n v="1251"/>
    <n v="875.7"/>
  </r>
  <r>
    <x v="10"/>
    <x v="1"/>
    <s v="Service Booked"/>
    <x v="3"/>
    <x v="1"/>
    <n v="11.3"/>
    <n v="113"/>
    <n v="101.7"/>
  </r>
  <r>
    <x v="10"/>
    <x v="2"/>
    <s v="Service Booked"/>
    <x v="5"/>
    <x v="2"/>
    <n v="385.2"/>
    <n v="1284"/>
    <n v="898.8"/>
  </r>
  <r>
    <x v="10"/>
    <x v="2"/>
    <s v="Delivered"/>
    <x v="5"/>
    <x v="0"/>
    <n v="27.75"/>
    <n v="111"/>
    <n v="83.25"/>
  </r>
  <r>
    <x v="10"/>
    <x v="2"/>
    <s v="Service Booked"/>
    <x v="7"/>
    <x v="2"/>
    <n v="145.19999999999999"/>
    <n v="484"/>
    <n v="338.8"/>
  </r>
  <r>
    <x v="10"/>
    <x v="0"/>
    <s v="Cancelled"/>
    <x v="4"/>
    <x v="0"/>
    <n v="242.5"/>
    <n v="970"/>
    <n v="727.5"/>
  </r>
  <r>
    <x v="10"/>
    <x v="1"/>
    <s v="Service Booked"/>
    <x v="4"/>
    <x v="1"/>
    <n v="174.2"/>
    <n v="1742"/>
    <n v="1567.8"/>
  </r>
  <r>
    <x v="10"/>
    <x v="0"/>
    <s v="In Progress"/>
    <x v="7"/>
    <x v="0"/>
    <n v="396.25"/>
    <n v="1585"/>
    <n v="1188.75"/>
  </r>
  <r>
    <x v="10"/>
    <x v="0"/>
    <s v="Service Booked"/>
    <x v="1"/>
    <x v="0"/>
    <n v="196.75"/>
    <n v="787"/>
    <n v="590.25"/>
  </r>
  <r>
    <x v="10"/>
    <x v="2"/>
    <s v="Delivered"/>
    <x v="2"/>
    <x v="0"/>
    <n v="291.5"/>
    <n v="1166"/>
    <n v="874.5"/>
  </r>
  <r>
    <x v="10"/>
    <x v="1"/>
    <s v="Cancelled"/>
    <x v="5"/>
    <x v="3"/>
    <n v="22.8"/>
    <n v="114"/>
    <n v="91.2"/>
  </r>
  <r>
    <x v="10"/>
    <x v="1"/>
    <s v="Service Booked"/>
    <x v="4"/>
    <x v="3"/>
    <n v="258.2"/>
    <n v="1291"/>
    <n v="1032.8"/>
  </r>
  <r>
    <x v="10"/>
    <x v="2"/>
    <s v="Delivered"/>
    <x v="3"/>
    <x v="0"/>
    <n v="172"/>
    <n v="688"/>
    <n v="516"/>
  </r>
  <r>
    <x v="10"/>
    <x v="1"/>
    <s v="Delivered"/>
    <x v="2"/>
    <x v="0"/>
    <n v="276"/>
    <n v="1104"/>
    <n v="828"/>
  </r>
  <r>
    <x v="10"/>
    <x v="0"/>
    <s v="Service Booked"/>
    <x v="4"/>
    <x v="2"/>
    <n v="291.89999999999998"/>
    <n v="973"/>
    <n v="681.1"/>
  </r>
  <r>
    <x v="10"/>
    <x v="2"/>
    <s v="Delivered"/>
    <x v="3"/>
    <x v="3"/>
    <n v="306.60000000000002"/>
    <n v="1533"/>
    <n v="1226.4000000000001"/>
  </r>
  <r>
    <x v="10"/>
    <x v="1"/>
    <s v="Service Booked"/>
    <x v="4"/>
    <x v="0"/>
    <n v="304.75"/>
    <n v="1219"/>
    <n v="914.25"/>
  </r>
  <r>
    <x v="10"/>
    <x v="1"/>
    <s v="Service Booked"/>
    <x v="6"/>
    <x v="0"/>
    <n v="373.75"/>
    <n v="1495"/>
    <n v="1121.25"/>
  </r>
  <r>
    <x v="10"/>
    <x v="0"/>
    <s v="Delivered"/>
    <x v="7"/>
    <x v="0"/>
    <n v="77.25"/>
    <n v="309"/>
    <n v="231.75"/>
  </r>
  <r>
    <x v="10"/>
    <x v="1"/>
    <s v="Delivered"/>
    <x v="0"/>
    <x v="3"/>
    <n v="70.400000000000006"/>
    <n v="352"/>
    <n v="281.60000000000002"/>
  </r>
  <r>
    <x v="10"/>
    <x v="1"/>
    <s v="Service Booked"/>
    <x v="0"/>
    <x v="0"/>
    <n v="101"/>
    <n v="404"/>
    <n v="303"/>
  </r>
  <r>
    <x v="10"/>
    <x v="1"/>
    <s v="Delivered"/>
    <x v="1"/>
    <x v="0"/>
    <n v="346"/>
    <n v="1384"/>
    <n v="1038"/>
  </r>
  <r>
    <x v="10"/>
    <x v="1"/>
    <s v="Service Booked"/>
    <x v="7"/>
    <x v="2"/>
    <n v="357.3"/>
    <n v="1191"/>
    <n v="833.7"/>
  </r>
  <r>
    <x v="10"/>
    <x v="1"/>
    <s v="Service Booked"/>
    <x v="4"/>
    <x v="2"/>
    <n v="171.9"/>
    <n v="573"/>
    <n v="401.1"/>
  </r>
  <r>
    <x v="10"/>
    <x v="1"/>
    <s v="In Progress"/>
    <x v="7"/>
    <x v="2"/>
    <n v="266.39999999999998"/>
    <n v="888"/>
    <n v="621.6"/>
  </r>
  <r>
    <x v="10"/>
    <x v="0"/>
    <s v="Service Booked"/>
    <x v="3"/>
    <x v="2"/>
    <n v="187.5"/>
    <n v="625"/>
    <n v="437.5"/>
  </r>
  <r>
    <x v="10"/>
    <x v="2"/>
    <s v="Delivered"/>
    <x v="4"/>
    <x v="0"/>
    <n v="97.75"/>
    <n v="391"/>
    <n v="293.25"/>
  </r>
  <r>
    <x v="10"/>
    <x v="1"/>
    <s v="Delivered"/>
    <x v="4"/>
    <x v="2"/>
    <n v="236.1"/>
    <n v="787"/>
    <n v="550.9"/>
  </r>
  <r>
    <x v="10"/>
    <x v="2"/>
    <s v="Service Booked"/>
    <x v="5"/>
    <x v="0"/>
    <n v="120"/>
    <n v="480"/>
    <n v="360"/>
  </r>
  <r>
    <x v="10"/>
    <x v="1"/>
    <s v="Service Booked"/>
    <x v="2"/>
    <x v="0"/>
    <n v="44"/>
    <n v="176"/>
    <n v="132"/>
  </r>
  <r>
    <x v="10"/>
    <x v="0"/>
    <s v="Delivered"/>
    <x v="5"/>
    <x v="3"/>
    <n v="238"/>
    <n v="1190"/>
    <n v="952"/>
  </r>
  <r>
    <x v="10"/>
    <x v="1"/>
    <s v="Delivered"/>
    <x v="1"/>
    <x v="1"/>
    <n v="72.599999999999994"/>
    <n v="726"/>
    <n v="653.4"/>
  </r>
  <r>
    <x v="10"/>
    <x v="1"/>
    <s v="Delivered"/>
    <x v="1"/>
    <x v="3"/>
    <n v="290"/>
    <n v="1450"/>
    <n v="1160"/>
  </r>
  <r>
    <x v="10"/>
    <x v="2"/>
    <s v="Service Booked"/>
    <x v="5"/>
    <x v="0"/>
    <n v="141.25"/>
    <n v="565"/>
    <n v="423.75"/>
  </r>
  <r>
    <x v="10"/>
    <x v="2"/>
    <s v="Cancelled"/>
    <x v="3"/>
    <x v="0"/>
    <n v="234.75"/>
    <n v="939"/>
    <n v="704.25"/>
  </r>
  <r>
    <x v="10"/>
    <x v="1"/>
    <s v="Delivered"/>
    <x v="6"/>
    <x v="1"/>
    <n v="30.6"/>
    <n v="306"/>
    <n v="275.39999999999998"/>
  </r>
  <r>
    <x v="10"/>
    <x v="0"/>
    <s v="In Progress"/>
    <x v="7"/>
    <x v="0"/>
    <n v="387.25"/>
    <n v="1549"/>
    <n v="1161.75"/>
  </r>
  <r>
    <x v="10"/>
    <x v="0"/>
    <s v="In Progress"/>
    <x v="0"/>
    <x v="0"/>
    <n v="271.5"/>
    <n v="1086"/>
    <n v="814.5"/>
  </r>
  <r>
    <x v="10"/>
    <x v="0"/>
    <s v="Delivered"/>
    <x v="4"/>
    <x v="0"/>
    <n v="112"/>
    <n v="448"/>
    <n v="336"/>
  </r>
  <r>
    <x v="10"/>
    <x v="0"/>
    <s v="In Progress"/>
    <x v="2"/>
    <x v="1"/>
    <n v="103.4"/>
    <n v="1034"/>
    <n v="930.6"/>
  </r>
  <r>
    <x v="10"/>
    <x v="1"/>
    <s v="Service Booked"/>
    <x v="6"/>
    <x v="3"/>
    <n v="79"/>
    <n v="395"/>
    <n v="316"/>
  </r>
  <r>
    <x v="10"/>
    <x v="1"/>
    <s v="Service Booked"/>
    <x v="1"/>
    <x v="1"/>
    <n v="143.19999999999999"/>
    <n v="1432"/>
    <n v="1288.8"/>
  </r>
  <r>
    <x v="10"/>
    <x v="1"/>
    <s v="Service Booked"/>
    <x v="3"/>
    <x v="2"/>
    <n v="6.9"/>
    <n v="23"/>
    <n v="16.100000000000001"/>
  </r>
  <r>
    <x v="10"/>
    <x v="2"/>
    <s v="Service Booked"/>
    <x v="2"/>
    <x v="0"/>
    <n v="463"/>
    <n v="1852"/>
    <n v="1389"/>
  </r>
  <r>
    <x v="10"/>
    <x v="2"/>
    <s v="Delivered"/>
    <x v="7"/>
    <x v="0"/>
    <n v="301.75"/>
    <n v="1207"/>
    <n v="905.25"/>
  </r>
  <r>
    <x v="10"/>
    <x v="2"/>
    <s v="Service Booked"/>
    <x v="2"/>
    <x v="3"/>
    <n v="271"/>
    <n v="1355"/>
    <n v="1084"/>
  </r>
  <r>
    <x v="10"/>
    <x v="2"/>
    <s v="Service Booked"/>
    <x v="4"/>
    <x v="2"/>
    <n v="370.5"/>
    <n v="1235"/>
    <n v="864.5"/>
  </r>
  <r>
    <x v="10"/>
    <x v="1"/>
    <s v="Cancelled"/>
    <x v="7"/>
    <x v="1"/>
    <n v="132.9"/>
    <n v="1329"/>
    <n v="1196.0999999999999"/>
  </r>
  <r>
    <x v="10"/>
    <x v="1"/>
    <s v="In Progress"/>
    <x v="3"/>
    <x v="0"/>
    <n v="319.75"/>
    <n v="1279"/>
    <n v="959.25"/>
  </r>
  <r>
    <x v="10"/>
    <x v="1"/>
    <s v="Service Booked"/>
    <x v="5"/>
    <x v="1"/>
    <n v="62"/>
    <n v="620"/>
    <n v="558"/>
  </r>
  <r>
    <x v="10"/>
    <x v="2"/>
    <s v="Delivered"/>
    <x v="3"/>
    <x v="0"/>
    <n v="356.25"/>
    <n v="1425"/>
    <n v="1068.75"/>
  </r>
  <r>
    <x v="11"/>
    <x v="1"/>
    <s v="Service Booked"/>
    <x v="6"/>
    <x v="0"/>
    <n v="12"/>
    <n v="48"/>
    <n v="36"/>
  </r>
  <r>
    <x v="11"/>
    <x v="2"/>
    <s v="Delivered"/>
    <x v="3"/>
    <x v="2"/>
    <n v="58.5"/>
    <n v="195"/>
    <n v="136.5"/>
  </r>
  <r>
    <x v="11"/>
    <x v="0"/>
    <s v="Service Booked"/>
    <x v="3"/>
    <x v="0"/>
    <n v="121.25"/>
    <n v="485"/>
    <n v="363.75"/>
  </r>
  <r>
    <x v="11"/>
    <x v="1"/>
    <s v="Service Booked"/>
    <x v="5"/>
    <x v="1"/>
    <n v="29.9"/>
    <n v="299"/>
    <n v="269.10000000000002"/>
  </r>
  <r>
    <x v="11"/>
    <x v="1"/>
    <s v="Delivered"/>
    <x v="4"/>
    <x v="0"/>
    <n v="419.75"/>
    <n v="1679"/>
    <n v="1259.25"/>
  </r>
  <r>
    <x v="11"/>
    <x v="2"/>
    <s v="Service Booked"/>
    <x v="4"/>
    <x v="2"/>
    <n v="239.7"/>
    <n v="799"/>
    <n v="559.29999999999995"/>
  </r>
  <r>
    <x v="11"/>
    <x v="2"/>
    <s v="Delivered"/>
    <x v="5"/>
    <x v="0"/>
    <n v="420.75"/>
    <n v="1683"/>
    <n v="1262.25"/>
  </r>
  <r>
    <x v="11"/>
    <x v="1"/>
    <s v="Service Booked"/>
    <x v="2"/>
    <x v="2"/>
    <n v="499.5"/>
    <n v="1665"/>
    <n v="1165.5"/>
  </r>
  <r>
    <x v="11"/>
    <x v="2"/>
    <s v="Delivered"/>
    <x v="3"/>
    <x v="0"/>
    <n v="85"/>
    <n v="340"/>
    <n v="255"/>
  </r>
  <r>
    <x v="11"/>
    <x v="2"/>
    <s v="Cancelled"/>
    <x v="5"/>
    <x v="3"/>
    <n v="261.60000000000002"/>
    <n v="1308"/>
    <n v="1046.4000000000001"/>
  </r>
  <r>
    <x v="11"/>
    <x v="2"/>
    <s v="Service Booked"/>
    <x v="4"/>
    <x v="0"/>
    <n v="168.75"/>
    <n v="675"/>
    <n v="506.25"/>
  </r>
  <r>
    <x v="11"/>
    <x v="1"/>
    <s v="Delivered"/>
    <x v="5"/>
    <x v="2"/>
    <n v="456.3"/>
    <n v="1521"/>
    <n v="1064.7"/>
  </r>
  <r>
    <x v="11"/>
    <x v="2"/>
    <s v="In Progress"/>
    <x v="5"/>
    <x v="2"/>
    <n v="235.5"/>
    <n v="785"/>
    <n v="549.5"/>
  </r>
  <r>
    <x v="11"/>
    <x v="1"/>
    <s v="Service Booked"/>
    <x v="7"/>
    <x v="0"/>
    <n v="116.25"/>
    <n v="465"/>
    <n v="348.75"/>
  </r>
  <r>
    <x v="11"/>
    <x v="2"/>
    <s v="Delivered"/>
    <x v="4"/>
    <x v="1"/>
    <n v="170.3"/>
    <n v="1703"/>
    <n v="1532.7"/>
  </r>
  <r>
    <x v="11"/>
    <x v="1"/>
    <s v="Delivered"/>
    <x v="6"/>
    <x v="0"/>
    <n v="191.5"/>
    <n v="766"/>
    <n v="574.5"/>
  </r>
  <r>
    <x v="11"/>
    <x v="0"/>
    <s v="Service Booked"/>
    <x v="6"/>
    <x v="2"/>
    <n v="319.8"/>
    <n v="1066"/>
    <n v="746.2"/>
  </r>
  <r>
    <x v="11"/>
    <x v="1"/>
    <s v="Service Booked"/>
    <x v="7"/>
    <x v="0"/>
    <n v="276"/>
    <n v="1104"/>
    <n v="828"/>
  </r>
  <r>
    <x v="11"/>
    <x v="2"/>
    <s v="In Progress"/>
    <x v="3"/>
    <x v="3"/>
    <n v="230.6"/>
    <n v="1153"/>
    <n v="922.4"/>
  </r>
  <r>
    <x v="11"/>
    <x v="2"/>
    <s v="Delivered"/>
    <x v="2"/>
    <x v="1"/>
    <n v="184.5"/>
    <n v="1845"/>
    <n v="1660.5"/>
  </r>
  <r>
    <x v="11"/>
    <x v="2"/>
    <s v="Delivered"/>
    <x v="0"/>
    <x v="0"/>
    <n v="406.75"/>
    <n v="1627"/>
    <n v="1220.25"/>
  </r>
  <r>
    <x v="11"/>
    <x v="0"/>
    <s v="In Progress"/>
    <x v="0"/>
    <x v="3"/>
    <n v="115.2"/>
    <n v="576"/>
    <n v="460.8"/>
  </r>
  <r>
    <x v="11"/>
    <x v="0"/>
    <s v="Service Booked"/>
    <x v="6"/>
    <x v="0"/>
    <n v="109.75"/>
    <n v="439"/>
    <n v="329.25"/>
  </r>
  <r>
    <x v="11"/>
    <x v="2"/>
    <s v="In Progress"/>
    <x v="3"/>
    <x v="3"/>
    <n v="142.6"/>
    <n v="713"/>
    <n v="570.4"/>
  </r>
  <r>
    <x v="11"/>
    <x v="1"/>
    <s v="Service Booked"/>
    <x v="3"/>
    <x v="0"/>
    <n v="4.5"/>
    <n v="18"/>
    <n v="13.5"/>
  </r>
  <r>
    <x v="11"/>
    <x v="1"/>
    <s v="Service Booked"/>
    <x v="7"/>
    <x v="2"/>
    <n v="240.9"/>
    <n v="803"/>
    <n v="562.1"/>
  </r>
  <r>
    <x v="11"/>
    <x v="2"/>
    <s v="Service Booked"/>
    <x v="2"/>
    <x v="0"/>
    <n v="151.75"/>
    <n v="607"/>
    <n v="455.25"/>
  </r>
  <r>
    <x v="11"/>
    <x v="2"/>
    <s v="Delivered"/>
    <x v="4"/>
    <x v="0"/>
    <n v="79.75"/>
    <n v="319"/>
    <n v="239.25"/>
  </r>
  <r>
    <x v="11"/>
    <x v="2"/>
    <s v="In Progress"/>
    <x v="5"/>
    <x v="0"/>
    <n v="19.5"/>
    <n v="78"/>
    <n v="58.5"/>
  </r>
  <r>
    <x v="11"/>
    <x v="0"/>
    <s v="Service Booked"/>
    <x v="0"/>
    <x v="2"/>
    <n v="393.3"/>
    <n v="1311"/>
    <n v="917.7"/>
  </r>
  <r>
    <x v="11"/>
    <x v="1"/>
    <s v="Service Booked"/>
    <x v="1"/>
    <x v="0"/>
    <n v="397.5"/>
    <n v="1590"/>
    <n v="1192.5"/>
  </r>
  <r>
    <x v="11"/>
    <x v="1"/>
    <s v="Cancelled"/>
    <x v="5"/>
    <x v="1"/>
    <n v="153.9"/>
    <n v="1539"/>
    <n v="1385.1"/>
  </r>
  <r>
    <x v="11"/>
    <x v="2"/>
    <s v="Service Booked"/>
    <x v="4"/>
    <x v="3"/>
    <n v="230.6"/>
    <n v="1153"/>
    <n v="922.4"/>
  </r>
  <r>
    <x v="11"/>
    <x v="1"/>
    <s v="Service Booked"/>
    <x v="2"/>
    <x v="0"/>
    <n v="466.25"/>
    <n v="1865"/>
    <n v="1398.75"/>
  </r>
  <r>
    <x v="11"/>
    <x v="2"/>
    <s v="Delivered"/>
    <x v="6"/>
    <x v="0"/>
    <n v="166.25"/>
    <n v="665"/>
    <n v="498.75"/>
  </r>
  <r>
    <x v="11"/>
    <x v="0"/>
    <s v="Service Booked"/>
    <x v="5"/>
    <x v="3"/>
    <n v="38.200000000000003"/>
    <n v="191"/>
    <n v="152.80000000000001"/>
  </r>
  <r>
    <x v="11"/>
    <x v="1"/>
    <s v="Delivered"/>
    <x v="0"/>
    <x v="2"/>
    <n v="109.8"/>
    <n v="366"/>
    <n v="256.2"/>
  </r>
  <r>
    <x v="11"/>
    <x v="1"/>
    <s v="Service Booked"/>
    <x v="4"/>
    <x v="2"/>
    <n v="38.1"/>
    <n v="127"/>
    <n v="88.9"/>
  </r>
  <r>
    <x v="11"/>
    <x v="0"/>
    <s v="Delivered"/>
    <x v="7"/>
    <x v="0"/>
    <n v="220.5"/>
    <n v="882"/>
    <n v="661.5"/>
  </r>
  <r>
    <x v="11"/>
    <x v="1"/>
    <s v="Delivered"/>
    <x v="5"/>
    <x v="2"/>
    <n v="434.1"/>
    <n v="1447"/>
    <n v="1012.9"/>
  </r>
  <r>
    <x v="11"/>
    <x v="0"/>
    <s v="In Progress"/>
    <x v="2"/>
    <x v="2"/>
    <n v="307.8"/>
    <n v="1026"/>
    <n v="718.2"/>
  </r>
  <r>
    <x v="11"/>
    <x v="1"/>
    <s v="Service Booked"/>
    <x v="1"/>
    <x v="1"/>
    <n v="159.6"/>
    <n v="1596"/>
    <n v="1436.4"/>
  </r>
  <r>
    <x v="11"/>
    <x v="0"/>
    <s v="Delivered"/>
    <x v="1"/>
    <x v="3"/>
    <n v="268.39999999999998"/>
    <n v="1342"/>
    <n v="1073.5999999999999"/>
  </r>
  <r>
    <x v="11"/>
    <x v="1"/>
    <s v="Cancelled"/>
    <x v="2"/>
    <x v="2"/>
    <n v="282.60000000000002"/>
    <n v="942"/>
    <n v="659.4"/>
  </r>
  <r>
    <x v="11"/>
    <x v="0"/>
    <s v="In Progress"/>
    <x v="0"/>
    <x v="0"/>
    <n v="135.25"/>
    <n v="541"/>
    <n v="405.75"/>
  </r>
  <r>
    <x v="11"/>
    <x v="2"/>
    <s v="Delivered"/>
    <x v="0"/>
    <x v="3"/>
    <n v="224.8"/>
    <n v="1124"/>
    <n v="899.2"/>
  </r>
  <r>
    <x v="11"/>
    <x v="0"/>
    <s v="Delivered"/>
    <x v="1"/>
    <x v="1"/>
    <n v="56.4"/>
    <n v="564"/>
    <n v="507.6"/>
  </r>
  <r>
    <x v="11"/>
    <x v="0"/>
    <s v="Service Booked"/>
    <x v="1"/>
    <x v="0"/>
    <n v="436.25"/>
    <n v="1745"/>
    <n v="1308.75"/>
  </r>
  <r>
    <x v="11"/>
    <x v="1"/>
    <s v="Service Booked"/>
    <x v="3"/>
    <x v="0"/>
    <n v="379"/>
    <n v="1516"/>
    <n v="1137"/>
  </r>
  <r>
    <x v="11"/>
    <x v="1"/>
    <s v="Service Booked"/>
    <x v="2"/>
    <x v="2"/>
    <n v="280.5"/>
    <n v="935"/>
    <n v="654.5"/>
  </r>
  <r>
    <x v="11"/>
    <x v="0"/>
    <s v="Delivered"/>
    <x v="0"/>
    <x v="0"/>
    <n v="339.5"/>
    <n v="1358"/>
    <n v="1018.5"/>
  </r>
  <r>
    <x v="11"/>
    <x v="1"/>
    <s v="Service Booked"/>
    <x v="6"/>
    <x v="0"/>
    <n v="464.75"/>
    <n v="1859"/>
    <n v="1394.25"/>
  </r>
  <r>
    <x v="11"/>
    <x v="2"/>
    <s v="Service Booked"/>
    <x v="4"/>
    <x v="0"/>
    <n v="247.75"/>
    <n v="991"/>
    <n v="743.25"/>
  </r>
  <r>
    <x v="11"/>
    <x v="1"/>
    <s v="Delivered"/>
    <x v="5"/>
    <x v="0"/>
    <n v="363.75"/>
    <n v="1455"/>
    <n v="1091.25"/>
  </r>
  <r>
    <x v="11"/>
    <x v="0"/>
    <s v="Service Booked"/>
    <x v="1"/>
    <x v="2"/>
    <n v="182.7"/>
    <n v="609"/>
    <n v="426.3"/>
  </r>
  <r>
    <x v="11"/>
    <x v="1"/>
    <s v="Service Booked"/>
    <x v="2"/>
    <x v="1"/>
    <n v="37"/>
    <n v="370"/>
    <n v="333"/>
  </r>
  <r>
    <x v="11"/>
    <x v="1"/>
    <s v="In Progress"/>
    <x v="0"/>
    <x v="0"/>
    <n v="195.25"/>
    <n v="781"/>
    <n v="585.75"/>
  </r>
  <r>
    <x v="11"/>
    <x v="0"/>
    <s v="Delivered"/>
    <x v="2"/>
    <x v="0"/>
    <n v="219.75"/>
    <n v="879"/>
    <n v="659.25"/>
  </r>
  <r>
    <x v="11"/>
    <x v="0"/>
    <s v="Delivered"/>
    <x v="0"/>
    <x v="0"/>
    <n v="363"/>
    <n v="1452"/>
    <n v="1089"/>
  </r>
  <r>
    <x v="11"/>
    <x v="1"/>
    <s v="Delivered"/>
    <x v="7"/>
    <x v="2"/>
    <n v="443.7"/>
    <n v="1479"/>
    <n v="1035.3"/>
  </r>
  <r>
    <x v="11"/>
    <x v="0"/>
    <s v="In Progress"/>
    <x v="5"/>
    <x v="1"/>
    <n v="113.1"/>
    <n v="1131"/>
    <n v="1017.9"/>
  </r>
  <r>
    <x v="11"/>
    <x v="1"/>
    <s v="Service Booked"/>
    <x v="3"/>
    <x v="2"/>
    <n v="364.8"/>
    <n v="1216"/>
    <n v="851.2"/>
  </r>
  <r>
    <x v="11"/>
    <x v="0"/>
    <s v="Service Booked"/>
    <x v="7"/>
    <x v="2"/>
    <n v="443.1"/>
    <n v="1477"/>
    <n v="1033.9000000000001"/>
  </r>
  <r>
    <x v="11"/>
    <x v="0"/>
    <s v="Service Booked"/>
    <x v="3"/>
    <x v="0"/>
    <n v="17.25"/>
    <n v="69"/>
    <n v="51.75"/>
  </r>
  <r>
    <x v="11"/>
    <x v="1"/>
    <s v="Service Booked"/>
    <x v="0"/>
    <x v="2"/>
    <n v="324"/>
    <n v="1080"/>
    <n v="756"/>
  </r>
  <r>
    <x v="11"/>
    <x v="2"/>
    <s v="In Progress"/>
    <x v="2"/>
    <x v="3"/>
    <n v="84.6"/>
    <n v="423"/>
    <n v="338.4"/>
  </r>
  <r>
    <x v="11"/>
    <x v="1"/>
    <s v="Service Booked"/>
    <x v="7"/>
    <x v="3"/>
    <n v="137"/>
    <n v="685"/>
    <n v="548"/>
  </r>
  <r>
    <x v="11"/>
    <x v="0"/>
    <s v="Service Booked"/>
    <x v="1"/>
    <x v="2"/>
    <n v="276.3"/>
    <n v="921"/>
    <n v="644.70000000000005"/>
  </r>
  <r>
    <x v="11"/>
    <x v="0"/>
    <s v="Delivered"/>
    <x v="2"/>
    <x v="0"/>
    <n v="184.5"/>
    <n v="738"/>
    <n v="553.5"/>
  </r>
  <r>
    <x v="11"/>
    <x v="0"/>
    <s v="Service Booked"/>
    <x v="2"/>
    <x v="2"/>
    <n v="143.1"/>
    <n v="477"/>
    <n v="333.9"/>
  </r>
  <r>
    <x v="11"/>
    <x v="1"/>
    <s v="Service Booked"/>
    <x v="0"/>
    <x v="1"/>
    <n v="24.6"/>
    <n v="246"/>
    <n v="221.4"/>
  </r>
  <r>
    <x v="11"/>
    <x v="0"/>
    <s v="Service Booked"/>
    <x v="3"/>
    <x v="0"/>
    <n v="151.75"/>
    <n v="607"/>
    <n v="455.25"/>
  </r>
  <r>
    <x v="11"/>
    <x v="0"/>
    <s v="Delivered"/>
    <x v="0"/>
    <x v="0"/>
    <n v="56"/>
    <n v="224"/>
    <n v="168"/>
  </r>
  <r>
    <x v="11"/>
    <x v="1"/>
    <s v="Service Booked"/>
    <x v="7"/>
    <x v="2"/>
    <n v="210.6"/>
    <n v="702"/>
    <n v="491.4"/>
  </r>
  <r>
    <x v="11"/>
    <x v="2"/>
    <s v="Service Booked"/>
    <x v="2"/>
    <x v="0"/>
    <n v="120"/>
    <n v="480"/>
    <n v="360"/>
  </r>
  <r>
    <x v="11"/>
    <x v="1"/>
    <s v="In Progress"/>
    <x v="6"/>
    <x v="2"/>
    <n v="299.10000000000002"/>
    <n v="997"/>
    <n v="697.9"/>
  </r>
  <r>
    <x v="11"/>
    <x v="2"/>
    <s v="Service Booked"/>
    <x v="3"/>
    <x v="0"/>
    <n v="261.5"/>
    <n v="1046"/>
    <n v="784.5"/>
  </r>
  <r>
    <x v="11"/>
    <x v="1"/>
    <s v="Delivered"/>
    <x v="7"/>
    <x v="2"/>
    <n v="249"/>
    <n v="830"/>
    <n v="581"/>
  </r>
  <r>
    <x v="11"/>
    <x v="2"/>
    <s v="Service Booked"/>
    <x v="0"/>
    <x v="2"/>
    <n v="347.7"/>
    <n v="1159"/>
    <n v="811.3"/>
  </r>
  <r>
    <x v="11"/>
    <x v="1"/>
    <s v="In Progress"/>
    <x v="1"/>
    <x v="3"/>
    <n v="63.6"/>
    <n v="318"/>
    <n v="254.4"/>
  </r>
  <r>
    <x v="11"/>
    <x v="0"/>
    <s v="Delivered"/>
    <x v="3"/>
    <x v="2"/>
    <n v="62.4"/>
    <n v="208"/>
    <n v="145.6"/>
  </r>
  <r>
    <x v="11"/>
    <x v="1"/>
    <s v="Delivered"/>
    <x v="5"/>
    <x v="3"/>
    <n v="276.8"/>
    <n v="1384"/>
    <n v="1107.2"/>
  </r>
  <r>
    <x v="12"/>
    <x v="3"/>
    <m/>
    <x v="8"/>
    <x v="4"/>
    <m/>
    <m/>
    <m/>
  </r>
</pivotCacheRecords>
</file>

<file path=xl/pivotCache/pivotCacheRecords6.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x v="0"/>
    <x v="0"/>
    <x v="0"/>
    <x v="0"/>
    <x v="0"/>
    <x v="0"/>
    <x v="0"/>
    <x v="0"/>
    <n v="0.25"/>
    <x v="0"/>
    <x v="0"/>
    <n v="837.75"/>
    <x v="0"/>
  </r>
  <r>
    <x v="1"/>
    <x v="1"/>
    <x v="1"/>
    <x v="1"/>
    <x v="1"/>
    <x v="0"/>
    <x v="0"/>
    <x v="1"/>
    <x v="1"/>
    <x v="1"/>
    <n v="0.1"/>
    <x v="1"/>
    <x v="1"/>
    <n v="1611"/>
    <x v="1"/>
  </r>
  <r>
    <x v="2"/>
    <x v="2"/>
    <x v="2"/>
    <x v="2"/>
    <x v="2"/>
    <x v="0"/>
    <x v="0"/>
    <x v="2"/>
    <x v="1"/>
    <x v="2"/>
    <n v="0.3"/>
    <x v="2"/>
    <x v="2"/>
    <n v="1119.3"/>
    <x v="2"/>
  </r>
  <r>
    <x v="3"/>
    <x v="3"/>
    <x v="3"/>
    <x v="3"/>
    <x v="1"/>
    <x v="0"/>
    <x v="0"/>
    <x v="2"/>
    <x v="1"/>
    <x v="3"/>
    <n v="0.1"/>
    <x v="3"/>
    <x v="3"/>
    <n v="233.1"/>
    <x v="3"/>
  </r>
  <r>
    <x v="4"/>
    <x v="4"/>
    <x v="4"/>
    <x v="4"/>
    <x v="1"/>
    <x v="0"/>
    <x v="0"/>
    <x v="1"/>
    <x v="1"/>
    <x v="2"/>
    <n v="0.1"/>
    <x v="4"/>
    <x v="4"/>
    <n v="210.6"/>
    <x v="0"/>
  </r>
  <r>
    <x v="5"/>
    <x v="5"/>
    <x v="5"/>
    <x v="5"/>
    <x v="3"/>
    <x v="1"/>
    <x v="0"/>
    <x v="0"/>
    <x v="2"/>
    <x v="0"/>
    <n v="0.3"/>
    <x v="5"/>
    <x v="5"/>
    <n v="1002.4"/>
    <x v="1"/>
  </r>
  <r>
    <x v="6"/>
    <x v="6"/>
    <x v="6"/>
    <x v="6"/>
    <x v="0"/>
    <x v="1"/>
    <x v="0"/>
    <x v="2"/>
    <x v="2"/>
    <x v="0"/>
    <n v="0.25"/>
    <x v="6"/>
    <x v="6"/>
    <n v="67.5"/>
    <x v="3"/>
  </r>
  <r>
    <x v="7"/>
    <x v="7"/>
    <x v="7"/>
    <x v="7"/>
    <x v="1"/>
    <x v="2"/>
    <x v="0"/>
    <x v="2"/>
    <x v="0"/>
    <x v="4"/>
    <n v="0.1"/>
    <x v="7"/>
    <x v="7"/>
    <n v="614.70000000000005"/>
    <x v="1"/>
  </r>
  <r>
    <x v="8"/>
    <x v="8"/>
    <x v="8"/>
    <x v="8"/>
    <x v="2"/>
    <x v="2"/>
    <x v="0"/>
    <x v="2"/>
    <x v="2"/>
    <x v="5"/>
    <n v="0.3"/>
    <x v="8"/>
    <x v="8"/>
    <n v="613.9"/>
    <x v="0"/>
  </r>
  <r>
    <x v="9"/>
    <x v="9"/>
    <x v="9"/>
    <x v="9"/>
    <x v="2"/>
    <x v="2"/>
    <x v="0"/>
    <x v="1"/>
    <x v="0"/>
    <x v="2"/>
    <n v="0.3"/>
    <x v="9"/>
    <x v="9"/>
    <n v="7.7"/>
    <x v="3"/>
  </r>
  <r>
    <x v="10"/>
    <x v="10"/>
    <x v="10"/>
    <x v="10"/>
    <x v="0"/>
    <x v="3"/>
    <x v="0"/>
    <x v="2"/>
    <x v="1"/>
    <x v="2"/>
    <n v="0.25"/>
    <x v="10"/>
    <x v="10"/>
    <n v="250.5"/>
    <x v="1"/>
  </r>
  <r>
    <x v="11"/>
    <x v="11"/>
    <x v="11"/>
    <x v="11"/>
    <x v="2"/>
    <x v="3"/>
    <x v="0"/>
    <x v="0"/>
    <x v="1"/>
    <x v="1"/>
    <n v="0.3"/>
    <x v="11"/>
    <x v="11"/>
    <n v="602.70000000000005"/>
    <x v="4"/>
  </r>
  <r>
    <x v="12"/>
    <x v="12"/>
    <x v="12"/>
    <x v="12"/>
    <x v="0"/>
    <x v="3"/>
    <x v="0"/>
    <x v="0"/>
    <x v="1"/>
    <x v="6"/>
    <n v="0.25"/>
    <x v="12"/>
    <x v="12"/>
    <n v="411"/>
    <x v="1"/>
  </r>
  <r>
    <x v="13"/>
    <x v="13"/>
    <x v="13"/>
    <x v="13"/>
    <x v="1"/>
    <x v="4"/>
    <x v="0"/>
    <x v="2"/>
    <x v="0"/>
    <x v="2"/>
    <n v="0.1"/>
    <x v="13"/>
    <x v="13"/>
    <n v="437.4"/>
    <x v="4"/>
  </r>
  <r>
    <x v="14"/>
    <x v="14"/>
    <x v="14"/>
    <x v="14"/>
    <x v="0"/>
    <x v="5"/>
    <x v="0"/>
    <x v="0"/>
    <x v="0"/>
    <x v="1"/>
    <n v="0.25"/>
    <x v="14"/>
    <x v="14"/>
    <n v="20.25"/>
    <x v="2"/>
  </r>
  <r>
    <x v="15"/>
    <x v="15"/>
    <x v="15"/>
    <x v="15"/>
    <x v="3"/>
    <x v="5"/>
    <x v="0"/>
    <x v="2"/>
    <x v="1"/>
    <x v="5"/>
    <n v="0.3"/>
    <x v="15"/>
    <x v="15"/>
    <n v="1166.9000000000001"/>
    <x v="1"/>
  </r>
  <r>
    <x v="16"/>
    <x v="16"/>
    <x v="16"/>
    <x v="16"/>
    <x v="1"/>
    <x v="5"/>
    <x v="0"/>
    <x v="0"/>
    <x v="1"/>
    <x v="5"/>
    <n v="0.1"/>
    <x v="16"/>
    <x v="16"/>
    <n v="1020.6"/>
    <x v="4"/>
  </r>
  <r>
    <x v="17"/>
    <x v="17"/>
    <x v="17"/>
    <x v="17"/>
    <x v="2"/>
    <x v="5"/>
    <x v="0"/>
    <x v="2"/>
    <x v="0"/>
    <x v="5"/>
    <n v="0.3"/>
    <x v="17"/>
    <x v="17"/>
    <n v="805.7"/>
    <x v="2"/>
  </r>
  <r>
    <x v="18"/>
    <x v="18"/>
    <x v="18"/>
    <x v="18"/>
    <x v="2"/>
    <x v="5"/>
    <x v="0"/>
    <x v="0"/>
    <x v="0"/>
    <x v="4"/>
    <n v="0.3"/>
    <x v="18"/>
    <x v="18"/>
    <n v="947.1"/>
    <x v="1"/>
  </r>
  <r>
    <x v="19"/>
    <x v="19"/>
    <x v="19"/>
    <x v="19"/>
    <x v="1"/>
    <x v="6"/>
    <x v="0"/>
    <x v="0"/>
    <x v="3"/>
    <x v="4"/>
    <n v="0.1"/>
    <x v="19"/>
    <x v="19"/>
    <n v="1575.9"/>
    <x v="3"/>
  </r>
  <r>
    <x v="20"/>
    <x v="20"/>
    <x v="20"/>
    <x v="20"/>
    <x v="3"/>
    <x v="6"/>
    <x v="0"/>
    <x v="2"/>
    <x v="0"/>
    <x v="2"/>
    <n v="0.3"/>
    <x v="20"/>
    <x v="20"/>
    <n v="677.6"/>
    <x v="3"/>
  </r>
  <r>
    <x v="21"/>
    <x v="21"/>
    <x v="21"/>
    <x v="21"/>
    <x v="4"/>
    <x v="6"/>
    <x v="0"/>
    <x v="2"/>
    <x v="1"/>
    <x v="4"/>
    <n v="0.25"/>
    <x v="21"/>
    <x v="21"/>
    <n v="331.5"/>
    <x v="4"/>
  </r>
  <r>
    <x v="22"/>
    <x v="22"/>
    <x v="22"/>
    <x v="22"/>
    <x v="5"/>
    <x v="6"/>
    <x v="0"/>
    <x v="2"/>
    <x v="0"/>
    <x v="7"/>
    <n v="0.2"/>
    <x v="22"/>
    <x v="22"/>
    <n v="866.4"/>
    <x v="4"/>
  </r>
  <r>
    <x v="23"/>
    <x v="23"/>
    <x v="23"/>
    <x v="23"/>
    <x v="0"/>
    <x v="7"/>
    <x v="0"/>
    <x v="1"/>
    <x v="3"/>
    <x v="3"/>
    <n v="0.25"/>
    <x v="23"/>
    <x v="23"/>
    <n v="544.5"/>
    <x v="1"/>
  </r>
  <r>
    <x v="24"/>
    <x v="24"/>
    <x v="24"/>
    <x v="24"/>
    <x v="5"/>
    <x v="7"/>
    <x v="0"/>
    <x v="1"/>
    <x v="1"/>
    <x v="1"/>
    <n v="0.2"/>
    <x v="24"/>
    <x v="24"/>
    <n v="868"/>
    <x v="2"/>
  </r>
  <r>
    <x v="25"/>
    <x v="25"/>
    <x v="25"/>
    <x v="25"/>
    <x v="5"/>
    <x v="8"/>
    <x v="0"/>
    <x v="1"/>
    <x v="3"/>
    <x v="1"/>
    <n v="0.2"/>
    <x v="25"/>
    <x v="25"/>
    <n v="618.4"/>
    <x v="0"/>
  </r>
  <r>
    <x v="26"/>
    <x v="26"/>
    <x v="26"/>
    <x v="26"/>
    <x v="0"/>
    <x v="8"/>
    <x v="0"/>
    <x v="0"/>
    <x v="1"/>
    <x v="6"/>
    <n v="0.25"/>
    <x v="26"/>
    <x v="26"/>
    <n v="1035.75"/>
    <x v="1"/>
  </r>
  <r>
    <x v="27"/>
    <x v="27"/>
    <x v="27"/>
    <x v="27"/>
    <x v="2"/>
    <x v="8"/>
    <x v="0"/>
    <x v="2"/>
    <x v="1"/>
    <x v="0"/>
    <n v="0.3"/>
    <x v="27"/>
    <x v="26"/>
    <n v="966.7"/>
    <x v="2"/>
  </r>
  <r>
    <x v="28"/>
    <x v="28"/>
    <x v="28"/>
    <x v="28"/>
    <x v="5"/>
    <x v="8"/>
    <x v="0"/>
    <x v="0"/>
    <x v="1"/>
    <x v="0"/>
    <n v="0.2"/>
    <x v="28"/>
    <x v="27"/>
    <n v="39.200000000000003"/>
    <x v="3"/>
  </r>
  <r>
    <x v="29"/>
    <x v="29"/>
    <x v="29"/>
    <x v="29"/>
    <x v="0"/>
    <x v="9"/>
    <x v="0"/>
    <x v="0"/>
    <x v="1"/>
    <x v="2"/>
    <n v="0.25"/>
    <x v="29"/>
    <x v="28"/>
    <n v="1155"/>
    <x v="3"/>
  </r>
  <r>
    <x v="30"/>
    <x v="30"/>
    <x v="30"/>
    <x v="30"/>
    <x v="5"/>
    <x v="9"/>
    <x v="0"/>
    <x v="1"/>
    <x v="1"/>
    <x v="2"/>
    <n v="0.2"/>
    <x v="30"/>
    <x v="29"/>
    <n v="169.6"/>
    <x v="1"/>
  </r>
  <r>
    <x v="31"/>
    <x v="31"/>
    <x v="31"/>
    <x v="31"/>
    <x v="4"/>
    <x v="10"/>
    <x v="0"/>
    <x v="0"/>
    <x v="1"/>
    <x v="6"/>
    <n v="0.25"/>
    <x v="31"/>
    <x v="30"/>
    <n v="146.25"/>
    <x v="0"/>
  </r>
  <r>
    <x v="32"/>
    <x v="32"/>
    <x v="32"/>
    <x v="32"/>
    <x v="2"/>
    <x v="11"/>
    <x v="0"/>
    <x v="1"/>
    <x v="0"/>
    <x v="0"/>
    <n v="0.3"/>
    <x v="32"/>
    <x v="3"/>
    <n v="181.3"/>
    <x v="0"/>
  </r>
  <r>
    <x v="33"/>
    <x v="33"/>
    <x v="1"/>
    <x v="33"/>
    <x v="5"/>
    <x v="11"/>
    <x v="0"/>
    <x v="0"/>
    <x v="1"/>
    <x v="1"/>
    <n v="0.2"/>
    <x v="33"/>
    <x v="31"/>
    <n v="328"/>
    <x v="1"/>
  </r>
  <r>
    <x v="34"/>
    <x v="34"/>
    <x v="33"/>
    <x v="34"/>
    <x v="0"/>
    <x v="12"/>
    <x v="0"/>
    <x v="0"/>
    <x v="1"/>
    <x v="5"/>
    <n v="0.25"/>
    <x v="34"/>
    <x v="32"/>
    <n v="413.25"/>
    <x v="0"/>
  </r>
  <r>
    <x v="35"/>
    <x v="35"/>
    <x v="34"/>
    <x v="35"/>
    <x v="0"/>
    <x v="12"/>
    <x v="0"/>
    <x v="2"/>
    <x v="2"/>
    <x v="0"/>
    <n v="0.25"/>
    <x v="35"/>
    <x v="33"/>
    <n v="323.25"/>
    <x v="4"/>
  </r>
  <r>
    <x v="36"/>
    <x v="36"/>
    <x v="35"/>
    <x v="23"/>
    <x v="0"/>
    <x v="12"/>
    <x v="0"/>
    <x v="2"/>
    <x v="1"/>
    <x v="1"/>
    <n v="0.25"/>
    <x v="36"/>
    <x v="34"/>
    <n v="837"/>
    <x v="3"/>
  </r>
  <r>
    <x v="37"/>
    <x v="37"/>
    <x v="36"/>
    <x v="36"/>
    <x v="2"/>
    <x v="13"/>
    <x v="0"/>
    <x v="2"/>
    <x v="1"/>
    <x v="3"/>
    <n v="0.3"/>
    <x v="37"/>
    <x v="35"/>
    <n v="822.5"/>
    <x v="0"/>
  </r>
  <r>
    <x v="38"/>
    <x v="38"/>
    <x v="37"/>
    <x v="37"/>
    <x v="2"/>
    <x v="13"/>
    <x v="0"/>
    <x v="2"/>
    <x v="1"/>
    <x v="6"/>
    <n v="0.3"/>
    <x v="38"/>
    <x v="36"/>
    <n v="545.29999999999995"/>
    <x v="2"/>
  </r>
  <r>
    <x v="39"/>
    <x v="39"/>
    <x v="38"/>
    <x v="38"/>
    <x v="0"/>
    <x v="13"/>
    <x v="0"/>
    <x v="0"/>
    <x v="3"/>
    <x v="7"/>
    <n v="0.25"/>
    <x v="39"/>
    <x v="37"/>
    <n v="1216.5"/>
    <x v="1"/>
  </r>
  <r>
    <x v="40"/>
    <x v="40"/>
    <x v="39"/>
    <x v="39"/>
    <x v="2"/>
    <x v="14"/>
    <x v="0"/>
    <x v="1"/>
    <x v="1"/>
    <x v="0"/>
    <n v="0.3"/>
    <x v="40"/>
    <x v="38"/>
    <n v="90.3"/>
    <x v="4"/>
  </r>
  <r>
    <x v="41"/>
    <x v="41"/>
    <x v="22"/>
    <x v="40"/>
    <x v="4"/>
    <x v="14"/>
    <x v="0"/>
    <x v="1"/>
    <x v="0"/>
    <x v="5"/>
    <n v="0.25"/>
    <x v="41"/>
    <x v="39"/>
    <n v="525.75"/>
    <x v="2"/>
  </r>
  <r>
    <x v="42"/>
    <x v="42"/>
    <x v="40"/>
    <x v="41"/>
    <x v="1"/>
    <x v="15"/>
    <x v="0"/>
    <x v="2"/>
    <x v="0"/>
    <x v="5"/>
    <n v="0.1"/>
    <x v="21"/>
    <x v="40"/>
    <n v="994.5"/>
    <x v="2"/>
  </r>
  <r>
    <x v="43"/>
    <x v="43"/>
    <x v="41"/>
    <x v="42"/>
    <x v="4"/>
    <x v="16"/>
    <x v="0"/>
    <x v="2"/>
    <x v="0"/>
    <x v="4"/>
    <n v="0.25"/>
    <x v="42"/>
    <x v="41"/>
    <n v="1024.5"/>
    <x v="1"/>
  </r>
  <r>
    <x v="44"/>
    <x v="44"/>
    <x v="42"/>
    <x v="43"/>
    <x v="3"/>
    <x v="16"/>
    <x v="0"/>
    <x v="0"/>
    <x v="0"/>
    <x v="3"/>
    <n v="0.3"/>
    <x v="43"/>
    <x v="42"/>
    <n v="491.4"/>
    <x v="2"/>
  </r>
  <r>
    <x v="45"/>
    <x v="45"/>
    <x v="43"/>
    <x v="44"/>
    <x v="1"/>
    <x v="16"/>
    <x v="0"/>
    <x v="0"/>
    <x v="1"/>
    <x v="7"/>
    <n v="0.1"/>
    <x v="44"/>
    <x v="43"/>
    <n v="1523.7"/>
    <x v="2"/>
  </r>
  <r>
    <x v="46"/>
    <x v="46"/>
    <x v="44"/>
    <x v="45"/>
    <x v="1"/>
    <x v="17"/>
    <x v="0"/>
    <x v="2"/>
    <x v="0"/>
    <x v="0"/>
    <n v="0.1"/>
    <x v="45"/>
    <x v="44"/>
    <n v="1506.6"/>
    <x v="2"/>
  </r>
  <r>
    <x v="47"/>
    <x v="47"/>
    <x v="45"/>
    <x v="46"/>
    <x v="5"/>
    <x v="17"/>
    <x v="0"/>
    <x v="1"/>
    <x v="0"/>
    <x v="5"/>
    <n v="0.2"/>
    <x v="46"/>
    <x v="45"/>
    <n v="1436.8"/>
    <x v="4"/>
  </r>
  <r>
    <x v="48"/>
    <x v="48"/>
    <x v="46"/>
    <x v="47"/>
    <x v="1"/>
    <x v="18"/>
    <x v="0"/>
    <x v="1"/>
    <x v="1"/>
    <x v="4"/>
    <n v="0.1"/>
    <x v="47"/>
    <x v="46"/>
    <n v="1433.7"/>
    <x v="4"/>
  </r>
  <r>
    <x v="49"/>
    <x v="49"/>
    <x v="47"/>
    <x v="48"/>
    <x v="0"/>
    <x v="19"/>
    <x v="0"/>
    <x v="1"/>
    <x v="0"/>
    <x v="6"/>
    <n v="0.25"/>
    <x v="48"/>
    <x v="47"/>
    <n v="730.5"/>
    <x v="3"/>
  </r>
  <r>
    <x v="50"/>
    <x v="50"/>
    <x v="48"/>
    <x v="49"/>
    <x v="1"/>
    <x v="19"/>
    <x v="0"/>
    <x v="0"/>
    <x v="2"/>
    <x v="0"/>
    <n v="0.1"/>
    <x v="49"/>
    <x v="48"/>
    <n v="531"/>
    <x v="1"/>
  </r>
  <r>
    <x v="51"/>
    <x v="51"/>
    <x v="49"/>
    <x v="50"/>
    <x v="5"/>
    <x v="19"/>
    <x v="0"/>
    <x v="0"/>
    <x v="1"/>
    <x v="3"/>
    <n v="0.2"/>
    <x v="50"/>
    <x v="49"/>
    <n v="1276.8"/>
    <x v="3"/>
  </r>
  <r>
    <x v="52"/>
    <x v="52"/>
    <x v="50"/>
    <x v="51"/>
    <x v="0"/>
    <x v="19"/>
    <x v="0"/>
    <x v="2"/>
    <x v="2"/>
    <x v="2"/>
    <n v="0.25"/>
    <x v="51"/>
    <x v="50"/>
    <n v="699.75"/>
    <x v="4"/>
  </r>
  <r>
    <x v="53"/>
    <x v="53"/>
    <x v="51"/>
    <x v="52"/>
    <x v="5"/>
    <x v="19"/>
    <x v="0"/>
    <x v="2"/>
    <x v="2"/>
    <x v="1"/>
    <n v="0.2"/>
    <x v="52"/>
    <x v="51"/>
    <n v="383.2"/>
    <x v="0"/>
  </r>
  <r>
    <x v="54"/>
    <x v="54"/>
    <x v="52"/>
    <x v="53"/>
    <x v="3"/>
    <x v="20"/>
    <x v="0"/>
    <x v="0"/>
    <x v="2"/>
    <x v="7"/>
    <n v="0.3"/>
    <x v="53"/>
    <x v="52"/>
    <n v="830.9"/>
    <x v="1"/>
  </r>
  <r>
    <x v="55"/>
    <x v="55"/>
    <x v="53"/>
    <x v="54"/>
    <x v="1"/>
    <x v="20"/>
    <x v="0"/>
    <x v="2"/>
    <x v="0"/>
    <x v="2"/>
    <n v="0.1"/>
    <x v="54"/>
    <x v="53"/>
    <n v="1105.2"/>
    <x v="2"/>
  </r>
  <r>
    <x v="56"/>
    <x v="56"/>
    <x v="54"/>
    <x v="55"/>
    <x v="4"/>
    <x v="21"/>
    <x v="0"/>
    <x v="2"/>
    <x v="1"/>
    <x v="4"/>
    <n v="0.25"/>
    <x v="55"/>
    <x v="54"/>
    <n v="510"/>
    <x v="1"/>
  </r>
  <r>
    <x v="57"/>
    <x v="57"/>
    <x v="55"/>
    <x v="56"/>
    <x v="2"/>
    <x v="21"/>
    <x v="0"/>
    <x v="0"/>
    <x v="2"/>
    <x v="7"/>
    <n v="0.3"/>
    <x v="56"/>
    <x v="55"/>
    <n v="183.4"/>
    <x v="2"/>
  </r>
  <r>
    <x v="58"/>
    <x v="58"/>
    <x v="56"/>
    <x v="57"/>
    <x v="4"/>
    <x v="22"/>
    <x v="0"/>
    <x v="1"/>
    <x v="3"/>
    <x v="0"/>
    <n v="0.25"/>
    <x v="57"/>
    <x v="56"/>
    <n v="1220.25"/>
    <x v="2"/>
  </r>
  <r>
    <x v="59"/>
    <x v="59"/>
    <x v="57"/>
    <x v="58"/>
    <x v="2"/>
    <x v="22"/>
    <x v="0"/>
    <x v="1"/>
    <x v="0"/>
    <x v="0"/>
    <n v="0.3"/>
    <x v="58"/>
    <x v="57"/>
    <n v="167.3"/>
    <x v="3"/>
  </r>
  <r>
    <x v="60"/>
    <x v="60"/>
    <x v="58"/>
    <x v="59"/>
    <x v="0"/>
    <x v="23"/>
    <x v="0"/>
    <x v="0"/>
    <x v="1"/>
    <x v="5"/>
    <n v="0.25"/>
    <x v="59"/>
    <x v="58"/>
    <n v="201"/>
    <x v="1"/>
  </r>
  <r>
    <x v="61"/>
    <x v="61"/>
    <x v="59"/>
    <x v="60"/>
    <x v="4"/>
    <x v="23"/>
    <x v="0"/>
    <x v="0"/>
    <x v="0"/>
    <x v="2"/>
    <n v="0.25"/>
    <x v="60"/>
    <x v="59"/>
    <n v="160.5"/>
    <x v="1"/>
  </r>
  <r>
    <x v="62"/>
    <x v="62"/>
    <x v="60"/>
    <x v="61"/>
    <x v="1"/>
    <x v="24"/>
    <x v="0"/>
    <x v="0"/>
    <x v="3"/>
    <x v="4"/>
    <n v="0.1"/>
    <x v="61"/>
    <x v="60"/>
    <n v="599.4"/>
    <x v="4"/>
  </r>
  <r>
    <x v="63"/>
    <x v="63"/>
    <x v="61"/>
    <x v="62"/>
    <x v="3"/>
    <x v="24"/>
    <x v="0"/>
    <x v="1"/>
    <x v="1"/>
    <x v="1"/>
    <n v="0.3"/>
    <x v="62"/>
    <x v="61"/>
    <n v="150.5"/>
    <x v="4"/>
  </r>
  <r>
    <x v="64"/>
    <x v="64"/>
    <x v="62"/>
    <x v="63"/>
    <x v="1"/>
    <x v="25"/>
    <x v="0"/>
    <x v="1"/>
    <x v="0"/>
    <x v="1"/>
    <n v="0.1"/>
    <x v="63"/>
    <x v="62"/>
    <n v="1652.4"/>
    <x v="1"/>
  </r>
  <r>
    <x v="65"/>
    <x v="65"/>
    <x v="63"/>
    <x v="64"/>
    <x v="2"/>
    <x v="25"/>
    <x v="0"/>
    <x v="0"/>
    <x v="2"/>
    <x v="7"/>
    <n v="0.3"/>
    <x v="64"/>
    <x v="63"/>
    <n v="91"/>
    <x v="4"/>
  </r>
  <r>
    <x v="66"/>
    <x v="66"/>
    <x v="64"/>
    <x v="65"/>
    <x v="3"/>
    <x v="25"/>
    <x v="0"/>
    <x v="0"/>
    <x v="0"/>
    <x v="4"/>
    <n v="0.3"/>
    <x v="65"/>
    <x v="64"/>
    <n v="865.9"/>
    <x v="1"/>
  </r>
  <r>
    <x v="67"/>
    <x v="67"/>
    <x v="65"/>
    <x v="66"/>
    <x v="5"/>
    <x v="25"/>
    <x v="0"/>
    <x v="2"/>
    <x v="1"/>
    <x v="4"/>
    <n v="0.2"/>
    <x v="66"/>
    <x v="65"/>
    <n v="410.4"/>
    <x v="0"/>
  </r>
  <r>
    <x v="68"/>
    <x v="68"/>
    <x v="66"/>
    <x v="67"/>
    <x v="1"/>
    <x v="26"/>
    <x v="0"/>
    <x v="2"/>
    <x v="2"/>
    <x v="5"/>
    <n v="0.1"/>
    <x v="67"/>
    <x v="66"/>
    <n v="538.20000000000005"/>
    <x v="0"/>
  </r>
  <r>
    <x v="69"/>
    <x v="69"/>
    <x v="67"/>
    <x v="68"/>
    <x v="1"/>
    <x v="26"/>
    <x v="0"/>
    <x v="2"/>
    <x v="1"/>
    <x v="5"/>
    <n v="0.1"/>
    <x v="68"/>
    <x v="67"/>
    <n v="1442.7"/>
    <x v="0"/>
  </r>
  <r>
    <x v="70"/>
    <x v="70"/>
    <x v="68"/>
    <x v="69"/>
    <x v="0"/>
    <x v="26"/>
    <x v="0"/>
    <x v="1"/>
    <x v="0"/>
    <x v="2"/>
    <n v="0.25"/>
    <x v="69"/>
    <x v="68"/>
    <n v="943.5"/>
    <x v="4"/>
  </r>
  <r>
    <x v="71"/>
    <x v="71"/>
    <x v="69"/>
    <x v="70"/>
    <x v="0"/>
    <x v="26"/>
    <x v="0"/>
    <x v="1"/>
    <x v="1"/>
    <x v="4"/>
    <n v="0.25"/>
    <x v="70"/>
    <x v="69"/>
    <n v="285"/>
    <x v="3"/>
  </r>
  <r>
    <x v="72"/>
    <x v="72"/>
    <x v="70"/>
    <x v="32"/>
    <x v="3"/>
    <x v="26"/>
    <x v="0"/>
    <x v="2"/>
    <x v="3"/>
    <x v="1"/>
    <n v="0.3"/>
    <x v="71"/>
    <x v="70"/>
    <n v="783.3"/>
    <x v="0"/>
  </r>
  <r>
    <x v="73"/>
    <x v="73"/>
    <x v="71"/>
    <x v="71"/>
    <x v="4"/>
    <x v="27"/>
    <x v="1"/>
    <x v="0"/>
    <x v="1"/>
    <x v="1"/>
    <n v="0.25"/>
    <x v="72"/>
    <x v="71"/>
    <n v="506.25"/>
    <x v="4"/>
  </r>
  <r>
    <x v="74"/>
    <x v="74"/>
    <x v="72"/>
    <x v="72"/>
    <x v="4"/>
    <x v="27"/>
    <x v="1"/>
    <x v="2"/>
    <x v="1"/>
    <x v="1"/>
    <n v="0.25"/>
    <x v="73"/>
    <x v="72"/>
    <n v="1233"/>
    <x v="3"/>
  </r>
  <r>
    <x v="75"/>
    <x v="75"/>
    <x v="73"/>
    <x v="73"/>
    <x v="5"/>
    <x v="27"/>
    <x v="1"/>
    <x v="1"/>
    <x v="0"/>
    <x v="5"/>
    <n v="0.2"/>
    <x v="74"/>
    <x v="73"/>
    <n v="708.8"/>
    <x v="1"/>
  </r>
  <r>
    <x v="76"/>
    <x v="76"/>
    <x v="74"/>
    <x v="74"/>
    <x v="5"/>
    <x v="27"/>
    <x v="1"/>
    <x v="0"/>
    <x v="0"/>
    <x v="3"/>
    <n v="0.2"/>
    <x v="75"/>
    <x v="74"/>
    <n v="292"/>
    <x v="0"/>
  </r>
  <r>
    <x v="77"/>
    <x v="77"/>
    <x v="75"/>
    <x v="75"/>
    <x v="1"/>
    <x v="27"/>
    <x v="1"/>
    <x v="2"/>
    <x v="0"/>
    <x v="6"/>
    <n v="0.1"/>
    <x v="76"/>
    <x v="75"/>
    <n v="309.60000000000002"/>
    <x v="4"/>
  </r>
  <r>
    <x v="78"/>
    <x v="78"/>
    <x v="76"/>
    <x v="76"/>
    <x v="5"/>
    <x v="27"/>
    <x v="1"/>
    <x v="1"/>
    <x v="3"/>
    <x v="1"/>
    <n v="0.2"/>
    <x v="77"/>
    <x v="15"/>
    <n v="1333.6"/>
    <x v="2"/>
  </r>
  <r>
    <x v="79"/>
    <x v="79"/>
    <x v="77"/>
    <x v="77"/>
    <x v="2"/>
    <x v="28"/>
    <x v="1"/>
    <x v="1"/>
    <x v="1"/>
    <x v="5"/>
    <n v="0.3"/>
    <x v="78"/>
    <x v="76"/>
    <n v="11.9"/>
    <x v="1"/>
  </r>
  <r>
    <x v="80"/>
    <x v="80"/>
    <x v="78"/>
    <x v="59"/>
    <x v="2"/>
    <x v="28"/>
    <x v="1"/>
    <x v="1"/>
    <x v="0"/>
    <x v="5"/>
    <n v="0.3"/>
    <x v="79"/>
    <x v="77"/>
    <n v="728.7"/>
    <x v="2"/>
  </r>
  <r>
    <x v="81"/>
    <x v="81"/>
    <x v="79"/>
    <x v="78"/>
    <x v="4"/>
    <x v="28"/>
    <x v="1"/>
    <x v="1"/>
    <x v="1"/>
    <x v="4"/>
    <n v="0.25"/>
    <x v="80"/>
    <x v="67"/>
    <n v="1202.25"/>
    <x v="1"/>
  </r>
  <r>
    <x v="82"/>
    <x v="82"/>
    <x v="80"/>
    <x v="79"/>
    <x v="5"/>
    <x v="28"/>
    <x v="1"/>
    <x v="2"/>
    <x v="0"/>
    <x v="5"/>
    <n v="0.2"/>
    <x v="81"/>
    <x v="78"/>
    <n v="682.4"/>
    <x v="1"/>
  </r>
  <r>
    <x v="83"/>
    <x v="83"/>
    <x v="1"/>
    <x v="80"/>
    <x v="0"/>
    <x v="28"/>
    <x v="1"/>
    <x v="0"/>
    <x v="0"/>
    <x v="7"/>
    <n v="0.25"/>
    <x v="82"/>
    <x v="79"/>
    <n v="308.25"/>
    <x v="1"/>
  </r>
  <r>
    <x v="84"/>
    <x v="84"/>
    <x v="81"/>
    <x v="81"/>
    <x v="0"/>
    <x v="28"/>
    <x v="1"/>
    <x v="0"/>
    <x v="3"/>
    <x v="4"/>
    <n v="0.25"/>
    <x v="83"/>
    <x v="80"/>
    <n v="818.25"/>
    <x v="1"/>
  </r>
  <r>
    <x v="85"/>
    <x v="85"/>
    <x v="82"/>
    <x v="82"/>
    <x v="4"/>
    <x v="29"/>
    <x v="1"/>
    <x v="2"/>
    <x v="3"/>
    <x v="4"/>
    <n v="0.25"/>
    <x v="84"/>
    <x v="81"/>
    <n v="302.25"/>
    <x v="2"/>
  </r>
  <r>
    <x v="86"/>
    <x v="86"/>
    <x v="83"/>
    <x v="83"/>
    <x v="4"/>
    <x v="29"/>
    <x v="1"/>
    <x v="0"/>
    <x v="3"/>
    <x v="1"/>
    <n v="0.25"/>
    <x v="85"/>
    <x v="82"/>
    <n v="1121.25"/>
    <x v="0"/>
  </r>
  <r>
    <x v="87"/>
    <x v="87"/>
    <x v="84"/>
    <x v="84"/>
    <x v="0"/>
    <x v="30"/>
    <x v="1"/>
    <x v="1"/>
    <x v="0"/>
    <x v="1"/>
    <n v="0.25"/>
    <x v="86"/>
    <x v="83"/>
    <n v="187.5"/>
    <x v="3"/>
  </r>
  <r>
    <x v="88"/>
    <x v="88"/>
    <x v="85"/>
    <x v="85"/>
    <x v="3"/>
    <x v="30"/>
    <x v="1"/>
    <x v="2"/>
    <x v="1"/>
    <x v="4"/>
    <n v="0.3"/>
    <x v="87"/>
    <x v="84"/>
    <n v="725.2"/>
    <x v="2"/>
  </r>
  <r>
    <x v="89"/>
    <x v="89"/>
    <x v="86"/>
    <x v="86"/>
    <x v="5"/>
    <x v="30"/>
    <x v="1"/>
    <x v="2"/>
    <x v="3"/>
    <x v="3"/>
    <n v="0.2"/>
    <x v="88"/>
    <x v="85"/>
    <n v="934.4"/>
    <x v="4"/>
  </r>
  <r>
    <x v="90"/>
    <x v="90"/>
    <x v="87"/>
    <x v="87"/>
    <x v="2"/>
    <x v="30"/>
    <x v="1"/>
    <x v="0"/>
    <x v="3"/>
    <x v="3"/>
    <n v="0.3"/>
    <x v="89"/>
    <x v="86"/>
    <n v="756.7"/>
    <x v="0"/>
  </r>
  <r>
    <x v="91"/>
    <x v="91"/>
    <x v="88"/>
    <x v="88"/>
    <x v="0"/>
    <x v="30"/>
    <x v="1"/>
    <x v="0"/>
    <x v="0"/>
    <x v="5"/>
    <n v="0.25"/>
    <x v="90"/>
    <x v="87"/>
    <n v="1160.25"/>
    <x v="3"/>
  </r>
  <r>
    <x v="92"/>
    <x v="92"/>
    <x v="89"/>
    <x v="89"/>
    <x v="3"/>
    <x v="31"/>
    <x v="1"/>
    <x v="0"/>
    <x v="1"/>
    <x v="0"/>
    <n v="0.3"/>
    <x v="91"/>
    <x v="88"/>
    <n v="354.9"/>
    <x v="1"/>
  </r>
  <r>
    <x v="93"/>
    <x v="93"/>
    <x v="90"/>
    <x v="90"/>
    <x v="3"/>
    <x v="32"/>
    <x v="1"/>
    <x v="2"/>
    <x v="2"/>
    <x v="4"/>
    <n v="0.3"/>
    <x v="92"/>
    <x v="89"/>
    <n v="273"/>
    <x v="2"/>
  </r>
  <r>
    <x v="94"/>
    <x v="94"/>
    <x v="30"/>
    <x v="91"/>
    <x v="0"/>
    <x v="32"/>
    <x v="1"/>
    <x v="0"/>
    <x v="1"/>
    <x v="3"/>
    <n v="0.25"/>
    <x v="93"/>
    <x v="90"/>
    <n v="718.5"/>
    <x v="1"/>
  </r>
  <r>
    <x v="95"/>
    <x v="95"/>
    <x v="91"/>
    <x v="77"/>
    <x v="0"/>
    <x v="32"/>
    <x v="1"/>
    <x v="0"/>
    <x v="2"/>
    <x v="6"/>
    <n v="0.25"/>
    <x v="94"/>
    <x v="91"/>
    <n v="260.25"/>
    <x v="0"/>
  </r>
  <r>
    <x v="96"/>
    <x v="96"/>
    <x v="92"/>
    <x v="92"/>
    <x v="4"/>
    <x v="33"/>
    <x v="1"/>
    <x v="0"/>
    <x v="0"/>
    <x v="6"/>
    <n v="0.25"/>
    <x v="95"/>
    <x v="92"/>
    <n v="1059.75"/>
    <x v="4"/>
  </r>
  <r>
    <x v="97"/>
    <x v="97"/>
    <x v="93"/>
    <x v="93"/>
    <x v="1"/>
    <x v="33"/>
    <x v="1"/>
    <x v="0"/>
    <x v="1"/>
    <x v="0"/>
    <n v="0.1"/>
    <x v="96"/>
    <x v="93"/>
    <n v="1245.5999999999999"/>
    <x v="2"/>
  </r>
  <r>
    <x v="98"/>
    <x v="98"/>
    <x v="94"/>
    <x v="94"/>
    <x v="1"/>
    <x v="33"/>
    <x v="1"/>
    <x v="0"/>
    <x v="2"/>
    <x v="1"/>
    <n v="0.1"/>
    <x v="97"/>
    <x v="94"/>
    <n v="257.39999999999998"/>
    <x v="2"/>
  </r>
  <r>
    <x v="99"/>
    <x v="99"/>
    <x v="95"/>
    <x v="95"/>
    <x v="1"/>
    <x v="34"/>
    <x v="1"/>
    <x v="1"/>
    <x v="1"/>
    <x v="5"/>
    <n v="0.1"/>
    <x v="98"/>
    <x v="49"/>
    <n v="1436.4"/>
    <x v="0"/>
  </r>
  <r>
    <x v="100"/>
    <x v="100"/>
    <x v="96"/>
    <x v="96"/>
    <x v="2"/>
    <x v="34"/>
    <x v="1"/>
    <x v="1"/>
    <x v="0"/>
    <x v="3"/>
    <n v="0.3"/>
    <x v="99"/>
    <x v="95"/>
    <n v="898.8"/>
    <x v="3"/>
  </r>
  <r>
    <x v="101"/>
    <x v="101"/>
    <x v="97"/>
    <x v="97"/>
    <x v="4"/>
    <x v="35"/>
    <x v="1"/>
    <x v="1"/>
    <x v="2"/>
    <x v="5"/>
    <n v="0.25"/>
    <x v="100"/>
    <x v="96"/>
    <n v="781.5"/>
    <x v="1"/>
  </r>
  <r>
    <x v="102"/>
    <x v="102"/>
    <x v="98"/>
    <x v="98"/>
    <x v="5"/>
    <x v="36"/>
    <x v="1"/>
    <x v="2"/>
    <x v="2"/>
    <x v="0"/>
    <n v="0.2"/>
    <x v="101"/>
    <x v="97"/>
    <n v="1185.5999999999999"/>
    <x v="1"/>
  </r>
  <r>
    <x v="103"/>
    <x v="103"/>
    <x v="99"/>
    <x v="99"/>
    <x v="3"/>
    <x v="36"/>
    <x v="1"/>
    <x v="1"/>
    <x v="1"/>
    <x v="3"/>
    <n v="0.3"/>
    <x v="102"/>
    <x v="98"/>
    <n v="898.1"/>
    <x v="2"/>
  </r>
  <r>
    <x v="104"/>
    <x v="104"/>
    <x v="100"/>
    <x v="100"/>
    <x v="2"/>
    <x v="37"/>
    <x v="1"/>
    <x v="1"/>
    <x v="1"/>
    <x v="4"/>
    <n v="0.3"/>
    <x v="103"/>
    <x v="99"/>
    <n v="1005.9"/>
    <x v="2"/>
  </r>
  <r>
    <x v="105"/>
    <x v="105"/>
    <x v="101"/>
    <x v="101"/>
    <x v="5"/>
    <x v="37"/>
    <x v="1"/>
    <x v="0"/>
    <x v="1"/>
    <x v="2"/>
    <n v="0.2"/>
    <x v="104"/>
    <x v="100"/>
    <n v="1208.8"/>
    <x v="1"/>
  </r>
  <r>
    <x v="106"/>
    <x v="106"/>
    <x v="102"/>
    <x v="102"/>
    <x v="2"/>
    <x v="37"/>
    <x v="1"/>
    <x v="1"/>
    <x v="1"/>
    <x v="0"/>
    <n v="0.3"/>
    <x v="105"/>
    <x v="101"/>
    <n v="247.1"/>
    <x v="3"/>
  </r>
  <r>
    <x v="107"/>
    <x v="107"/>
    <x v="103"/>
    <x v="103"/>
    <x v="4"/>
    <x v="37"/>
    <x v="1"/>
    <x v="0"/>
    <x v="1"/>
    <x v="6"/>
    <n v="0.25"/>
    <x v="106"/>
    <x v="102"/>
    <n v="778.5"/>
    <x v="3"/>
  </r>
  <r>
    <x v="108"/>
    <x v="108"/>
    <x v="104"/>
    <x v="104"/>
    <x v="4"/>
    <x v="38"/>
    <x v="1"/>
    <x v="0"/>
    <x v="1"/>
    <x v="3"/>
    <n v="0.25"/>
    <x v="107"/>
    <x v="103"/>
    <n v="806.25"/>
    <x v="2"/>
  </r>
  <r>
    <x v="109"/>
    <x v="109"/>
    <x v="105"/>
    <x v="23"/>
    <x v="5"/>
    <x v="38"/>
    <x v="1"/>
    <x v="2"/>
    <x v="1"/>
    <x v="0"/>
    <n v="0.2"/>
    <x v="108"/>
    <x v="104"/>
    <n v="1276"/>
    <x v="2"/>
  </r>
  <r>
    <x v="110"/>
    <x v="110"/>
    <x v="106"/>
    <x v="105"/>
    <x v="1"/>
    <x v="38"/>
    <x v="1"/>
    <x v="1"/>
    <x v="2"/>
    <x v="3"/>
    <n v="0.1"/>
    <x v="109"/>
    <x v="105"/>
    <n v="1541.7"/>
    <x v="3"/>
  </r>
  <r>
    <x v="111"/>
    <x v="111"/>
    <x v="107"/>
    <x v="106"/>
    <x v="1"/>
    <x v="39"/>
    <x v="1"/>
    <x v="2"/>
    <x v="1"/>
    <x v="5"/>
    <n v="0.1"/>
    <x v="110"/>
    <x v="106"/>
    <n v="1603.8"/>
    <x v="2"/>
  </r>
  <r>
    <x v="112"/>
    <x v="112"/>
    <x v="108"/>
    <x v="107"/>
    <x v="4"/>
    <x v="39"/>
    <x v="1"/>
    <x v="1"/>
    <x v="1"/>
    <x v="3"/>
    <n v="0.25"/>
    <x v="111"/>
    <x v="107"/>
    <n v="500.25"/>
    <x v="3"/>
  </r>
  <r>
    <x v="113"/>
    <x v="113"/>
    <x v="109"/>
    <x v="108"/>
    <x v="5"/>
    <x v="39"/>
    <x v="1"/>
    <x v="0"/>
    <x v="3"/>
    <x v="5"/>
    <n v="0.2"/>
    <x v="112"/>
    <x v="108"/>
    <n v="1014.4"/>
    <x v="1"/>
  </r>
  <r>
    <x v="114"/>
    <x v="114"/>
    <x v="110"/>
    <x v="109"/>
    <x v="0"/>
    <x v="40"/>
    <x v="1"/>
    <x v="0"/>
    <x v="0"/>
    <x v="7"/>
    <n v="0.25"/>
    <x v="113"/>
    <x v="109"/>
    <n v="882"/>
    <x v="4"/>
  </r>
  <r>
    <x v="115"/>
    <x v="115"/>
    <x v="111"/>
    <x v="110"/>
    <x v="1"/>
    <x v="40"/>
    <x v="1"/>
    <x v="1"/>
    <x v="0"/>
    <x v="0"/>
    <n v="0.1"/>
    <x v="114"/>
    <x v="110"/>
    <n v="819.9"/>
    <x v="2"/>
  </r>
  <r>
    <x v="116"/>
    <x v="116"/>
    <x v="112"/>
    <x v="111"/>
    <x v="3"/>
    <x v="40"/>
    <x v="1"/>
    <x v="1"/>
    <x v="2"/>
    <x v="6"/>
    <n v="0.3"/>
    <x v="115"/>
    <x v="111"/>
    <n v="28"/>
    <x v="1"/>
  </r>
  <r>
    <x v="117"/>
    <x v="117"/>
    <x v="113"/>
    <x v="112"/>
    <x v="2"/>
    <x v="41"/>
    <x v="1"/>
    <x v="1"/>
    <x v="2"/>
    <x v="4"/>
    <n v="0.3"/>
    <x v="116"/>
    <x v="112"/>
    <n v="745.5"/>
    <x v="1"/>
  </r>
  <r>
    <x v="118"/>
    <x v="118"/>
    <x v="114"/>
    <x v="113"/>
    <x v="0"/>
    <x v="41"/>
    <x v="1"/>
    <x v="1"/>
    <x v="1"/>
    <x v="6"/>
    <n v="0.25"/>
    <x v="117"/>
    <x v="113"/>
    <n v="1142.25"/>
    <x v="1"/>
  </r>
  <r>
    <x v="119"/>
    <x v="119"/>
    <x v="115"/>
    <x v="114"/>
    <x v="3"/>
    <x v="42"/>
    <x v="1"/>
    <x v="0"/>
    <x v="1"/>
    <x v="0"/>
    <n v="0.3"/>
    <x v="118"/>
    <x v="114"/>
    <n v="1220.0999999999999"/>
    <x v="4"/>
  </r>
  <r>
    <x v="120"/>
    <x v="120"/>
    <x v="19"/>
    <x v="115"/>
    <x v="5"/>
    <x v="42"/>
    <x v="1"/>
    <x v="0"/>
    <x v="0"/>
    <x v="5"/>
    <n v="0.2"/>
    <x v="119"/>
    <x v="115"/>
    <n v="961.6"/>
    <x v="4"/>
  </r>
  <r>
    <x v="121"/>
    <x v="121"/>
    <x v="116"/>
    <x v="116"/>
    <x v="3"/>
    <x v="42"/>
    <x v="1"/>
    <x v="2"/>
    <x v="1"/>
    <x v="5"/>
    <n v="0.3"/>
    <x v="120"/>
    <x v="116"/>
    <n v="279.3"/>
    <x v="1"/>
  </r>
  <r>
    <x v="122"/>
    <x v="122"/>
    <x v="117"/>
    <x v="117"/>
    <x v="1"/>
    <x v="42"/>
    <x v="1"/>
    <x v="1"/>
    <x v="0"/>
    <x v="7"/>
    <n v="0.1"/>
    <x v="121"/>
    <x v="117"/>
    <n v="850.5"/>
    <x v="4"/>
  </r>
  <r>
    <x v="123"/>
    <x v="123"/>
    <x v="114"/>
    <x v="118"/>
    <x v="0"/>
    <x v="42"/>
    <x v="1"/>
    <x v="0"/>
    <x v="1"/>
    <x v="0"/>
    <n v="0.25"/>
    <x v="122"/>
    <x v="118"/>
    <n v="1045.5"/>
    <x v="2"/>
  </r>
  <r>
    <x v="124"/>
    <x v="124"/>
    <x v="118"/>
    <x v="94"/>
    <x v="4"/>
    <x v="42"/>
    <x v="1"/>
    <x v="1"/>
    <x v="1"/>
    <x v="0"/>
    <n v="0.25"/>
    <x v="123"/>
    <x v="119"/>
    <n v="857.25"/>
    <x v="3"/>
  </r>
  <r>
    <x v="125"/>
    <x v="125"/>
    <x v="119"/>
    <x v="119"/>
    <x v="1"/>
    <x v="42"/>
    <x v="1"/>
    <x v="1"/>
    <x v="2"/>
    <x v="0"/>
    <n v="0.1"/>
    <x v="124"/>
    <x v="98"/>
    <n v="1154.7"/>
    <x v="1"/>
  </r>
  <r>
    <x v="126"/>
    <x v="126"/>
    <x v="120"/>
    <x v="51"/>
    <x v="5"/>
    <x v="42"/>
    <x v="1"/>
    <x v="0"/>
    <x v="0"/>
    <x v="0"/>
    <n v="0.2"/>
    <x v="125"/>
    <x v="120"/>
    <n v="1164.8"/>
    <x v="4"/>
  </r>
  <r>
    <x v="127"/>
    <x v="127"/>
    <x v="121"/>
    <x v="120"/>
    <x v="0"/>
    <x v="43"/>
    <x v="1"/>
    <x v="0"/>
    <x v="0"/>
    <x v="7"/>
    <n v="0.25"/>
    <x v="126"/>
    <x v="121"/>
    <n v="869.25"/>
    <x v="1"/>
  </r>
  <r>
    <x v="128"/>
    <x v="128"/>
    <x v="122"/>
    <x v="121"/>
    <x v="4"/>
    <x v="43"/>
    <x v="1"/>
    <x v="0"/>
    <x v="2"/>
    <x v="1"/>
    <n v="0.25"/>
    <x v="127"/>
    <x v="122"/>
    <n v="324.75"/>
    <x v="2"/>
  </r>
  <r>
    <x v="129"/>
    <x v="129"/>
    <x v="123"/>
    <x v="122"/>
    <x v="2"/>
    <x v="44"/>
    <x v="1"/>
    <x v="0"/>
    <x v="3"/>
    <x v="5"/>
    <n v="0.3"/>
    <x v="128"/>
    <x v="123"/>
    <n v="392.7"/>
    <x v="0"/>
  </r>
  <r>
    <x v="130"/>
    <x v="130"/>
    <x v="88"/>
    <x v="123"/>
    <x v="3"/>
    <x v="44"/>
    <x v="1"/>
    <x v="0"/>
    <x v="0"/>
    <x v="0"/>
    <n v="0.3"/>
    <x v="129"/>
    <x v="124"/>
    <n v="1072.4000000000001"/>
    <x v="1"/>
  </r>
  <r>
    <x v="131"/>
    <x v="131"/>
    <x v="124"/>
    <x v="124"/>
    <x v="5"/>
    <x v="45"/>
    <x v="1"/>
    <x v="0"/>
    <x v="0"/>
    <x v="0"/>
    <n v="0.2"/>
    <x v="130"/>
    <x v="125"/>
    <n v="980.8"/>
    <x v="3"/>
  </r>
  <r>
    <x v="132"/>
    <x v="132"/>
    <x v="125"/>
    <x v="125"/>
    <x v="0"/>
    <x v="45"/>
    <x v="1"/>
    <x v="2"/>
    <x v="3"/>
    <x v="3"/>
    <n v="0.25"/>
    <x v="131"/>
    <x v="126"/>
    <n v="883.5"/>
    <x v="2"/>
  </r>
  <r>
    <x v="133"/>
    <x v="133"/>
    <x v="126"/>
    <x v="126"/>
    <x v="3"/>
    <x v="45"/>
    <x v="1"/>
    <x v="1"/>
    <x v="0"/>
    <x v="7"/>
    <n v="0.3"/>
    <x v="132"/>
    <x v="127"/>
    <n v="721.7"/>
    <x v="1"/>
  </r>
  <r>
    <x v="134"/>
    <x v="134"/>
    <x v="112"/>
    <x v="127"/>
    <x v="4"/>
    <x v="45"/>
    <x v="1"/>
    <x v="1"/>
    <x v="0"/>
    <x v="2"/>
    <n v="0.25"/>
    <x v="133"/>
    <x v="76"/>
    <n v="12.75"/>
    <x v="2"/>
  </r>
  <r>
    <x v="135"/>
    <x v="135"/>
    <x v="127"/>
    <x v="128"/>
    <x v="1"/>
    <x v="46"/>
    <x v="1"/>
    <x v="2"/>
    <x v="2"/>
    <x v="4"/>
    <n v="0.1"/>
    <x v="134"/>
    <x v="128"/>
    <n v="531.9"/>
    <x v="3"/>
  </r>
  <r>
    <x v="136"/>
    <x v="136"/>
    <x v="128"/>
    <x v="129"/>
    <x v="5"/>
    <x v="46"/>
    <x v="1"/>
    <x v="2"/>
    <x v="1"/>
    <x v="7"/>
    <n v="0.2"/>
    <x v="96"/>
    <x v="129"/>
    <n v="553.6"/>
    <x v="4"/>
  </r>
  <r>
    <x v="137"/>
    <x v="137"/>
    <x v="129"/>
    <x v="130"/>
    <x v="5"/>
    <x v="46"/>
    <x v="1"/>
    <x v="2"/>
    <x v="0"/>
    <x v="1"/>
    <n v="0.2"/>
    <x v="135"/>
    <x v="130"/>
    <n v="772"/>
    <x v="0"/>
  </r>
  <r>
    <x v="138"/>
    <x v="138"/>
    <x v="130"/>
    <x v="131"/>
    <x v="4"/>
    <x v="47"/>
    <x v="1"/>
    <x v="1"/>
    <x v="1"/>
    <x v="7"/>
    <n v="0.25"/>
    <x v="136"/>
    <x v="131"/>
    <n v="657"/>
    <x v="3"/>
  </r>
  <r>
    <x v="139"/>
    <x v="139"/>
    <x v="131"/>
    <x v="132"/>
    <x v="5"/>
    <x v="48"/>
    <x v="1"/>
    <x v="1"/>
    <x v="1"/>
    <x v="7"/>
    <n v="0.2"/>
    <x v="137"/>
    <x v="132"/>
    <n v="712"/>
    <x v="0"/>
  </r>
  <r>
    <x v="140"/>
    <x v="140"/>
    <x v="132"/>
    <x v="133"/>
    <x v="4"/>
    <x v="49"/>
    <x v="1"/>
    <x v="2"/>
    <x v="1"/>
    <x v="2"/>
    <n v="0.25"/>
    <x v="138"/>
    <x v="133"/>
    <n v="640.5"/>
    <x v="1"/>
  </r>
  <r>
    <x v="141"/>
    <x v="141"/>
    <x v="133"/>
    <x v="134"/>
    <x v="0"/>
    <x v="50"/>
    <x v="1"/>
    <x v="0"/>
    <x v="0"/>
    <x v="7"/>
    <n v="0.25"/>
    <x v="139"/>
    <x v="134"/>
    <n v="969.75"/>
    <x v="1"/>
  </r>
  <r>
    <x v="142"/>
    <x v="142"/>
    <x v="134"/>
    <x v="135"/>
    <x v="1"/>
    <x v="50"/>
    <x v="1"/>
    <x v="0"/>
    <x v="0"/>
    <x v="3"/>
    <n v="0.1"/>
    <x v="140"/>
    <x v="135"/>
    <n v="714.6"/>
    <x v="0"/>
  </r>
  <r>
    <x v="143"/>
    <x v="143"/>
    <x v="135"/>
    <x v="136"/>
    <x v="3"/>
    <x v="51"/>
    <x v="1"/>
    <x v="0"/>
    <x v="2"/>
    <x v="1"/>
    <n v="0.3"/>
    <x v="141"/>
    <x v="136"/>
    <n v="850.5"/>
    <x v="3"/>
  </r>
  <r>
    <x v="144"/>
    <x v="144"/>
    <x v="136"/>
    <x v="38"/>
    <x v="0"/>
    <x v="52"/>
    <x v="1"/>
    <x v="2"/>
    <x v="1"/>
    <x v="2"/>
    <n v="0.25"/>
    <x v="142"/>
    <x v="137"/>
    <n v="240.75"/>
    <x v="2"/>
  </r>
  <r>
    <x v="145"/>
    <x v="145"/>
    <x v="137"/>
    <x v="4"/>
    <x v="5"/>
    <x v="52"/>
    <x v="1"/>
    <x v="0"/>
    <x v="0"/>
    <x v="2"/>
    <n v="0.2"/>
    <x v="143"/>
    <x v="138"/>
    <n v="1194.4000000000001"/>
    <x v="0"/>
  </r>
  <r>
    <x v="146"/>
    <x v="146"/>
    <x v="138"/>
    <x v="137"/>
    <x v="3"/>
    <x v="52"/>
    <x v="1"/>
    <x v="2"/>
    <x v="0"/>
    <x v="5"/>
    <n v="0.3"/>
    <x v="144"/>
    <x v="139"/>
    <n v="819.7"/>
    <x v="0"/>
  </r>
  <r>
    <x v="147"/>
    <x v="147"/>
    <x v="139"/>
    <x v="29"/>
    <x v="0"/>
    <x v="52"/>
    <x v="1"/>
    <x v="1"/>
    <x v="0"/>
    <x v="0"/>
    <n v="0.25"/>
    <x v="145"/>
    <x v="140"/>
    <n v="121.5"/>
    <x v="0"/>
  </r>
  <r>
    <x v="148"/>
    <x v="148"/>
    <x v="140"/>
    <x v="138"/>
    <x v="0"/>
    <x v="52"/>
    <x v="1"/>
    <x v="1"/>
    <x v="1"/>
    <x v="3"/>
    <n v="0.25"/>
    <x v="146"/>
    <x v="141"/>
    <n v="1069.5"/>
    <x v="4"/>
  </r>
  <r>
    <x v="149"/>
    <x v="149"/>
    <x v="141"/>
    <x v="139"/>
    <x v="4"/>
    <x v="53"/>
    <x v="1"/>
    <x v="2"/>
    <x v="1"/>
    <x v="2"/>
    <n v="0.25"/>
    <x v="147"/>
    <x v="142"/>
    <n v="929.25"/>
    <x v="4"/>
  </r>
  <r>
    <x v="150"/>
    <x v="150"/>
    <x v="142"/>
    <x v="140"/>
    <x v="1"/>
    <x v="53"/>
    <x v="1"/>
    <x v="2"/>
    <x v="0"/>
    <x v="5"/>
    <n v="0.1"/>
    <x v="148"/>
    <x v="143"/>
    <n v="274.5"/>
    <x v="3"/>
  </r>
  <r>
    <x v="151"/>
    <x v="151"/>
    <x v="51"/>
    <x v="141"/>
    <x v="3"/>
    <x v="54"/>
    <x v="2"/>
    <x v="0"/>
    <x v="1"/>
    <x v="5"/>
    <n v="0.3"/>
    <x v="149"/>
    <x v="144"/>
    <n v="219.8"/>
    <x v="0"/>
  </r>
  <r>
    <x v="152"/>
    <x v="152"/>
    <x v="143"/>
    <x v="142"/>
    <x v="5"/>
    <x v="54"/>
    <x v="2"/>
    <x v="0"/>
    <x v="0"/>
    <x v="0"/>
    <n v="0.2"/>
    <x v="150"/>
    <x v="145"/>
    <n v="460"/>
    <x v="2"/>
  </r>
  <r>
    <x v="153"/>
    <x v="153"/>
    <x v="144"/>
    <x v="143"/>
    <x v="0"/>
    <x v="54"/>
    <x v="2"/>
    <x v="1"/>
    <x v="0"/>
    <x v="0"/>
    <n v="0.25"/>
    <x v="151"/>
    <x v="146"/>
    <n v="1061.25"/>
    <x v="4"/>
  </r>
  <r>
    <x v="154"/>
    <x v="154"/>
    <x v="145"/>
    <x v="144"/>
    <x v="0"/>
    <x v="55"/>
    <x v="2"/>
    <x v="1"/>
    <x v="0"/>
    <x v="5"/>
    <n v="0.25"/>
    <x v="152"/>
    <x v="147"/>
    <n v="225.75"/>
    <x v="2"/>
  </r>
  <r>
    <x v="155"/>
    <x v="155"/>
    <x v="146"/>
    <x v="145"/>
    <x v="4"/>
    <x v="55"/>
    <x v="2"/>
    <x v="2"/>
    <x v="0"/>
    <x v="7"/>
    <n v="0.25"/>
    <x v="153"/>
    <x v="148"/>
    <n v="1211.25"/>
    <x v="4"/>
  </r>
  <r>
    <x v="156"/>
    <x v="156"/>
    <x v="24"/>
    <x v="146"/>
    <x v="4"/>
    <x v="55"/>
    <x v="2"/>
    <x v="1"/>
    <x v="1"/>
    <x v="6"/>
    <n v="0.25"/>
    <x v="154"/>
    <x v="149"/>
    <n v="666.75"/>
    <x v="0"/>
  </r>
  <r>
    <x v="157"/>
    <x v="157"/>
    <x v="47"/>
    <x v="147"/>
    <x v="0"/>
    <x v="55"/>
    <x v="2"/>
    <x v="1"/>
    <x v="2"/>
    <x v="2"/>
    <n v="0.25"/>
    <x v="155"/>
    <x v="150"/>
    <n v="383.25"/>
    <x v="3"/>
  </r>
  <r>
    <x v="158"/>
    <x v="158"/>
    <x v="147"/>
    <x v="148"/>
    <x v="3"/>
    <x v="55"/>
    <x v="2"/>
    <x v="1"/>
    <x v="1"/>
    <x v="4"/>
    <n v="0.3"/>
    <x v="78"/>
    <x v="76"/>
    <n v="11.9"/>
    <x v="0"/>
  </r>
  <r>
    <x v="159"/>
    <x v="159"/>
    <x v="148"/>
    <x v="19"/>
    <x v="2"/>
    <x v="55"/>
    <x v="2"/>
    <x v="0"/>
    <x v="0"/>
    <x v="0"/>
    <n v="0.3"/>
    <x v="156"/>
    <x v="151"/>
    <n v="987.7"/>
    <x v="1"/>
  </r>
  <r>
    <x v="160"/>
    <x v="160"/>
    <x v="94"/>
    <x v="149"/>
    <x v="3"/>
    <x v="56"/>
    <x v="2"/>
    <x v="1"/>
    <x v="1"/>
    <x v="3"/>
    <n v="0.3"/>
    <x v="157"/>
    <x v="152"/>
    <n v="258.3"/>
    <x v="4"/>
  </r>
  <r>
    <x v="161"/>
    <x v="161"/>
    <x v="149"/>
    <x v="150"/>
    <x v="0"/>
    <x v="56"/>
    <x v="2"/>
    <x v="2"/>
    <x v="2"/>
    <x v="2"/>
    <n v="0.25"/>
    <x v="72"/>
    <x v="71"/>
    <n v="506.25"/>
    <x v="3"/>
  </r>
  <r>
    <x v="162"/>
    <x v="162"/>
    <x v="150"/>
    <x v="151"/>
    <x v="1"/>
    <x v="56"/>
    <x v="2"/>
    <x v="0"/>
    <x v="1"/>
    <x v="4"/>
    <n v="0.1"/>
    <x v="158"/>
    <x v="153"/>
    <n v="530.1"/>
    <x v="2"/>
  </r>
  <r>
    <x v="163"/>
    <x v="163"/>
    <x v="151"/>
    <x v="152"/>
    <x v="1"/>
    <x v="56"/>
    <x v="2"/>
    <x v="0"/>
    <x v="1"/>
    <x v="4"/>
    <n v="0.1"/>
    <x v="159"/>
    <x v="154"/>
    <n v="1558.8"/>
    <x v="0"/>
  </r>
  <r>
    <x v="164"/>
    <x v="164"/>
    <x v="152"/>
    <x v="153"/>
    <x v="4"/>
    <x v="56"/>
    <x v="2"/>
    <x v="2"/>
    <x v="3"/>
    <x v="1"/>
    <n v="0.25"/>
    <x v="160"/>
    <x v="155"/>
    <n v="1318.5"/>
    <x v="1"/>
  </r>
  <r>
    <x v="165"/>
    <x v="165"/>
    <x v="153"/>
    <x v="154"/>
    <x v="2"/>
    <x v="57"/>
    <x v="2"/>
    <x v="0"/>
    <x v="1"/>
    <x v="0"/>
    <n v="0.3"/>
    <x v="161"/>
    <x v="156"/>
    <n v="1302"/>
    <x v="1"/>
  </r>
  <r>
    <x v="166"/>
    <x v="166"/>
    <x v="154"/>
    <x v="155"/>
    <x v="0"/>
    <x v="57"/>
    <x v="2"/>
    <x v="0"/>
    <x v="1"/>
    <x v="0"/>
    <n v="0.25"/>
    <x v="162"/>
    <x v="64"/>
    <n v="927.75"/>
    <x v="1"/>
  </r>
  <r>
    <x v="167"/>
    <x v="167"/>
    <x v="155"/>
    <x v="156"/>
    <x v="1"/>
    <x v="57"/>
    <x v="2"/>
    <x v="2"/>
    <x v="0"/>
    <x v="1"/>
    <n v="0.1"/>
    <x v="163"/>
    <x v="157"/>
    <n v="633.6"/>
    <x v="3"/>
  </r>
  <r>
    <x v="168"/>
    <x v="168"/>
    <x v="133"/>
    <x v="157"/>
    <x v="0"/>
    <x v="57"/>
    <x v="2"/>
    <x v="0"/>
    <x v="3"/>
    <x v="7"/>
    <n v="0.25"/>
    <x v="164"/>
    <x v="158"/>
    <n v="783.75"/>
    <x v="3"/>
  </r>
  <r>
    <x v="169"/>
    <x v="169"/>
    <x v="156"/>
    <x v="158"/>
    <x v="0"/>
    <x v="58"/>
    <x v="2"/>
    <x v="0"/>
    <x v="1"/>
    <x v="3"/>
    <n v="0.25"/>
    <x v="165"/>
    <x v="159"/>
    <n v="349.5"/>
    <x v="4"/>
  </r>
  <r>
    <x v="170"/>
    <x v="170"/>
    <x v="64"/>
    <x v="159"/>
    <x v="0"/>
    <x v="58"/>
    <x v="2"/>
    <x v="2"/>
    <x v="1"/>
    <x v="3"/>
    <n v="0.25"/>
    <x v="166"/>
    <x v="160"/>
    <n v="200.25"/>
    <x v="4"/>
  </r>
  <r>
    <x v="171"/>
    <x v="171"/>
    <x v="157"/>
    <x v="160"/>
    <x v="2"/>
    <x v="59"/>
    <x v="2"/>
    <x v="1"/>
    <x v="1"/>
    <x v="5"/>
    <n v="0.3"/>
    <x v="167"/>
    <x v="161"/>
    <n v="532.70000000000005"/>
    <x v="0"/>
  </r>
  <r>
    <x v="172"/>
    <x v="172"/>
    <x v="158"/>
    <x v="161"/>
    <x v="1"/>
    <x v="59"/>
    <x v="2"/>
    <x v="1"/>
    <x v="2"/>
    <x v="0"/>
    <n v="0.1"/>
    <x v="168"/>
    <x v="162"/>
    <n v="864.9"/>
    <x v="2"/>
  </r>
  <r>
    <x v="173"/>
    <x v="173"/>
    <x v="24"/>
    <x v="162"/>
    <x v="0"/>
    <x v="59"/>
    <x v="2"/>
    <x v="2"/>
    <x v="0"/>
    <x v="1"/>
    <n v="0.25"/>
    <x v="169"/>
    <x v="163"/>
    <n v="1120.5"/>
    <x v="3"/>
  </r>
  <r>
    <x v="174"/>
    <x v="174"/>
    <x v="109"/>
    <x v="163"/>
    <x v="5"/>
    <x v="60"/>
    <x v="2"/>
    <x v="0"/>
    <x v="0"/>
    <x v="6"/>
    <n v="0.2"/>
    <x v="170"/>
    <x v="153"/>
    <n v="471.2"/>
    <x v="1"/>
  </r>
  <r>
    <x v="175"/>
    <x v="175"/>
    <x v="159"/>
    <x v="164"/>
    <x v="0"/>
    <x v="60"/>
    <x v="2"/>
    <x v="1"/>
    <x v="0"/>
    <x v="6"/>
    <n v="0.25"/>
    <x v="171"/>
    <x v="164"/>
    <n v="270.75"/>
    <x v="0"/>
  </r>
  <r>
    <x v="176"/>
    <x v="176"/>
    <x v="160"/>
    <x v="165"/>
    <x v="1"/>
    <x v="60"/>
    <x v="2"/>
    <x v="0"/>
    <x v="0"/>
    <x v="3"/>
    <n v="0.1"/>
    <x v="172"/>
    <x v="124"/>
    <n v="1378.8"/>
    <x v="4"/>
  </r>
  <r>
    <x v="177"/>
    <x v="177"/>
    <x v="161"/>
    <x v="166"/>
    <x v="0"/>
    <x v="60"/>
    <x v="2"/>
    <x v="2"/>
    <x v="1"/>
    <x v="4"/>
    <n v="0.25"/>
    <x v="173"/>
    <x v="165"/>
    <n v="1095.75"/>
    <x v="0"/>
  </r>
  <r>
    <x v="178"/>
    <x v="178"/>
    <x v="162"/>
    <x v="155"/>
    <x v="0"/>
    <x v="60"/>
    <x v="2"/>
    <x v="0"/>
    <x v="1"/>
    <x v="1"/>
    <n v="0.25"/>
    <x v="174"/>
    <x v="166"/>
    <n v="1122"/>
    <x v="1"/>
  </r>
  <r>
    <x v="179"/>
    <x v="179"/>
    <x v="163"/>
    <x v="167"/>
    <x v="0"/>
    <x v="60"/>
    <x v="2"/>
    <x v="0"/>
    <x v="0"/>
    <x v="3"/>
    <n v="0.25"/>
    <x v="175"/>
    <x v="167"/>
    <n v="825"/>
    <x v="1"/>
  </r>
  <r>
    <x v="180"/>
    <x v="180"/>
    <x v="164"/>
    <x v="149"/>
    <x v="1"/>
    <x v="61"/>
    <x v="2"/>
    <x v="1"/>
    <x v="0"/>
    <x v="0"/>
    <n v="0.1"/>
    <x v="176"/>
    <x v="168"/>
    <n v="1332"/>
    <x v="2"/>
  </r>
  <r>
    <x v="181"/>
    <x v="181"/>
    <x v="165"/>
    <x v="168"/>
    <x v="0"/>
    <x v="61"/>
    <x v="2"/>
    <x v="0"/>
    <x v="2"/>
    <x v="0"/>
    <n v="0.25"/>
    <x v="177"/>
    <x v="169"/>
    <n v="311.25"/>
    <x v="3"/>
  </r>
  <r>
    <x v="182"/>
    <x v="182"/>
    <x v="166"/>
    <x v="169"/>
    <x v="3"/>
    <x v="61"/>
    <x v="2"/>
    <x v="2"/>
    <x v="1"/>
    <x v="1"/>
    <n v="0.3"/>
    <x v="178"/>
    <x v="170"/>
    <n v="882"/>
    <x v="3"/>
  </r>
  <r>
    <x v="183"/>
    <x v="183"/>
    <x v="167"/>
    <x v="170"/>
    <x v="2"/>
    <x v="61"/>
    <x v="2"/>
    <x v="2"/>
    <x v="2"/>
    <x v="5"/>
    <n v="0.3"/>
    <x v="179"/>
    <x v="171"/>
    <n v="727.3"/>
    <x v="4"/>
  </r>
  <r>
    <x v="184"/>
    <x v="184"/>
    <x v="168"/>
    <x v="171"/>
    <x v="0"/>
    <x v="62"/>
    <x v="2"/>
    <x v="0"/>
    <x v="1"/>
    <x v="1"/>
    <n v="0.25"/>
    <x v="84"/>
    <x v="81"/>
    <n v="302.25"/>
    <x v="1"/>
  </r>
  <r>
    <x v="185"/>
    <x v="185"/>
    <x v="169"/>
    <x v="172"/>
    <x v="5"/>
    <x v="62"/>
    <x v="2"/>
    <x v="2"/>
    <x v="0"/>
    <x v="4"/>
    <n v="0.2"/>
    <x v="180"/>
    <x v="172"/>
    <n v="517.6"/>
    <x v="2"/>
  </r>
  <r>
    <x v="186"/>
    <x v="186"/>
    <x v="159"/>
    <x v="173"/>
    <x v="0"/>
    <x v="62"/>
    <x v="2"/>
    <x v="2"/>
    <x v="0"/>
    <x v="1"/>
    <n v="0.25"/>
    <x v="10"/>
    <x v="10"/>
    <n v="250.5"/>
    <x v="3"/>
  </r>
  <r>
    <x v="187"/>
    <x v="187"/>
    <x v="170"/>
    <x v="174"/>
    <x v="5"/>
    <x v="62"/>
    <x v="2"/>
    <x v="0"/>
    <x v="3"/>
    <x v="1"/>
    <n v="0.2"/>
    <x v="181"/>
    <x v="173"/>
    <n v="18.399999999999999"/>
    <x v="1"/>
  </r>
  <r>
    <x v="188"/>
    <x v="188"/>
    <x v="165"/>
    <x v="175"/>
    <x v="2"/>
    <x v="63"/>
    <x v="2"/>
    <x v="1"/>
    <x v="1"/>
    <x v="4"/>
    <n v="0.3"/>
    <x v="182"/>
    <x v="79"/>
    <n v="287.7"/>
    <x v="1"/>
  </r>
  <r>
    <x v="189"/>
    <x v="189"/>
    <x v="171"/>
    <x v="176"/>
    <x v="5"/>
    <x v="63"/>
    <x v="2"/>
    <x v="2"/>
    <x v="0"/>
    <x v="1"/>
    <n v="0.2"/>
    <x v="183"/>
    <x v="174"/>
    <n v="564"/>
    <x v="3"/>
  </r>
  <r>
    <x v="190"/>
    <x v="190"/>
    <x v="32"/>
    <x v="177"/>
    <x v="0"/>
    <x v="64"/>
    <x v="2"/>
    <x v="0"/>
    <x v="1"/>
    <x v="5"/>
    <n v="0.25"/>
    <x v="184"/>
    <x v="175"/>
    <n v="399"/>
    <x v="3"/>
  </r>
  <r>
    <x v="191"/>
    <x v="191"/>
    <x v="172"/>
    <x v="178"/>
    <x v="5"/>
    <x v="64"/>
    <x v="2"/>
    <x v="1"/>
    <x v="2"/>
    <x v="2"/>
    <n v="0.2"/>
    <x v="185"/>
    <x v="176"/>
    <n v="1397.6"/>
    <x v="0"/>
  </r>
  <r>
    <x v="192"/>
    <x v="192"/>
    <x v="173"/>
    <x v="179"/>
    <x v="1"/>
    <x v="65"/>
    <x v="2"/>
    <x v="1"/>
    <x v="1"/>
    <x v="2"/>
    <n v="0.1"/>
    <x v="186"/>
    <x v="123"/>
    <n v="504.9"/>
    <x v="2"/>
  </r>
  <r>
    <x v="193"/>
    <x v="193"/>
    <x v="174"/>
    <x v="180"/>
    <x v="4"/>
    <x v="65"/>
    <x v="2"/>
    <x v="0"/>
    <x v="1"/>
    <x v="2"/>
    <n v="0.25"/>
    <x v="0"/>
    <x v="0"/>
    <n v="837.75"/>
    <x v="3"/>
  </r>
  <r>
    <x v="194"/>
    <x v="194"/>
    <x v="175"/>
    <x v="181"/>
    <x v="3"/>
    <x v="65"/>
    <x v="2"/>
    <x v="0"/>
    <x v="0"/>
    <x v="4"/>
    <n v="0.3"/>
    <x v="187"/>
    <x v="110"/>
    <n v="637.70000000000005"/>
    <x v="3"/>
  </r>
  <r>
    <x v="195"/>
    <x v="195"/>
    <x v="176"/>
    <x v="182"/>
    <x v="4"/>
    <x v="65"/>
    <x v="2"/>
    <x v="0"/>
    <x v="1"/>
    <x v="6"/>
    <n v="0.25"/>
    <x v="188"/>
    <x v="177"/>
    <n v="963.75"/>
    <x v="4"/>
  </r>
  <r>
    <x v="196"/>
    <x v="196"/>
    <x v="177"/>
    <x v="183"/>
    <x v="0"/>
    <x v="65"/>
    <x v="2"/>
    <x v="0"/>
    <x v="3"/>
    <x v="0"/>
    <n v="0.25"/>
    <x v="189"/>
    <x v="178"/>
    <n v="624"/>
    <x v="2"/>
  </r>
  <r>
    <x v="197"/>
    <x v="197"/>
    <x v="178"/>
    <x v="184"/>
    <x v="2"/>
    <x v="66"/>
    <x v="2"/>
    <x v="1"/>
    <x v="1"/>
    <x v="0"/>
    <n v="0.3"/>
    <x v="190"/>
    <x v="179"/>
    <n v="1053.5"/>
    <x v="3"/>
  </r>
  <r>
    <x v="198"/>
    <x v="198"/>
    <x v="179"/>
    <x v="185"/>
    <x v="5"/>
    <x v="66"/>
    <x v="2"/>
    <x v="2"/>
    <x v="3"/>
    <x v="6"/>
    <n v="0.2"/>
    <x v="191"/>
    <x v="180"/>
    <n v="1101.5999999999999"/>
    <x v="0"/>
  </r>
  <r>
    <x v="199"/>
    <x v="199"/>
    <x v="180"/>
    <x v="186"/>
    <x v="1"/>
    <x v="66"/>
    <x v="2"/>
    <x v="2"/>
    <x v="0"/>
    <x v="6"/>
    <n v="0.1"/>
    <x v="192"/>
    <x v="109"/>
    <n v="1058.4000000000001"/>
    <x v="0"/>
  </r>
  <r>
    <x v="200"/>
    <x v="200"/>
    <x v="181"/>
    <x v="187"/>
    <x v="3"/>
    <x v="67"/>
    <x v="2"/>
    <x v="0"/>
    <x v="1"/>
    <x v="4"/>
    <n v="0.3"/>
    <x v="193"/>
    <x v="181"/>
    <n v="927.5"/>
    <x v="2"/>
  </r>
  <r>
    <x v="201"/>
    <x v="201"/>
    <x v="182"/>
    <x v="163"/>
    <x v="3"/>
    <x v="67"/>
    <x v="2"/>
    <x v="0"/>
    <x v="1"/>
    <x v="7"/>
    <n v="0.3"/>
    <x v="194"/>
    <x v="182"/>
    <n v="380.1"/>
    <x v="0"/>
  </r>
  <r>
    <x v="202"/>
    <x v="202"/>
    <x v="183"/>
    <x v="188"/>
    <x v="1"/>
    <x v="67"/>
    <x v="2"/>
    <x v="1"/>
    <x v="1"/>
    <x v="1"/>
    <n v="0.1"/>
    <x v="195"/>
    <x v="183"/>
    <n v="601.20000000000005"/>
    <x v="3"/>
  </r>
  <r>
    <x v="203"/>
    <x v="203"/>
    <x v="184"/>
    <x v="189"/>
    <x v="3"/>
    <x v="67"/>
    <x v="2"/>
    <x v="2"/>
    <x v="0"/>
    <x v="0"/>
    <n v="0.3"/>
    <x v="196"/>
    <x v="184"/>
    <n v="907.2"/>
    <x v="0"/>
  </r>
  <r>
    <x v="204"/>
    <x v="204"/>
    <x v="185"/>
    <x v="190"/>
    <x v="5"/>
    <x v="68"/>
    <x v="2"/>
    <x v="0"/>
    <x v="1"/>
    <x v="1"/>
    <n v="0.2"/>
    <x v="197"/>
    <x v="185"/>
    <n v="1352.8"/>
    <x v="0"/>
  </r>
  <r>
    <x v="205"/>
    <x v="205"/>
    <x v="186"/>
    <x v="191"/>
    <x v="3"/>
    <x v="68"/>
    <x v="2"/>
    <x v="0"/>
    <x v="1"/>
    <x v="3"/>
    <n v="0.3"/>
    <x v="198"/>
    <x v="186"/>
    <n v="1203.3"/>
    <x v="4"/>
  </r>
  <r>
    <x v="206"/>
    <x v="206"/>
    <x v="187"/>
    <x v="192"/>
    <x v="5"/>
    <x v="69"/>
    <x v="2"/>
    <x v="0"/>
    <x v="0"/>
    <x v="5"/>
    <n v="0.2"/>
    <x v="199"/>
    <x v="187"/>
    <n v="892"/>
    <x v="1"/>
  </r>
  <r>
    <x v="207"/>
    <x v="207"/>
    <x v="188"/>
    <x v="193"/>
    <x v="0"/>
    <x v="69"/>
    <x v="2"/>
    <x v="2"/>
    <x v="0"/>
    <x v="4"/>
    <n v="0.25"/>
    <x v="200"/>
    <x v="188"/>
    <n v="77.25"/>
    <x v="2"/>
  </r>
  <r>
    <x v="208"/>
    <x v="208"/>
    <x v="184"/>
    <x v="194"/>
    <x v="5"/>
    <x v="69"/>
    <x v="2"/>
    <x v="2"/>
    <x v="0"/>
    <x v="5"/>
    <n v="0.2"/>
    <x v="201"/>
    <x v="189"/>
    <n v="432"/>
    <x v="1"/>
  </r>
  <r>
    <x v="209"/>
    <x v="209"/>
    <x v="189"/>
    <x v="135"/>
    <x v="0"/>
    <x v="69"/>
    <x v="2"/>
    <x v="2"/>
    <x v="1"/>
    <x v="1"/>
    <n v="0.25"/>
    <x v="166"/>
    <x v="160"/>
    <n v="200.25"/>
    <x v="3"/>
  </r>
  <r>
    <x v="210"/>
    <x v="210"/>
    <x v="190"/>
    <x v="22"/>
    <x v="3"/>
    <x v="70"/>
    <x v="2"/>
    <x v="1"/>
    <x v="0"/>
    <x v="6"/>
    <n v="0.3"/>
    <x v="202"/>
    <x v="190"/>
    <n v="852.6"/>
    <x v="1"/>
  </r>
  <r>
    <x v="211"/>
    <x v="211"/>
    <x v="191"/>
    <x v="195"/>
    <x v="0"/>
    <x v="70"/>
    <x v="2"/>
    <x v="1"/>
    <x v="2"/>
    <x v="6"/>
    <n v="0.25"/>
    <x v="203"/>
    <x v="191"/>
    <n v="950.25"/>
    <x v="0"/>
  </r>
  <r>
    <x v="212"/>
    <x v="212"/>
    <x v="192"/>
    <x v="13"/>
    <x v="1"/>
    <x v="70"/>
    <x v="2"/>
    <x v="2"/>
    <x v="1"/>
    <x v="7"/>
    <n v="0.1"/>
    <x v="204"/>
    <x v="192"/>
    <n v="1206.9000000000001"/>
    <x v="0"/>
  </r>
  <r>
    <x v="213"/>
    <x v="213"/>
    <x v="66"/>
    <x v="196"/>
    <x v="4"/>
    <x v="70"/>
    <x v="2"/>
    <x v="0"/>
    <x v="0"/>
    <x v="2"/>
    <n v="0.25"/>
    <x v="205"/>
    <x v="193"/>
    <n v="22.5"/>
    <x v="2"/>
  </r>
  <r>
    <x v="214"/>
    <x v="214"/>
    <x v="23"/>
    <x v="122"/>
    <x v="0"/>
    <x v="70"/>
    <x v="2"/>
    <x v="2"/>
    <x v="0"/>
    <x v="3"/>
    <n v="0.25"/>
    <x v="206"/>
    <x v="194"/>
    <n v="1243.5"/>
    <x v="3"/>
  </r>
  <r>
    <x v="215"/>
    <x v="215"/>
    <x v="193"/>
    <x v="197"/>
    <x v="4"/>
    <x v="71"/>
    <x v="2"/>
    <x v="2"/>
    <x v="2"/>
    <x v="0"/>
    <n v="0.25"/>
    <x v="207"/>
    <x v="179"/>
    <n v="1128.75"/>
    <x v="2"/>
  </r>
  <r>
    <x v="216"/>
    <x v="216"/>
    <x v="194"/>
    <x v="64"/>
    <x v="3"/>
    <x v="71"/>
    <x v="2"/>
    <x v="1"/>
    <x v="0"/>
    <x v="6"/>
    <n v="0.3"/>
    <x v="208"/>
    <x v="195"/>
    <n v="471.1"/>
    <x v="3"/>
  </r>
  <r>
    <x v="217"/>
    <x v="217"/>
    <x v="195"/>
    <x v="198"/>
    <x v="5"/>
    <x v="71"/>
    <x v="2"/>
    <x v="1"/>
    <x v="1"/>
    <x v="7"/>
    <n v="0.2"/>
    <x v="209"/>
    <x v="196"/>
    <n v="1351.2"/>
    <x v="3"/>
  </r>
  <r>
    <x v="218"/>
    <x v="218"/>
    <x v="196"/>
    <x v="199"/>
    <x v="2"/>
    <x v="72"/>
    <x v="2"/>
    <x v="2"/>
    <x v="2"/>
    <x v="1"/>
    <n v="0.3"/>
    <x v="210"/>
    <x v="197"/>
    <n v="405.3"/>
    <x v="4"/>
  </r>
  <r>
    <x v="219"/>
    <x v="219"/>
    <x v="39"/>
    <x v="200"/>
    <x v="0"/>
    <x v="72"/>
    <x v="2"/>
    <x v="1"/>
    <x v="0"/>
    <x v="5"/>
    <n v="0.25"/>
    <x v="211"/>
    <x v="198"/>
    <n v="397.5"/>
    <x v="4"/>
  </r>
  <r>
    <x v="220"/>
    <x v="220"/>
    <x v="197"/>
    <x v="201"/>
    <x v="2"/>
    <x v="72"/>
    <x v="2"/>
    <x v="2"/>
    <x v="1"/>
    <x v="4"/>
    <n v="0.3"/>
    <x v="212"/>
    <x v="199"/>
    <n v="1059.8"/>
    <x v="0"/>
  </r>
  <r>
    <x v="221"/>
    <x v="221"/>
    <x v="198"/>
    <x v="202"/>
    <x v="0"/>
    <x v="73"/>
    <x v="2"/>
    <x v="0"/>
    <x v="2"/>
    <x v="0"/>
    <n v="0.25"/>
    <x v="213"/>
    <x v="200"/>
    <n v="717.75"/>
    <x v="2"/>
  </r>
  <r>
    <x v="222"/>
    <x v="222"/>
    <x v="199"/>
    <x v="203"/>
    <x v="0"/>
    <x v="73"/>
    <x v="2"/>
    <x v="0"/>
    <x v="0"/>
    <x v="1"/>
    <n v="0.25"/>
    <x v="214"/>
    <x v="201"/>
    <n v="169.5"/>
    <x v="3"/>
  </r>
  <r>
    <x v="223"/>
    <x v="223"/>
    <x v="200"/>
    <x v="204"/>
    <x v="0"/>
    <x v="73"/>
    <x v="2"/>
    <x v="0"/>
    <x v="1"/>
    <x v="6"/>
    <n v="0.25"/>
    <x v="215"/>
    <x v="202"/>
    <n v="786"/>
    <x v="4"/>
  </r>
  <r>
    <x v="224"/>
    <x v="224"/>
    <x v="201"/>
    <x v="161"/>
    <x v="3"/>
    <x v="74"/>
    <x v="2"/>
    <x v="1"/>
    <x v="1"/>
    <x v="2"/>
    <n v="0.3"/>
    <x v="216"/>
    <x v="203"/>
    <n v="1145.9000000000001"/>
    <x v="2"/>
  </r>
  <r>
    <x v="225"/>
    <x v="225"/>
    <x v="202"/>
    <x v="205"/>
    <x v="4"/>
    <x v="74"/>
    <x v="2"/>
    <x v="0"/>
    <x v="1"/>
    <x v="3"/>
    <n v="0.25"/>
    <x v="217"/>
    <x v="204"/>
    <n v="567"/>
    <x v="2"/>
  </r>
  <r>
    <x v="226"/>
    <x v="226"/>
    <x v="203"/>
    <x v="206"/>
    <x v="4"/>
    <x v="75"/>
    <x v="2"/>
    <x v="0"/>
    <x v="1"/>
    <x v="6"/>
    <n v="0.25"/>
    <x v="218"/>
    <x v="135"/>
    <n v="595.5"/>
    <x v="1"/>
  </r>
  <r>
    <x v="227"/>
    <x v="227"/>
    <x v="204"/>
    <x v="207"/>
    <x v="1"/>
    <x v="75"/>
    <x v="2"/>
    <x v="0"/>
    <x v="1"/>
    <x v="7"/>
    <n v="0.1"/>
    <x v="219"/>
    <x v="205"/>
    <n v="1030.5"/>
    <x v="4"/>
  </r>
  <r>
    <x v="228"/>
    <x v="228"/>
    <x v="205"/>
    <x v="208"/>
    <x v="4"/>
    <x v="75"/>
    <x v="2"/>
    <x v="1"/>
    <x v="0"/>
    <x v="3"/>
    <n v="0.25"/>
    <x v="220"/>
    <x v="206"/>
    <n v="1107"/>
    <x v="4"/>
  </r>
  <r>
    <x v="229"/>
    <x v="229"/>
    <x v="72"/>
    <x v="209"/>
    <x v="0"/>
    <x v="76"/>
    <x v="2"/>
    <x v="1"/>
    <x v="3"/>
    <x v="7"/>
    <n v="0.25"/>
    <x v="221"/>
    <x v="207"/>
    <n v="264"/>
    <x v="0"/>
  </r>
  <r>
    <x v="230"/>
    <x v="230"/>
    <x v="206"/>
    <x v="210"/>
    <x v="0"/>
    <x v="76"/>
    <x v="2"/>
    <x v="2"/>
    <x v="1"/>
    <x v="7"/>
    <n v="0.25"/>
    <x v="222"/>
    <x v="208"/>
    <n v="905.25"/>
    <x v="1"/>
  </r>
  <r>
    <x v="231"/>
    <x v="231"/>
    <x v="207"/>
    <x v="211"/>
    <x v="2"/>
    <x v="76"/>
    <x v="2"/>
    <x v="0"/>
    <x v="0"/>
    <x v="1"/>
    <n v="0.3"/>
    <x v="223"/>
    <x v="209"/>
    <n v="1164.0999999999999"/>
    <x v="2"/>
  </r>
  <r>
    <x v="232"/>
    <x v="232"/>
    <x v="208"/>
    <x v="212"/>
    <x v="0"/>
    <x v="76"/>
    <x v="2"/>
    <x v="1"/>
    <x v="0"/>
    <x v="2"/>
    <n v="0.25"/>
    <x v="224"/>
    <x v="210"/>
    <n v="572.25"/>
    <x v="0"/>
  </r>
  <r>
    <x v="233"/>
    <x v="233"/>
    <x v="80"/>
    <x v="213"/>
    <x v="1"/>
    <x v="77"/>
    <x v="2"/>
    <x v="2"/>
    <x v="0"/>
    <x v="3"/>
    <n v="0.1"/>
    <x v="225"/>
    <x v="54"/>
    <n v="612"/>
    <x v="0"/>
  </r>
  <r>
    <x v="234"/>
    <x v="234"/>
    <x v="208"/>
    <x v="214"/>
    <x v="1"/>
    <x v="78"/>
    <x v="2"/>
    <x v="0"/>
    <x v="1"/>
    <x v="6"/>
    <n v="0.1"/>
    <x v="226"/>
    <x v="211"/>
    <n v="1052.0999999999999"/>
    <x v="4"/>
  </r>
  <r>
    <x v="235"/>
    <x v="235"/>
    <x v="209"/>
    <x v="18"/>
    <x v="2"/>
    <x v="78"/>
    <x v="2"/>
    <x v="2"/>
    <x v="0"/>
    <x v="6"/>
    <n v="0.3"/>
    <x v="227"/>
    <x v="212"/>
    <n v="329.7"/>
    <x v="1"/>
  </r>
  <r>
    <x v="236"/>
    <x v="236"/>
    <x v="210"/>
    <x v="215"/>
    <x v="4"/>
    <x v="78"/>
    <x v="2"/>
    <x v="2"/>
    <x v="0"/>
    <x v="4"/>
    <n v="0.25"/>
    <x v="228"/>
    <x v="213"/>
    <n v="1257"/>
    <x v="0"/>
  </r>
  <r>
    <x v="237"/>
    <x v="237"/>
    <x v="211"/>
    <x v="110"/>
    <x v="1"/>
    <x v="78"/>
    <x v="2"/>
    <x v="2"/>
    <x v="1"/>
    <x v="3"/>
    <n v="0.1"/>
    <x v="229"/>
    <x v="214"/>
    <n v="1012.5"/>
    <x v="3"/>
  </r>
  <r>
    <x v="238"/>
    <x v="238"/>
    <x v="212"/>
    <x v="216"/>
    <x v="0"/>
    <x v="78"/>
    <x v="2"/>
    <x v="2"/>
    <x v="2"/>
    <x v="6"/>
    <n v="0.25"/>
    <x v="230"/>
    <x v="215"/>
    <n v="192"/>
    <x v="1"/>
  </r>
  <r>
    <x v="239"/>
    <x v="239"/>
    <x v="213"/>
    <x v="217"/>
    <x v="3"/>
    <x v="78"/>
    <x v="2"/>
    <x v="2"/>
    <x v="1"/>
    <x v="4"/>
    <n v="0.3"/>
    <x v="231"/>
    <x v="216"/>
    <n v="282.8"/>
    <x v="0"/>
  </r>
  <r>
    <x v="240"/>
    <x v="240"/>
    <x v="68"/>
    <x v="218"/>
    <x v="4"/>
    <x v="79"/>
    <x v="2"/>
    <x v="1"/>
    <x v="1"/>
    <x v="7"/>
    <n v="0.25"/>
    <x v="232"/>
    <x v="217"/>
    <n v="688.5"/>
    <x v="1"/>
  </r>
  <r>
    <x v="241"/>
    <x v="241"/>
    <x v="214"/>
    <x v="128"/>
    <x v="5"/>
    <x v="79"/>
    <x v="2"/>
    <x v="0"/>
    <x v="0"/>
    <x v="2"/>
    <n v="0.2"/>
    <x v="233"/>
    <x v="218"/>
    <n v="333.6"/>
    <x v="4"/>
  </r>
  <r>
    <x v="242"/>
    <x v="242"/>
    <x v="215"/>
    <x v="219"/>
    <x v="5"/>
    <x v="79"/>
    <x v="2"/>
    <x v="2"/>
    <x v="0"/>
    <x v="2"/>
    <n v="0.2"/>
    <x v="234"/>
    <x v="60"/>
    <n v="532.79999999999995"/>
    <x v="0"/>
  </r>
  <r>
    <x v="243"/>
    <x v="243"/>
    <x v="216"/>
    <x v="220"/>
    <x v="4"/>
    <x v="79"/>
    <x v="2"/>
    <x v="2"/>
    <x v="0"/>
    <x v="3"/>
    <n v="0.25"/>
    <x v="235"/>
    <x v="219"/>
    <n v="642.75"/>
    <x v="3"/>
  </r>
  <r>
    <x v="244"/>
    <x v="244"/>
    <x v="217"/>
    <x v="221"/>
    <x v="5"/>
    <x v="80"/>
    <x v="2"/>
    <x v="0"/>
    <x v="1"/>
    <x v="7"/>
    <n v="0.2"/>
    <x v="236"/>
    <x v="220"/>
    <n v="736"/>
    <x v="4"/>
  </r>
  <r>
    <x v="245"/>
    <x v="245"/>
    <x v="218"/>
    <x v="222"/>
    <x v="1"/>
    <x v="80"/>
    <x v="2"/>
    <x v="1"/>
    <x v="2"/>
    <x v="0"/>
    <n v="0.1"/>
    <x v="237"/>
    <x v="221"/>
    <n v="158.4"/>
    <x v="4"/>
  </r>
  <r>
    <x v="246"/>
    <x v="246"/>
    <x v="47"/>
    <x v="223"/>
    <x v="0"/>
    <x v="81"/>
    <x v="3"/>
    <x v="0"/>
    <x v="0"/>
    <x v="7"/>
    <n v="0.25"/>
    <x v="238"/>
    <x v="222"/>
    <n v="601.5"/>
    <x v="0"/>
  </r>
  <r>
    <x v="247"/>
    <x v="247"/>
    <x v="142"/>
    <x v="224"/>
    <x v="2"/>
    <x v="81"/>
    <x v="3"/>
    <x v="1"/>
    <x v="0"/>
    <x v="7"/>
    <n v="0.3"/>
    <x v="239"/>
    <x v="223"/>
    <n v="564.20000000000005"/>
    <x v="4"/>
  </r>
  <r>
    <x v="248"/>
    <x v="248"/>
    <x v="172"/>
    <x v="225"/>
    <x v="2"/>
    <x v="82"/>
    <x v="3"/>
    <x v="0"/>
    <x v="3"/>
    <x v="6"/>
    <n v="0.3"/>
    <x v="240"/>
    <x v="224"/>
    <n v="912.1"/>
    <x v="3"/>
  </r>
  <r>
    <x v="249"/>
    <x v="249"/>
    <x v="219"/>
    <x v="225"/>
    <x v="3"/>
    <x v="82"/>
    <x v="3"/>
    <x v="0"/>
    <x v="0"/>
    <x v="3"/>
    <n v="0.3"/>
    <x v="241"/>
    <x v="225"/>
    <n v="1139.5999999999999"/>
    <x v="0"/>
  </r>
  <r>
    <x v="250"/>
    <x v="250"/>
    <x v="220"/>
    <x v="226"/>
    <x v="5"/>
    <x v="83"/>
    <x v="3"/>
    <x v="2"/>
    <x v="2"/>
    <x v="5"/>
    <n v="0.2"/>
    <x v="242"/>
    <x v="226"/>
    <n v="115.2"/>
    <x v="4"/>
  </r>
  <r>
    <x v="251"/>
    <x v="251"/>
    <x v="221"/>
    <x v="93"/>
    <x v="1"/>
    <x v="83"/>
    <x v="3"/>
    <x v="1"/>
    <x v="1"/>
    <x v="2"/>
    <n v="0.1"/>
    <x v="243"/>
    <x v="227"/>
    <n v="1250.0999999999999"/>
    <x v="1"/>
  </r>
  <r>
    <x v="252"/>
    <x v="252"/>
    <x v="51"/>
    <x v="13"/>
    <x v="4"/>
    <x v="83"/>
    <x v="3"/>
    <x v="2"/>
    <x v="0"/>
    <x v="2"/>
    <n v="0.25"/>
    <x v="116"/>
    <x v="228"/>
    <n v="958.5"/>
    <x v="2"/>
  </r>
  <r>
    <x v="253"/>
    <x v="253"/>
    <x v="222"/>
    <x v="227"/>
    <x v="2"/>
    <x v="84"/>
    <x v="3"/>
    <x v="1"/>
    <x v="1"/>
    <x v="4"/>
    <n v="0.3"/>
    <x v="244"/>
    <x v="229"/>
    <n v="120.4"/>
    <x v="2"/>
  </r>
  <r>
    <x v="254"/>
    <x v="254"/>
    <x v="223"/>
    <x v="59"/>
    <x v="0"/>
    <x v="84"/>
    <x v="3"/>
    <x v="0"/>
    <x v="0"/>
    <x v="6"/>
    <n v="0.25"/>
    <x v="245"/>
    <x v="230"/>
    <n v="672.75"/>
    <x v="0"/>
  </r>
  <r>
    <x v="255"/>
    <x v="255"/>
    <x v="224"/>
    <x v="228"/>
    <x v="3"/>
    <x v="84"/>
    <x v="3"/>
    <x v="0"/>
    <x v="3"/>
    <x v="5"/>
    <n v="0.3"/>
    <x v="246"/>
    <x v="231"/>
    <n v="735"/>
    <x v="1"/>
  </r>
  <r>
    <x v="256"/>
    <x v="256"/>
    <x v="225"/>
    <x v="229"/>
    <x v="4"/>
    <x v="85"/>
    <x v="3"/>
    <x v="0"/>
    <x v="1"/>
    <x v="7"/>
    <n v="0.25"/>
    <x v="247"/>
    <x v="232"/>
    <n v="42.75"/>
    <x v="2"/>
  </r>
  <r>
    <x v="257"/>
    <x v="257"/>
    <x v="226"/>
    <x v="230"/>
    <x v="4"/>
    <x v="85"/>
    <x v="3"/>
    <x v="2"/>
    <x v="1"/>
    <x v="5"/>
    <n v="0.25"/>
    <x v="248"/>
    <x v="233"/>
    <n v="120.75"/>
    <x v="3"/>
  </r>
  <r>
    <x v="258"/>
    <x v="258"/>
    <x v="65"/>
    <x v="231"/>
    <x v="3"/>
    <x v="85"/>
    <x v="3"/>
    <x v="1"/>
    <x v="3"/>
    <x v="5"/>
    <n v="0.3"/>
    <x v="249"/>
    <x v="158"/>
    <n v="731.5"/>
    <x v="0"/>
  </r>
  <r>
    <x v="259"/>
    <x v="259"/>
    <x v="227"/>
    <x v="174"/>
    <x v="0"/>
    <x v="86"/>
    <x v="3"/>
    <x v="0"/>
    <x v="1"/>
    <x v="4"/>
    <n v="0.25"/>
    <x v="250"/>
    <x v="234"/>
    <n v="1084.5"/>
    <x v="2"/>
  </r>
  <r>
    <x v="260"/>
    <x v="260"/>
    <x v="228"/>
    <x v="232"/>
    <x v="0"/>
    <x v="86"/>
    <x v="3"/>
    <x v="1"/>
    <x v="3"/>
    <x v="3"/>
    <n v="0.25"/>
    <x v="251"/>
    <x v="235"/>
    <n v="428.25"/>
    <x v="0"/>
  </r>
  <r>
    <x v="261"/>
    <x v="261"/>
    <x v="229"/>
    <x v="233"/>
    <x v="0"/>
    <x v="87"/>
    <x v="3"/>
    <x v="0"/>
    <x v="1"/>
    <x v="7"/>
    <n v="0.25"/>
    <x v="252"/>
    <x v="236"/>
    <n v="999"/>
    <x v="4"/>
  </r>
  <r>
    <x v="262"/>
    <x v="262"/>
    <x v="230"/>
    <x v="234"/>
    <x v="2"/>
    <x v="87"/>
    <x v="3"/>
    <x v="1"/>
    <x v="3"/>
    <x v="3"/>
    <n v="0.3"/>
    <x v="229"/>
    <x v="237"/>
    <n v="262.5"/>
    <x v="4"/>
  </r>
  <r>
    <x v="263"/>
    <x v="263"/>
    <x v="231"/>
    <x v="111"/>
    <x v="4"/>
    <x v="87"/>
    <x v="3"/>
    <x v="1"/>
    <x v="1"/>
    <x v="4"/>
    <n v="0.25"/>
    <x v="253"/>
    <x v="238"/>
    <n v="466.5"/>
    <x v="3"/>
  </r>
  <r>
    <x v="264"/>
    <x v="264"/>
    <x v="137"/>
    <x v="120"/>
    <x v="3"/>
    <x v="88"/>
    <x v="3"/>
    <x v="1"/>
    <x v="0"/>
    <x v="3"/>
    <n v="0.3"/>
    <x v="254"/>
    <x v="239"/>
    <n v="674.1"/>
    <x v="3"/>
  </r>
  <r>
    <x v="265"/>
    <x v="265"/>
    <x v="71"/>
    <x v="26"/>
    <x v="3"/>
    <x v="88"/>
    <x v="3"/>
    <x v="1"/>
    <x v="0"/>
    <x v="7"/>
    <n v="0.3"/>
    <x v="255"/>
    <x v="240"/>
    <n v="244.3"/>
    <x v="2"/>
  </r>
  <r>
    <x v="266"/>
    <x v="266"/>
    <x v="232"/>
    <x v="22"/>
    <x v="1"/>
    <x v="89"/>
    <x v="3"/>
    <x v="2"/>
    <x v="1"/>
    <x v="2"/>
    <n v="0.1"/>
    <x v="256"/>
    <x v="241"/>
    <n v="817.2"/>
    <x v="0"/>
  </r>
  <r>
    <x v="267"/>
    <x v="267"/>
    <x v="83"/>
    <x v="235"/>
    <x v="5"/>
    <x v="89"/>
    <x v="3"/>
    <x v="1"/>
    <x v="0"/>
    <x v="3"/>
    <n v="0.2"/>
    <x v="257"/>
    <x v="242"/>
    <n v="580"/>
    <x v="0"/>
  </r>
  <r>
    <x v="268"/>
    <x v="268"/>
    <x v="233"/>
    <x v="236"/>
    <x v="2"/>
    <x v="89"/>
    <x v="3"/>
    <x v="0"/>
    <x v="1"/>
    <x v="1"/>
    <n v="0.3"/>
    <x v="258"/>
    <x v="243"/>
    <n v="753.9"/>
    <x v="1"/>
  </r>
  <r>
    <x v="269"/>
    <x v="269"/>
    <x v="191"/>
    <x v="237"/>
    <x v="2"/>
    <x v="89"/>
    <x v="3"/>
    <x v="0"/>
    <x v="1"/>
    <x v="7"/>
    <n v="0.3"/>
    <x v="201"/>
    <x v="244"/>
    <n v="252"/>
    <x v="4"/>
  </r>
  <r>
    <x v="270"/>
    <x v="270"/>
    <x v="208"/>
    <x v="232"/>
    <x v="0"/>
    <x v="90"/>
    <x v="3"/>
    <x v="1"/>
    <x v="1"/>
    <x v="0"/>
    <n v="0.25"/>
    <x v="259"/>
    <x v="245"/>
    <n v="1292.25"/>
    <x v="1"/>
  </r>
  <r>
    <x v="271"/>
    <x v="271"/>
    <x v="172"/>
    <x v="238"/>
    <x v="4"/>
    <x v="91"/>
    <x v="3"/>
    <x v="0"/>
    <x v="1"/>
    <x v="6"/>
    <n v="0.25"/>
    <x v="260"/>
    <x v="44"/>
    <n v="1255.5"/>
    <x v="1"/>
  </r>
  <r>
    <x v="272"/>
    <x v="272"/>
    <x v="194"/>
    <x v="239"/>
    <x v="3"/>
    <x v="92"/>
    <x v="3"/>
    <x v="2"/>
    <x v="3"/>
    <x v="1"/>
    <n v="0.3"/>
    <x v="261"/>
    <x v="246"/>
    <n v="697.9"/>
    <x v="1"/>
  </r>
  <r>
    <x v="273"/>
    <x v="273"/>
    <x v="234"/>
    <x v="240"/>
    <x v="2"/>
    <x v="93"/>
    <x v="3"/>
    <x v="0"/>
    <x v="1"/>
    <x v="3"/>
    <n v="0.3"/>
    <x v="262"/>
    <x v="247"/>
    <n v="967.4"/>
    <x v="1"/>
  </r>
  <r>
    <x v="274"/>
    <x v="274"/>
    <x v="235"/>
    <x v="232"/>
    <x v="3"/>
    <x v="93"/>
    <x v="3"/>
    <x v="2"/>
    <x v="3"/>
    <x v="5"/>
    <n v="0.3"/>
    <x v="263"/>
    <x v="248"/>
    <n v="875"/>
    <x v="1"/>
  </r>
  <r>
    <x v="275"/>
    <x v="275"/>
    <x v="236"/>
    <x v="241"/>
    <x v="0"/>
    <x v="93"/>
    <x v="3"/>
    <x v="0"/>
    <x v="2"/>
    <x v="1"/>
    <n v="0.25"/>
    <x v="264"/>
    <x v="249"/>
    <n v="75"/>
    <x v="1"/>
  </r>
  <r>
    <x v="276"/>
    <x v="276"/>
    <x v="237"/>
    <x v="242"/>
    <x v="3"/>
    <x v="93"/>
    <x v="3"/>
    <x v="1"/>
    <x v="1"/>
    <x v="3"/>
    <n v="0.3"/>
    <x v="265"/>
    <x v="40"/>
    <n v="773.5"/>
    <x v="0"/>
  </r>
  <r>
    <x v="277"/>
    <x v="277"/>
    <x v="44"/>
    <x v="243"/>
    <x v="5"/>
    <x v="94"/>
    <x v="3"/>
    <x v="0"/>
    <x v="1"/>
    <x v="7"/>
    <n v="0.2"/>
    <x v="266"/>
    <x v="250"/>
    <n v="792"/>
    <x v="0"/>
  </r>
  <r>
    <x v="278"/>
    <x v="278"/>
    <x v="238"/>
    <x v="244"/>
    <x v="4"/>
    <x v="94"/>
    <x v="3"/>
    <x v="1"/>
    <x v="1"/>
    <x v="2"/>
    <n v="0.25"/>
    <x v="267"/>
    <x v="251"/>
    <n v="453"/>
    <x v="2"/>
  </r>
  <r>
    <x v="279"/>
    <x v="279"/>
    <x v="239"/>
    <x v="245"/>
    <x v="0"/>
    <x v="94"/>
    <x v="3"/>
    <x v="2"/>
    <x v="1"/>
    <x v="1"/>
    <n v="0.25"/>
    <x v="268"/>
    <x v="252"/>
    <n v="885.75"/>
    <x v="0"/>
  </r>
  <r>
    <x v="280"/>
    <x v="280"/>
    <x v="240"/>
    <x v="246"/>
    <x v="1"/>
    <x v="94"/>
    <x v="3"/>
    <x v="1"/>
    <x v="1"/>
    <x v="1"/>
    <n v="0.1"/>
    <x v="269"/>
    <x v="253"/>
    <n v="1225.8"/>
    <x v="3"/>
  </r>
  <r>
    <x v="281"/>
    <x v="281"/>
    <x v="241"/>
    <x v="247"/>
    <x v="1"/>
    <x v="95"/>
    <x v="3"/>
    <x v="1"/>
    <x v="1"/>
    <x v="6"/>
    <n v="0.1"/>
    <x v="270"/>
    <x v="254"/>
    <n v="698.4"/>
    <x v="2"/>
  </r>
  <r>
    <x v="282"/>
    <x v="282"/>
    <x v="242"/>
    <x v="176"/>
    <x v="2"/>
    <x v="95"/>
    <x v="3"/>
    <x v="1"/>
    <x v="1"/>
    <x v="2"/>
    <n v="0.3"/>
    <x v="271"/>
    <x v="255"/>
    <n v="480.2"/>
    <x v="3"/>
  </r>
  <r>
    <x v="283"/>
    <x v="283"/>
    <x v="243"/>
    <x v="248"/>
    <x v="1"/>
    <x v="95"/>
    <x v="3"/>
    <x v="2"/>
    <x v="0"/>
    <x v="6"/>
    <n v="0.1"/>
    <x v="272"/>
    <x v="256"/>
    <n v="248.4"/>
    <x v="1"/>
  </r>
  <r>
    <x v="284"/>
    <x v="284"/>
    <x v="244"/>
    <x v="242"/>
    <x v="1"/>
    <x v="95"/>
    <x v="3"/>
    <x v="1"/>
    <x v="1"/>
    <x v="4"/>
    <n v="0.1"/>
    <x v="273"/>
    <x v="257"/>
    <n v="46.8"/>
    <x v="0"/>
  </r>
  <r>
    <x v="285"/>
    <x v="285"/>
    <x v="245"/>
    <x v="249"/>
    <x v="3"/>
    <x v="95"/>
    <x v="3"/>
    <x v="0"/>
    <x v="2"/>
    <x v="6"/>
    <n v="0.3"/>
    <x v="274"/>
    <x v="258"/>
    <n v="941.5"/>
    <x v="2"/>
  </r>
  <r>
    <x v="286"/>
    <x v="286"/>
    <x v="246"/>
    <x v="250"/>
    <x v="5"/>
    <x v="96"/>
    <x v="3"/>
    <x v="1"/>
    <x v="0"/>
    <x v="4"/>
    <n v="0.2"/>
    <x v="275"/>
    <x v="113"/>
    <n v="1218.4000000000001"/>
    <x v="2"/>
  </r>
  <r>
    <x v="287"/>
    <x v="287"/>
    <x v="247"/>
    <x v="5"/>
    <x v="0"/>
    <x v="97"/>
    <x v="3"/>
    <x v="1"/>
    <x v="0"/>
    <x v="3"/>
    <n v="0.25"/>
    <x v="276"/>
    <x v="259"/>
    <n v="462.75"/>
    <x v="3"/>
  </r>
  <r>
    <x v="288"/>
    <x v="288"/>
    <x v="143"/>
    <x v="251"/>
    <x v="5"/>
    <x v="97"/>
    <x v="3"/>
    <x v="2"/>
    <x v="1"/>
    <x v="3"/>
    <n v="0.2"/>
    <x v="277"/>
    <x v="260"/>
    <n v="96"/>
    <x v="4"/>
  </r>
  <r>
    <x v="289"/>
    <x v="289"/>
    <x v="248"/>
    <x v="252"/>
    <x v="2"/>
    <x v="97"/>
    <x v="3"/>
    <x v="1"/>
    <x v="0"/>
    <x v="5"/>
    <n v="0.3"/>
    <x v="278"/>
    <x v="261"/>
    <n v="425.6"/>
    <x v="3"/>
  </r>
  <r>
    <x v="290"/>
    <x v="290"/>
    <x v="249"/>
    <x v="253"/>
    <x v="1"/>
    <x v="97"/>
    <x v="3"/>
    <x v="2"/>
    <x v="1"/>
    <x v="5"/>
    <n v="0.1"/>
    <x v="279"/>
    <x v="262"/>
    <n v="1282.5"/>
    <x v="3"/>
  </r>
  <r>
    <x v="291"/>
    <x v="291"/>
    <x v="67"/>
    <x v="254"/>
    <x v="1"/>
    <x v="98"/>
    <x v="3"/>
    <x v="0"/>
    <x v="0"/>
    <x v="6"/>
    <n v="0.1"/>
    <x v="280"/>
    <x v="104"/>
    <n v="1435.5"/>
    <x v="2"/>
  </r>
  <r>
    <x v="292"/>
    <x v="292"/>
    <x v="250"/>
    <x v="255"/>
    <x v="1"/>
    <x v="98"/>
    <x v="3"/>
    <x v="1"/>
    <x v="1"/>
    <x v="5"/>
    <n v="0.1"/>
    <x v="281"/>
    <x v="263"/>
    <n v="1537.2"/>
    <x v="0"/>
  </r>
  <r>
    <x v="293"/>
    <x v="293"/>
    <x v="251"/>
    <x v="256"/>
    <x v="1"/>
    <x v="98"/>
    <x v="3"/>
    <x v="0"/>
    <x v="0"/>
    <x v="6"/>
    <n v="0.1"/>
    <x v="282"/>
    <x v="264"/>
    <n v="85.5"/>
    <x v="1"/>
  </r>
  <r>
    <x v="294"/>
    <x v="294"/>
    <x v="252"/>
    <x v="257"/>
    <x v="2"/>
    <x v="98"/>
    <x v="3"/>
    <x v="0"/>
    <x v="3"/>
    <x v="2"/>
    <n v="0.3"/>
    <x v="283"/>
    <x v="265"/>
    <n v="81.900000000000006"/>
    <x v="1"/>
  </r>
  <r>
    <x v="295"/>
    <x v="295"/>
    <x v="253"/>
    <x v="258"/>
    <x v="4"/>
    <x v="99"/>
    <x v="3"/>
    <x v="2"/>
    <x v="1"/>
    <x v="3"/>
    <n v="0.25"/>
    <x v="284"/>
    <x v="260"/>
    <n v="90"/>
    <x v="2"/>
  </r>
  <r>
    <x v="296"/>
    <x v="296"/>
    <x v="254"/>
    <x v="259"/>
    <x v="2"/>
    <x v="99"/>
    <x v="3"/>
    <x v="0"/>
    <x v="1"/>
    <x v="5"/>
    <n v="0.3"/>
    <x v="285"/>
    <x v="266"/>
    <n v="1062.5999999999999"/>
    <x v="4"/>
  </r>
  <r>
    <x v="297"/>
    <x v="297"/>
    <x v="255"/>
    <x v="225"/>
    <x v="2"/>
    <x v="100"/>
    <x v="3"/>
    <x v="0"/>
    <x v="1"/>
    <x v="3"/>
    <n v="0.3"/>
    <x v="286"/>
    <x v="267"/>
    <n v="1082.2"/>
    <x v="2"/>
  </r>
  <r>
    <x v="298"/>
    <x v="298"/>
    <x v="256"/>
    <x v="260"/>
    <x v="5"/>
    <x v="100"/>
    <x v="3"/>
    <x v="0"/>
    <x v="1"/>
    <x v="3"/>
    <n v="0.2"/>
    <x v="28"/>
    <x v="27"/>
    <n v="39.200000000000003"/>
    <x v="3"/>
  </r>
  <r>
    <x v="299"/>
    <x v="299"/>
    <x v="257"/>
    <x v="261"/>
    <x v="0"/>
    <x v="101"/>
    <x v="3"/>
    <x v="1"/>
    <x v="0"/>
    <x v="1"/>
    <n v="0.25"/>
    <x v="287"/>
    <x v="268"/>
    <n v="456.75"/>
    <x v="4"/>
  </r>
  <r>
    <x v="300"/>
    <x v="300"/>
    <x v="258"/>
    <x v="86"/>
    <x v="3"/>
    <x v="101"/>
    <x v="3"/>
    <x v="1"/>
    <x v="0"/>
    <x v="7"/>
    <n v="0.3"/>
    <x v="288"/>
    <x v="269"/>
    <n v="296.10000000000002"/>
    <x v="3"/>
  </r>
  <r>
    <x v="301"/>
    <x v="301"/>
    <x v="259"/>
    <x v="262"/>
    <x v="4"/>
    <x v="101"/>
    <x v="3"/>
    <x v="1"/>
    <x v="0"/>
    <x v="6"/>
    <n v="0.25"/>
    <x v="289"/>
    <x v="270"/>
    <n v="321"/>
    <x v="4"/>
  </r>
  <r>
    <x v="302"/>
    <x v="302"/>
    <x v="260"/>
    <x v="263"/>
    <x v="0"/>
    <x v="101"/>
    <x v="3"/>
    <x v="1"/>
    <x v="1"/>
    <x v="3"/>
    <n v="0.25"/>
    <x v="86"/>
    <x v="83"/>
    <n v="187.5"/>
    <x v="0"/>
  </r>
  <r>
    <x v="303"/>
    <x v="303"/>
    <x v="261"/>
    <x v="264"/>
    <x v="2"/>
    <x v="102"/>
    <x v="3"/>
    <x v="0"/>
    <x v="0"/>
    <x v="3"/>
    <n v="0.3"/>
    <x v="290"/>
    <x v="271"/>
    <n v="121.1"/>
    <x v="2"/>
  </r>
  <r>
    <x v="135"/>
    <x v="304"/>
    <x v="127"/>
    <x v="128"/>
    <x v="0"/>
    <x v="102"/>
    <x v="3"/>
    <x v="0"/>
    <x v="0"/>
    <x v="7"/>
    <n v="0.25"/>
    <x v="291"/>
    <x v="197"/>
    <n v="434.25"/>
    <x v="0"/>
  </r>
  <r>
    <x v="304"/>
    <x v="305"/>
    <x v="162"/>
    <x v="265"/>
    <x v="0"/>
    <x v="103"/>
    <x v="3"/>
    <x v="0"/>
    <x v="3"/>
    <x v="7"/>
    <n v="0.25"/>
    <x v="292"/>
    <x v="272"/>
    <n v="255.75"/>
    <x v="0"/>
  </r>
  <r>
    <x v="305"/>
    <x v="306"/>
    <x v="30"/>
    <x v="266"/>
    <x v="1"/>
    <x v="104"/>
    <x v="3"/>
    <x v="2"/>
    <x v="1"/>
    <x v="7"/>
    <n v="0.1"/>
    <x v="293"/>
    <x v="273"/>
    <n v="1398.6"/>
    <x v="0"/>
  </r>
  <r>
    <x v="306"/>
    <x v="307"/>
    <x v="262"/>
    <x v="267"/>
    <x v="1"/>
    <x v="105"/>
    <x v="3"/>
    <x v="2"/>
    <x v="0"/>
    <x v="2"/>
    <n v="0.1"/>
    <x v="294"/>
    <x v="274"/>
    <n v="211.5"/>
    <x v="2"/>
  </r>
  <r>
    <x v="307"/>
    <x v="308"/>
    <x v="253"/>
    <x v="268"/>
    <x v="0"/>
    <x v="105"/>
    <x v="3"/>
    <x v="2"/>
    <x v="0"/>
    <x v="5"/>
    <n v="0.25"/>
    <x v="295"/>
    <x v="275"/>
    <n v="346.5"/>
    <x v="1"/>
  </r>
  <r>
    <x v="308"/>
    <x v="309"/>
    <x v="263"/>
    <x v="148"/>
    <x v="0"/>
    <x v="105"/>
    <x v="3"/>
    <x v="1"/>
    <x v="0"/>
    <x v="5"/>
    <n v="0.25"/>
    <x v="296"/>
    <x v="276"/>
    <n v="1013.25"/>
    <x v="3"/>
  </r>
  <r>
    <x v="309"/>
    <x v="310"/>
    <x v="264"/>
    <x v="269"/>
    <x v="0"/>
    <x v="106"/>
    <x v="3"/>
    <x v="0"/>
    <x v="0"/>
    <x v="6"/>
    <n v="0.25"/>
    <x v="297"/>
    <x v="277"/>
    <n v="1189.5"/>
    <x v="3"/>
  </r>
  <r>
    <x v="310"/>
    <x v="311"/>
    <x v="265"/>
    <x v="270"/>
    <x v="0"/>
    <x v="107"/>
    <x v="3"/>
    <x v="1"/>
    <x v="1"/>
    <x v="6"/>
    <n v="0.25"/>
    <x v="298"/>
    <x v="63"/>
    <n v="97.5"/>
    <x v="4"/>
  </r>
  <r>
    <x v="311"/>
    <x v="312"/>
    <x v="266"/>
    <x v="219"/>
    <x v="2"/>
    <x v="107"/>
    <x v="3"/>
    <x v="2"/>
    <x v="0"/>
    <x v="6"/>
    <n v="0.3"/>
    <x v="299"/>
    <x v="278"/>
    <n v="65.8"/>
    <x v="1"/>
  </r>
  <r>
    <x v="312"/>
    <x v="313"/>
    <x v="267"/>
    <x v="271"/>
    <x v="0"/>
    <x v="107"/>
    <x v="3"/>
    <x v="0"/>
    <x v="3"/>
    <x v="3"/>
    <n v="0.25"/>
    <x v="300"/>
    <x v="129"/>
    <n v="519"/>
    <x v="2"/>
  </r>
  <r>
    <x v="313"/>
    <x v="314"/>
    <x v="268"/>
    <x v="152"/>
    <x v="2"/>
    <x v="107"/>
    <x v="3"/>
    <x v="2"/>
    <x v="1"/>
    <x v="1"/>
    <n v="0.3"/>
    <x v="301"/>
    <x v="279"/>
    <n v="468.3"/>
    <x v="0"/>
  </r>
  <r>
    <x v="314"/>
    <x v="315"/>
    <x v="269"/>
    <x v="272"/>
    <x v="2"/>
    <x v="107"/>
    <x v="3"/>
    <x v="0"/>
    <x v="0"/>
    <x v="4"/>
    <n v="0.3"/>
    <x v="302"/>
    <x v="280"/>
    <n v="387.8"/>
    <x v="4"/>
  </r>
  <r>
    <x v="315"/>
    <x v="316"/>
    <x v="148"/>
    <x v="119"/>
    <x v="5"/>
    <x v="107"/>
    <x v="3"/>
    <x v="1"/>
    <x v="1"/>
    <x v="6"/>
    <n v="0.2"/>
    <x v="303"/>
    <x v="281"/>
    <n v="807.2"/>
    <x v="0"/>
  </r>
  <r>
    <x v="316"/>
    <x v="317"/>
    <x v="270"/>
    <x v="273"/>
    <x v="0"/>
    <x v="108"/>
    <x v="3"/>
    <x v="1"/>
    <x v="0"/>
    <x v="2"/>
    <n v="0.25"/>
    <x v="304"/>
    <x v="282"/>
    <n v="1332.75"/>
    <x v="2"/>
  </r>
  <r>
    <x v="317"/>
    <x v="318"/>
    <x v="271"/>
    <x v="274"/>
    <x v="4"/>
    <x v="109"/>
    <x v="4"/>
    <x v="1"/>
    <x v="0"/>
    <x v="0"/>
    <n v="0.25"/>
    <x v="305"/>
    <x v="283"/>
    <n v="195"/>
    <x v="0"/>
  </r>
  <r>
    <x v="318"/>
    <x v="319"/>
    <x v="272"/>
    <x v="275"/>
    <x v="3"/>
    <x v="109"/>
    <x v="4"/>
    <x v="1"/>
    <x v="0"/>
    <x v="5"/>
    <n v="0.3"/>
    <x v="306"/>
    <x v="284"/>
    <n v="1191.4000000000001"/>
    <x v="1"/>
  </r>
  <r>
    <x v="319"/>
    <x v="320"/>
    <x v="273"/>
    <x v="36"/>
    <x v="1"/>
    <x v="110"/>
    <x v="4"/>
    <x v="2"/>
    <x v="1"/>
    <x v="2"/>
    <n v="0.1"/>
    <x v="307"/>
    <x v="285"/>
    <n v="857.7"/>
    <x v="3"/>
  </r>
  <r>
    <x v="320"/>
    <x v="321"/>
    <x v="274"/>
    <x v="122"/>
    <x v="2"/>
    <x v="110"/>
    <x v="4"/>
    <x v="2"/>
    <x v="0"/>
    <x v="6"/>
    <n v="0.3"/>
    <x v="308"/>
    <x v="286"/>
    <n v="1066.8"/>
    <x v="1"/>
  </r>
  <r>
    <x v="321"/>
    <x v="322"/>
    <x v="275"/>
    <x v="276"/>
    <x v="4"/>
    <x v="110"/>
    <x v="4"/>
    <x v="1"/>
    <x v="2"/>
    <x v="2"/>
    <n v="0.25"/>
    <x v="309"/>
    <x v="287"/>
    <n v="840"/>
    <x v="1"/>
  </r>
  <r>
    <x v="322"/>
    <x v="323"/>
    <x v="16"/>
    <x v="277"/>
    <x v="5"/>
    <x v="110"/>
    <x v="4"/>
    <x v="0"/>
    <x v="1"/>
    <x v="6"/>
    <n v="0.2"/>
    <x v="310"/>
    <x v="288"/>
    <n v="335.2"/>
    <x v="3"/>
  </r>
  <r>
    <x v="323"/>
    <x v="324"/>
    <x v="276"/>
    <x v="278"/>
    <x v="4"/>
    <x v="111"/>
    <x v="4"/>
    <x v="2"/>
    <x v="1"/>
    <x v="4"/>
    <n v="0.25"/>
    <x v="311"/>
    <x v="267"/>
    <n v="1159.5"/>
    <x v="2"/>
  </r>
  <r>
    <x v="324"/>
    <x v="325"/>
    <x v="277"/>
    <x v="22"/>
    <x v="5"/>
    <x v="112"/>
    <x v="4"/>
    <x v="0"/>
    <x v="0"/>
    <x v="0"/>
    <n v="0.2"/>
    <x v="312"/>
    <x v="289"/>
    <n v="794.4"/>
    <x v="2"/>
  </r>
  <r>
    <x v="325"/>
    <x v="326"/>
    <x v="137"/>
    <x v="279"/>
    <x v="0"/>
    <x v="113"/>
    <x v="4"/>
    <x v="2"/>
    <x v="1"/>
    <x v="0"/>
    <n v="0.25"/>
    <x v="313"/>
    <x v="290"/>
    <n v="1168.5"/>
    <x v="0"/>
  </r>
  <r>
    <x v="326"/>
    <x v="327"/>
    <x v="278"/>
    <x v="280"/>
    <x v="1"/>
    <x v="113"/>
    <x v="4"/>
    <x v="1"/>
    <x v="0"/>
    <x v="0"/>
    <n v="0.1"/>
    <x v="314"/>
    <x v="9"/>
    <n v="9.9"/>
    <x v="1"/>
  </r>
  <r>
    <x v="327"/>
    <x v="328"/>
    <x v="279"/>
    <x v="281"/>
    <x v="4"/>
    <x v="113"/>
    <x v="4"/>
    <x v="1"/>
    <x v="3"/>
    <x v="2"/>
    <n v="0.25"/>
    <x v="315"/>
    <x v="291"/>
    <n v="174"/>
    <x v="4"/>
  </r>
  <r>
    <x v="328"/>
    <x v="329"/>
    <x v="236"/>
    <x v="98"/>
    <x v="1"/>
    <x v="114"/>
    <x v="4"/>
    <x v="1"/>
    <x v="1"/>
    <x v="3"/>
    <n v="0.1"/>
    <x v="316"/>
    <x v="292"/>
    <n v="507.6"/>
    <x v="1"/>
  </r>
  <r>
    <x v="329"/>
    <x v="330"/>
    <x v="280"/>
    <x v="282"/>
    <x v="5"/>
    <x v="114"/>
    <x v="4"/>
    <x v="2"/>
    <x v="0"/>
    <x v="0"/>
    <n v="0.2"/>
    <x v="317"/>
    <x v="293"/>
    <n v="788"/>
    <x v="3"/>
  </r>
  <r>
    <x v="330"/>
    <x v="331"/>
    <x v="281"/>
    <x v="283"/>
    <x v="2"/>
    <x v="115"/>
    <x v="4"/>
    <x v="2"/>
    <x v="0"/>
    <x v="7"/>
    <n v="0.3"/>
    <x v="318"/>
    <x v="294"/>
    <n v="744.1"/>
    <x v="3"/>
  </r>
  <r>
    <x v="331"/>
    <x v="332"/>
    <x v="88"/>
    <x v="284"/>
    <x v="4"/>
    <x v="115"/>
    <x v="4"/>
    <x v="0"/>
    <x v="1"/>
    <x v="7"/>
    <n v="0.25"/>
    <x v="319"/>
    <x v="295"/>
    <n v="203.25"/>
    <x v="3"/>
  </r>
  <r>
    <x v="332"/>
    <x v="333"/>
    <x v="282"/>
    <x v="285"/>
    <x v="5"/>
    <x v="115"/>
    <x v="4"/>
    <x v="1"/>
    <x v="1"/>
    <x v="3"/>
    <n v="0.2"/>
    <x v="320"/>
    <x v="122"/>
    <n v="346.4"/>
    <x v="4"/>
  </r>
  <r>
    <x v="333"/>
    <x v="334"/>
    <x v="283"/>
    <x v="286"/>
    <x v="0"/>
    <x v="115"/>
    <x v="4"/>
    <x v="2"/>
    <x v="0"/>
    <x v="0"/>
    <n v="0.25"/>
    <x v="321"/>
    <x v="296"/>
    <n v="1230"/>
    <x v="3"/>
  </r>
  <r>
    <x v="334"/>
    <x v="335"/>
    <x v="49"/>
    <x v="15"/>
    <x v="3"/>
    <x v="116"/>
    <x v="4"/>
    <x v="0"/>
    <x v="0"/>
    <x v="3"/>
    <n v="0.3"/>
    <x v="322"/>
    <x v="297"/>
    <n v="492.1"/>
    <x v="3"/>
  </r>
  <r>
    <x v="335"/>
    <x v="336"/>
    <x v="275"/>
    <x v="287"/>
    <x v="1"/>
    <x v="116"/>
    <x v="4"/>
    <x v="0"/>
    <x v="3"/>
    <x v="5"/>
    <n v="0.1"/>
    <x v="323"/>
    <x v="298"/>
    <n v="392.4"/>
    <x v="0"/>
  </r>
  <r>
    <x v="336"/>
    <x v="337"/>
    <x v="6"/>
    <x v="288"/>
    <x v="0"/>
    <x v="117"/>
    <x v="4"/>
    <x v="1"/>
    <x v="1"/>
    <x v="3"/>
    <n v="0.25"/>
    <x v="324"/>
    <x v="38"/>
    <n v="96.75"/>
    <x v="1"/>
  </r>
  <r>
    <x v="337"/>
    <x v="338"/>
    <x v="284"/>
    <x v="289"/>
    <x v="4"/>
    <x v="117"/>
    <x v="4"/>
    <x v="0"/>
    <x v="0"/>
    <x v="4"/>
    <n v="0.25"/>
    <x v="325"/>
    <x v="299"/>
    <n v="287.25"/>
    <x v="1"/>
  </r>
  <r>
    <x v="338"/>
    <x v="339"/>
    <x v="285"/>
    <x v="290"/>
    <x v="0"/>
    <x v="118"/>
    <x v="4"/>
    <x v="0"/>
    <x v="2"/>
    <x v="5"/>
    <n v="0.25"/>
    <x v="326"/>
    <x v="176"/>
    <n v="1310.25"/>
    <x v="0"/>
  </r>
  <r>
    <x v="339"/>
    <x v="340"/>
    <x v="286"/>
    <x v="291"/>
    <x v="5"/>
    <x v="118"/>
    <x v="4"/>
    <x v="0"/>
    <x v="1"/>
    <x v="4"/>
    <n v="0.2"/>
    <x v="327"/>
    <x v="300"/>
    <n v="849.6"/>
    <x v="0"/>
  </r>
  <r>
    <x v="340"/>
    <x v="341"/>
    <x v="287"/>
    <x v="292"/>
    <x v="0"/>
    <x v="118"/>
    <x v="4"/>
    <x v="2"/>
    <x v="1"/>
    <x v="2"/>
    <n v="0.25"/>
    <x v="328"/>
    <x v="301"/>
    <n v="785.25"/>
    <x v="4"/>
  </r>
  <r>
    <x v="341"/>
    <x v="342"/>
    <x v="288"/>
    <x v="293"/>
    <x v="0"/>
    <x v="118"/>
    <x v="4"/>
    <x v="2"/>
    <x v="0"/>
    <x v="4"/>
    <n v="0.25"/>
    <x v="329"/>
    <x v="302"/>
    <n v="470.25"/>
    <x v="3"/>
  </r>
  <r>
    <x v="342"/>
    <x v="343"/>
    <x v="116"/>
    <x v="209"/>
    <x v="5"/>
    <x v="118"/>
    <x v="4"/>
    <x v="1"/>
    <x v="1"/>
    <x v="1"/>
    <n v="0.2"/>
    <x v="330"/>
    <x v="191"/>
    <n v="1013.6"/>
    <x v="4"/>
  </r>
  <r>
    <x v="343"/>
    <x v="344"/>
    <x v="289"/>
    <x v="22"/>
    <x v="0"/>
    <x v="118"/>
    <x v="4"/>
    <x v="1"/>
    <x v="0"/>
    <x v="0"/>
    <n v="0.25"/>
    <x v="36"/>
    <x v="34"/>
    <n v="837"/>
    <x v="2"/>
  </r>
  <r>
    <x v="344"/>
    <x v="345"/>
    <x v="290"/>
    <x v="44"/>
    <x v="5"/>
    <x v="119"/>
    <x v="4"/>
    <x v="2"/>
    <x v="0"/>
    <x v="2"/>
    <n v="0.2"/>
    <x v="281"/>
    <x v="133"/>
    <n v="683.2"/>
    <x v="0"/>
  </r>
  <r>
    <x v="345"/>
    <x v="346"/>
    <x v="128"/>
    <x v="294"/>
    <x v="5"/>
    <x v="119"/>
    <x v="4"/>
    <x v="0"/>
    <x v="1"/>
    <x v="5"/>
    <n v="0.2"/>
    <x v="331"/>
    <x v="303"/>
    <n v="481.6"/>
    <x v="1"/>
  </r>
  <r>
    <x v="346"/>
    <x v="347"/>
    <x v="291"/>
    <x v="295"/>
    <x v="3"/>
    <x v="119"/>
    <x v="4"/>
    <x v="1"/>
    <x v="1"/>
    <x v="1"/>
    <n v="0.3"/>
    <x v="332"/>
    <x v="304"/>
    <n v="905.8"/>
    <x v="4"/>
  </r>
  <r>
    <x v="347"/>
    <x v="348"/>
    <x v="292"/>
    <x v="171"/>
    <x v="1"/>
    <x v="120"/>
    <x v="4"/>
    <x v="2"/>
    <x v="3"/>
    <x v="5"/>
    <n v="0.1"/>
    <x v="333"/>
    <x v="305"/>
    <n v="45"/>
    <x v="1"/>
  </r>
  <r>
    <x v="348"/>
    <x v="349"/>
    <x v="293"/>
    <x v="44"/>
    <x v="0"/>
    <x v="120"/>
    <x v="4"/>
    <x v="1"/>
    <x v="3"/>
    <x v="1"/>
    <n v="0.25"/>
    <x v="334"/>
    <x v="57"/>
    <n v="179.25"/>
    <x v="0"/>
  </r>
  <r>
    <x v="349"/>
    <x v="350"/>
    <x v="15"/>
    <x v="41"/>
    <x v="5"/>
    <x v="120"/>
    <x v="4"/>
    <x v="2"/>
    <x v="0"/>
    <x v="0"/>
    <n v="0.2"/>
    <x v="335"/>
    <x v="306"/>
    <n v="573.6"/>
    <x v="2"/>
  </r>
  <r>
    <x v="350"/>
    <x v="351"/>
    <x v="294"/>
    <x v="296"/>
    <x v="0"/>
    <x v="121"/>
    <x v="4"/>
    <x v="0"/>
    <x v="1"/>
    <x v="3"/>
    <n v="0.25"/>
    <x v="336"/>
    <x v="307"/>
    <n v="936"/>
    <x v="4"/>
  </r>
  <r>
    <x v="351"/>
    <x v="352"/>
    <x v="295"/>
    <x v="297"/>
    <x v="1"/>
    <x v="122"/>
    <x v="4"/>
    <x v="2"/>
    <x v="1"/>
    <x v="3"/>
    <n v="0.1"/>
    <x v="337"/>
    <x v="308"/>
    <n v="1173.5999999999999"/>
    <x v="2"/>
  </r>
  <r>
    <x v="352"/>
    <x v="353"/>
    <x v="18"/>
    <x v="298"/>
    <x v="2"/>
    <x v="122"/>
    <x v="4"/>
    <x v="2"/>
    <x v="1"/>
    <x v="7"/>
    <n v="0.3"/>
    <x v="338"/>
    <x v="309"/>
    <n v="636.29999999999995"/>
    <x v="4"/>
  </r>
  <r>
    <x v="353"/>
    <x v="354"/>
    <x v="296"/>
    <x v="299"/>
    <x v="5"/>
    <x v="122"/>
    <x v="4"/>
    <x v="1"/>
    <x v="0"/>
    <x v="5"/>
    <n v="0.2"/>
    <x v="339"/>
    <x v="310"/>
    <n v="776"/>
    <x v="4"/>
  </r>
  <r>
    <x v="354"/>
    <x v="355"/>
    <x v="297"/>
    <x v="300"/>
    <x v="2"/>
    <x v="123"/>
    <x v="4"/>
    <x v="0"/>
    <x v="0"/>
    <x v="2"/>
    <n v="0.3"/>
    <x v="340"/>
    <x v="311"/>
    <n v="560"/>
    <x v="2"/>
  </r>
  <r>
    <x v="355"/>
    <x v="356"/>
    <x v="298"/>
    <x v="301"/>
    <x v="5"/>
    <x v="123"/>
    <x v="4"/>
    <x v="1"/>
    <x v="3"/>
    <x v="5"/>
    <n v="0.2"/>
    <x v="341"/>
    <x v="312"/>
    <n v="821.6"/>
    <x v="1"/>
  </r>
  <r>
    <x v="356"/>
    <x v="357"/>
    <x v="212"/>
    <x v="302"/>
    <x v="2"/>
    <x v="123"/>
    <x v="4"/>
    <x v="0"/>
    <x v="0"/>
    <x v="0"/>
    <n v="0.3"/>
    <x v="342"/>
    <x v="313"/>
    <n v="79.099999999999994"/>
    <x v="0"/>
  </r>
  <r>
    <x v="357"/>
    <x v="358"/>
    <x v="299"/>
    <x v="303"/>
    <x v="4"/>
    <x v="123"/>
    <x v="4"/>
    <x v="0"/>
    <x v="0"/>
    <x v="5"/>
    <n v="0.25"/>
    <x v="343"/>
    <x v="220"/>
    <n v="690"/>
    <x v="1"/>
  </r>
  <r>
    <x v="358"/>
    <x v="359"/>
    <x v="131"/>
    <x v="304"/>
    <x v="0"/>
    <x v="123"/>
    <x v="4"/>
    <x v="1"/>
    <x v="1"/>
    <x v="6"/>
    <n v="0.25"/>
    <x v="344"/>
    <x v="314"/>
    <n v="432"/>
    <x v="4"/>
  </r>
  <r>
    <x v="359"/>
    <x v="360"/>
    <x v="16"/>
    <x v="305"/>
    <x v="3"/>
    <x v="124"/>
    <x v="4"/>
    <x v="2"/>
    <x v="1"/>
    <x v="1"/>
    <n v="0.3"/>
    <x v="345"/>
    <x v="315"/>
    <n v="119.7"/>
    <x v="1"/>
  </r>
  <r>
    <x v="360"/>
    <x v="361"/>
    <x v="263"/>
    <x v="52"/>
    <x v="1"/>
    <x v="125"/>
    <x v="4"/>
    <x v="2"/>
    <x v="0"/>
    <x v="6"/>
    <n v="0.1"/>
    <x v="346"/>
    <x v="316"/>
    <n v="173.7"/>
    <x v="1"/>
  </r>
  <r>
    <x v="361"/>
    <x v="362"/>
    <x v="300"/>
    <x v="306"/>
    <x v="2"/>
    <x v="126"/>
    <x v="4"/>
    <x v="0"/>
    <x v="0"/>
    <x v="5"/>
    <n v="0.3"/>
    <x v="347"/>
    <x v="317"/>
    <n v="699.3"/>
    <x v="3"/>
  </r>
  <r>
    <x v="362"/>
    <x v="363"/>
    <x v="189"/>
    <x v="71"/>
    <x v="5"/>
    <x v="126"/>
    <x v="4"/>
    <x v="2"/>
    <x v="1"/>
    <x v="3"/>
    <n v="0.2"/>
    <x v="348"/>
    <x v="194"/>
    <n v="1326.4"/>
    <x v="2"/>
  </r>
  <r>
    <x v="363"/>
    <x v="364"/>
    <x v="301"/>
    <x v="307"/>
    <x v="0"/>
    <x v="126"/>
    <x v="4"/>
    <x v="2"/>
    <x v="0"/>
    <x v="1"/>
    <n v="0.25"/>
    <x v="349"/>
    <x v="318"/>
    <n v="1002.75"/>
    <x v="1"/>
  </r>
  <r>
    <x v="364"/>
    <x v="365"/>
    <x v="302"/>
    <x v="116"/>
    <x v="4"/>
    <x v="126"/>
    <x v="4"/>
    <x v="2"/>
    <x v="3"/>
    <x v="3"/>
    <n v="0.25"/>
    <x v="350"/>
    <x v="289"/>
    <n v="744.75"/>
    <x v="0"/>
  </r>
  <r>
    <x v="365"/>
    <x v="366"/>
    <x v="303"/>
    <x v="308"/>
    <x v="5"/>
    <x v="126"/>
    <x v="4"/>
    <x v="2"/>
    <x v="1"/>
    <x v="3"/>
    <n v="0.2"/>
    <x v="269"/>
    <x v="319"/>
    <n v="544.79999999999995"/>
    <x v="2"/>
  </r>
  <r>
    <x v="366"/>
    <x v="367"/>
    <x v="156"/>
    <x v="83"/>
    <x v="0"/>
    <x v="126"/>
    <x v="4"/>
    <x v="0"/>
    <x v="3"/>
    <x v="6"/>
    <n v="0.25"/>
    <x v="166"/>
    <x v="160"/>
    <n v="200.25"/>
    <x v="4"/>
  </r>
  <r>
    <x v="367"/>
    <x v="368"/>
    <x v="304"/>
    <x v="62"/>
    <x v="5"/>
    <x v="127"/>
    <x v="4"/>
    <x v="0"/>
    <x v="2"/>
    <x v="5"/>
    <n v="0.2"/>
    <x v="351"/>
    <x v="311"/>
    <n v="640"/>
    <x v="1"/>
  </r>
  <r>
    <x v="368"/>
    <x v="369"/>
    <x v="305"/>
    <x v="277"/>
    <x v="3"/>
    <x v="128"/>
    <x v="4"/>
    <x v="2"/>
    <x v="1"/>
    <x v="1"/>
    <n v="0.3"/>
    <x v="352"/>
    <x v="320"/>
    <n v="721"/>
    <x v="3"/>
  </r>
  <r>
    <x v="369"/>
    <x v="370"/>
    <x v="306"/>
    <x v="309"/>
    <x v="1"/>
    <x v="129"/>
    <x v="4"/>
    <x v="2"/>
    <x v="1"/>
    <x v="1"/>
    <n v="0.1"/>
    <x v="353"/>
    <x v="321"/>
    <n v="489.6"/>
    <x v="0"/>
  </r>
  <r>
    <x v="370"/>
    <x v="371"/>
    <x v="191"/>
    <x v="310"/>
    <x v="0"/>
    <x v="129"/>
    <x v="4"/>
    <x v="1"/>
    <x v="0"/>
    <x v="7"/>
    <n v="0.25"/>
    <x v="354"/>
    <x v="322"/>
    <n v="246.75"/>
    <x v="3"/>
  </r>
  <r>
    <x v="371"/>
    <x v="372"/>
    <x v="289"/>
    <x v="311"/>
    <x v="0"/>
    <x v="129"/>
    <x v="4"/>
    <x v="0"/>
    <x v="0"/>
    <x v="1"/>
    <n v="0.25"/>
    <x v="355"/>
    <x v="323"/>
    <n v="63.75"/>
    <x v="1"/>
  </r>
  <r>
    <x v="372"/>
    <x v="373"/>
    <x v="278"/>
    <x v="29"/>
    <x v="0"/>
    <x v="130"/>
    <x v="4"/>
    <x v="2"/>
    <x v="1"/>
    <x v="2"/>
    <n v="0.25"/>
    <x v="356"/>
    <x v="324"/>
    <n v="237"/>
    <x v="4"/>
  </r>
  <r>
    <x v="373"/>
    <x v="374"/>
    <x v="307"/>
    <x v="312"/>
    <x v="5"/>
    <x v="130"/>
    <x v="4"/>
    <x v="1"/>
    <x v="1"/>
    <x v="7"/>
    <n v="0.2"/>
    <x v="357"/>
    <x v="36"/>
    <n v="623.20000000000005"/>
    <x v="2"/>
  </r>
  <r>
    <x v="374"/>
    <x v="375"/>
    <x v="42"/>
    <x v="313"/>
    <x v="0"/>
    <x v="130"/>
    <x v="4"/>
    <x v="0"/>
    <x v="0"/>
    <x v="2"/>
    <n v="0.25"/>
    <x v="358"/>
    <x v="325"/>
    <n v="644.25"/>
    <x v="1"/>
  </r>
  <r>
    <x v="375"/>
    <x v="376"/>
    <x v="10"/>
    <x v="314"/>
    <x v="5"/>
    <x v="131"/>
    <x v="4"/>
    <x v="0"/>
    <x v="0"/>
    <x v="5"/>
    <n v="0.2"/>
    <x v="359"/>
    <x v="4"/>
    <n v="187.2"/>
    <x v="3"/>
  </r>
  <r>
    <x v="376"/>
    <x v="377"/>
    <x v="54"/>
    <x v="3"/>
    <x v="5"/>
    <x v="131"/>
    <x v="4"/>
    <x v="1"/>
    <x v="1"/>
    <x v="6"/>
    <n v="0.2"/>
    <x v="360"/>
    <x v="326"/>
    <n v="674.4"/>
    <x v="1"/>
  </r>
  <r>
    <x v="377"/>
    <x v="378"/>
    <x v="308"/>
    <x v="315"/>
    <x v="0"/>
    <x v="132"/>
    <x v="4"/>
    <x v="0"/>
    <x v="1"/>
    <x v="1"/>
    <n v="0.25"/>
    <x v="361"/>
    <x v="327"/>
    <n v="694.5"/>
    <x v="4"/>
  </r>
  <r>
    <x v="378"/>
    <x v="379"/>
    <x v="309"/>
    <x v="316"/>
    <x v="3"/>
    <x v="132"/>
    <x v="4"/>
    <x v="1"/>
    <x v="2"/>
    <x v="1"/>
    <n v="0.3"/>
    <x v="362"/>
    <x v="328"/>
    <n v="616.70000000000005"/>
    <x v="1"/>
  </r>
  <r>
    <x v="379"/>
    <x v="380"/>
    <x v="253"/>
    <x v="3"/>
    <x v="2"/>
    <x v="132"/>
    <x v="4"/>
    <x v="0"/>
    <x v="2"/>
    <x v="6"/>
    <n v="0.3"/>
    <x v="363"/>
    <x v="329"/>
    <n v="154"/>
    <x v="1"/>
  </r>
  <r>
    <x v="380"/>
    <x v="381"/>
    <x v="310"/>
    <x v="317"/>
    <x v="0"/>
    <x v="133"/>
    <x v="4"/>
    <x v="1"/>
    <x v="2"/>
    <x v="2"/>
    <n v="0.25"/>
    <x v="364"/>
    <x v="330"/>
    <n v="395.25"/>
    <x v="0"/>
  </r>
  <r>
    <x v="381"/>
    <x v="382"/>
    <x v="311"/>
    <x v="318"/>
    <x v="3"/>
    <x v="133"/>
    <x v="4"/>
    <x v="2"/>
    <x v="3"/>
    <x v="4"/>
    <n v="0.3"/>
    <x v="365"/>
    <x v="331"/>
    <n v="710.5"/>
    <x v="2"/>
  </r>
  <r>
    <x v="382"/>
    <x v="383"/>
    <x v="312"/>
    <x v="319"/>
    <x v="1"/>
    <x v="133"/>
    <x v="4"/>
    <x v="2"/>
    <x v="2"/>
    <x v="4"/>
    <n v="0.1"/>
    <x v="366"/>
    <x v="332"/>
    <n v="1182.5999999999999"/>
    <x v="2"/>
  </r>
  <r>
    <x v="383"/>
    <x v="384"/>
    <x v="180"/>
    <x v="320"/>
    <x v="4"/>
    <x v="133"/>
    <x v="4"/>
    <x v="1"/>
    <x v="3"/>
    <x v="5"/>
    <n v="0.25"/>
    <x v="367"/>
    <x v="333"/>
    <n v="997.5"/>
    <x v="2"/>
  </r>
  <r>
    <x v="384"/>
    <x v="385"/>
    <x v="313"/>
    <x v="317"/>
    <x v="4"/>
    <x v="134"/>
    <x v="4"/>
    <x v="2"/>
    <x v="1"/>
    <x v="4"/>
    <n v="0.25"/>
    <x v="100"/>
    <x v="96"/>
    <n v="781.5"/>
    <x v="0"/>
  </r>
  <r>
    <x v="385"/>
    <x v="386"/>
    <x v="314"/>
    <x v="321"/>
    <x v="3"/>
    <x v="134"/>
    <x v="4"/>
    <x v="2"/>
    <x v="1"/>
    <x v="6"/>
    <n v="0.3"/>
    <x v="368"/>
    <x v="334"/>
    <n v="746.9"/>
    <x v="0"/>
  </r>
  <r>
    <x v="386"/>
    <x v="387"/>
    <x v="315"/>
    <x v="119"/>
    <x v="0"/>
    <x v="135"/>
    <x v="4"/>
    <x v="2"/>
    <x v="0"/>
    <x v="1"/>
    <n v="0.25"/>
    <x v="369"/>
    <x v="335"/>
    <n v="291.75"/>
    <x v="0"/>
  </r>
  <r>
    <x v="387"/>
    <x v="388"/>
    <x v="316"/>
    <x v="177"/>
    <x v="3"/>
    <x v="135"/>
    <x v="4"/>
    <x v="0"/>
    <x v="1"/>
    <x v="4"/>
    <n v="0.3"/>
    <x v="370"/>
    <x v="336"/>
    <n v="1215.2"/>
    <x v="2"/>
  </r>
  <r>
    <x v="388"/>
    <x v="389"/>
    <x v="317"/>
    <x v="102"/>
    <x v="3"/>
    <x v="135"/>
    <x v="4"/>
    <x v="2"/>
    <x v="0"/>
    <x v="1"/>
    <n v="0.3"/>
    <x v="371"/>
    <x v="337"/>
    <n v="454.3"/>
    <x v="4"/>
  </r>
  <r>
    <x v="389"/>
    <x v="390"/>
    <x v="318"/>
    <x v="322"/>
    <x v="1"/>
    <x v="136"/>
    <x v="4"/>
    <x v="2"/>
    <x v="3"/>
    <x v="3"/>
    <n v="0.1"/>
    <x v="372"/>
    <x v="338"/>
    <n v="1316.7"/>
    <x v="2"/>
  </r>
  <r>
    <x v="390"/>
    <x v="391"/>
    <x v="160"/>
    <x v="323"/>
    <x v="0"/>
    <x v="136"/>
    <x v="4"/>
    <x v="0"/>
    <x v="0"/>
    <x v="3"/>
    <n v="0.25"/>
    <x v="373"/>
    <x v="339"/>
    <n v="562.5"/>
    <x v="2"/>
  </r>
  <r>
    <x v="391"/>
    <x v="392"/>
    <x v="290"/>
    <x v="324"/>
    <x v="1"/>
    <x v="136"/>
    <x v="4"/>
    <x v="0"/>
    <x v="1"/>
    <x v="1"/>
    <n v="0.1"/>
    <x v="374"/>
    <x v="340"/>
    <n v="335.7"/>
    <x v="3"/>
  </r>
  <r>
    <x v="392"/>
    <x v="393"/>
    <x v="319"/>
    <x v="196"/>
    <x v="5"/>
    <x v="137"/>
    <x v="4"/>
    <x v="1"/>
    <x v="3"/>
    <x v="5"/>
    <n v="0.2"/>
    <x v="375"/>
    <x v="341"/>
    <n v="411.2"/>
    <x v="3"/>
  </r>
  <r>
    <x v="393"/>
    <x v="394"/>
    <x v="282"/>
    <x v="325"/>
    <x v="5"/>
    <x v="137"/>
    <x v="4"/>
    <x v="0"/>
    <x v="1"/>
    <x v="2"/>
    <n v="0.2"/>
    <x v="376"/>
    <x v="342"/>
    <n v="659.2"/>
    <x v="1"/>
  </r>
  <r>
    <x v="394"/>
    <x v="395"/>
    <x v="320"/>
    <x v="326"/>
    <x v="2"/>
    <x v="138"/>
    <x v="5"/>
    <x v="2"/>
    <x v="0"/>
    <x v="1"/>
    <n v="0.3"/>
    <x v="377"/>
    <x v="343"/>
    <n v="225.4"/>
    <x v="3"/>
  </r>
  <r>
    <x v="395"/>
    <x v="396"/>
    <x v="321"/>
    <x v="327"/>
    <x v="0"/>
    <x v="138"/>
    <x v="5"/>
    <x v="0"/>
    <x v="3"/>
    <x v="2"/>
    <n v="0.25"/>
    <x v="378"/>
    <x v="344"/>
    <n v="543"/>
    <x v="3"/>
  </r>
  <r>
    <x v="396"/>
    <x v="397"/>
    <x v="322"/>
    <x v="198"/>
    <x v="4"/>
    <x v="138"/>
    <x v="5"/>
    <x v="0"/>
    <x v="1"/>
    <x v="0"/>
    <n v="0.25"/>
    <x v="379"/>
    <x v="345"/>
    <n v="903"/>
    <x v="1"/>
  </r>
  <r>
    <x v="397"/>
    <x v="398"/>
    <x v="323"/>
    <x v="328"/>
    <x v="4"/>
    <x v="138"/>
    <x v="5"/>
    <x v="1"/>
    <x v="1"/>
    <x v="7"/>
    <n v="0.25"/>
    <x v="380"/>
    <x v="144"/>
    <n v="235.5"/>
    <x v="3"/>
  </r>
  <r>
    <x v="398"/>
    <x v="399"/>
    <x v="324"/>
    <x v="329"/>
    <x v="1"/>
    <x v="139"/>
    <x v="5"/>
    <x v="2"/>
    <x v="3"/>
    <x v="7"/>
    <n v="0.1"/>
    <x v="381"/>
    <x v="346"/>
    <n v="168.3"/>
    <x v="0"/>
  </r>
  <r>
    <x v="399"/>
    <x v="400"/>
    <x v="77"/>
    <x v="330"/>
    <x v="5"/>
    <x v="140"/>
    <x v="5"/>
    <x v="0"/>
    <x v="1"/>
    <x v="7"/>
    <n v="0.2"/>
    <x v="382"/>
    <x v="347"/>
    <n v="444"/>
    <x v="4"/>
  </r>
  <r>
    <x v="400"/>
    <x v="401"/>
    <x v="8"/>
    <x v="331"/>
    <x v="5"/>
    <x v="140"/>
    <x v="5"/>
    <x v="0"/>
    <x v="1"/>
    <x v="5"/>
    <n v="0.2"/>
    <x v="383"/>
    <x v="348"/>
    <n v="884.8"/>
    <x v="2"/>
  </r>
  <r>
    <x v="401"/>
    <x v="402"/>
    <x v="320"/>
    <x v="89"/>
    <x v="4"/>
    <x v="140"/>
    <x v="5"/>
    <x v="2"/>
    <x v="0"/>
    <x v="0"/>
    <n v="0.25"/>
    <x v="42"/>
    <x v="41"/>
    <n v="1024.5"/>
    <x v="2"/>
  </r>
  <r>
    <x v="402"/>
    <x v="403"/>
    <x v="325"/>
    <x v="332"/>
    <x v="0"/>
    <x v="141"/>
    <x v="5"/>
    <x v="1"/>
    <x v="1"/>
    <x v="0"/>
    <n v="0.25"/>
    <x v="384"/>
    <x v="349"/>
    <n v="141.75"/>
    <x v="3"/>
  </r>
  <r>
    <x v="403"/>
    <x v="404"/>
    <x v="211"/>
    <x v="106"/>
    <x v="4"/>
    <x v="141"/>
    <x v="5"/>
    <x v="2"/>
    <x v="2"/>
    <x v="7"/>
    <n v="0.25"/>
    <x v="385"/>
    <x v="350"/>
    <n v="810"/>
    <x v="3"/>
  </r>
  <r>
    <x v="404"/>
    <x v="405"/>
    <x v="41"/>
    <x v="333"/>
    <x v="3"/>
    <x v="141"/>
    <x v="5"/>
    <x v="1"/>
    <x v="0"/>
    <x v="2"/>
    <n v="0.3"/>
    <x v="386"/>
    <x v="351"/>
    <n v="1076.5999999999999"/>
    <x v="2"/>
  </r>
  <r>
    <x v="405"/>
    <x v="406"/>
    <x v="137"/>
    <x v="15"/>
    <x v="2"/>
    <x v="142"/>
    <x v="5"/>
    <x v="2"/>
    <x v="0"/>
    <x v="0"/>
    <n v="0.3"/>
    <x v="387"/>
    <x v="352"/>
    <n v="782.6"/>
    <x v="4"/>
  </r>
  <r>
    <x v="406"/>
    <x v="407"/>
    <x v="326"/>
    <x v="334"/>
    <x v="2"/>
    <x v="142"/>
    <x v="5"/>
    <x v="0"/>
    <x v="0"/>
    <x v="1"/>
    <n v="0.3"/>
    <x v="53"/>
    <x v="52"/>
    <n v="830.9"/>
    <x v="3"/>
  </r>
  <r>
    <x v="407"/>
    <x v="408"/>
    <x v="327"/>
    <x v="335"/>
    <x v="5"/>
    <x v="143"/>
    <x v="5"/>
    <x v="2"/>
    <x v="3"/>
    <x v="3"/>
    <n v="0.2"/>
    <x v="388"/>
    <x v="353"/>
    <n v="1151.2"/>
    <x v="0"/>
  </r>
  <r>
    <x v="408"/>
    <x v="409"/>
    <x v="328"/>
    <x v="336"/>
    <x v="5"/>
    <x v="143"/>
    <x v="5"/>
    <x v="0"/>
    <x v="1"/>
    <x v="7"/>
    <n v="0.2"/>
    <x v="389"/>
    <x v="354"/>
    <n v="1216.8"/>
    <x v="0"/>
  </r>
  <r>
    <x v="409"/>
    <x v="410"/>
    <x v="329"/>
    <x v="337"/>
    <x v="1"/>
    <x v="144"/>
    <x v="5"/>
    <x v="0"/>
    <x v="0"/>
    <x v="2"/>
    <n v="0.1"/>
    <x v="390"/>
    <x v="355"/>
    <n v="1139.4000000000001"/>
    <x v="1"/>
  </r>
  <r>
    <x v="410"/>
    <x v="411"/>
    <x v="237"/>
    <x v="338"/>
    <x v="1"/>
    <x v="145"/>
    <x v="5"/>
    <x v="0"/>
    <x v="1"/>
    <x v="4"/>
    <n v="0.1"/>
    <x v="391"/>
    <x v="356"/>
    <n v="352.8"/>
    <x v="0"/>
  </r>
  <r>
    <x v="411"/>
    <x v="412"/>
    <x v="250"/>
    <x v="263"/>
    <x v="5"/>
    <x v="145"/>
    <x v="5"/>
    <x v="1"/>
    <x v="0"/>
    <x v="7"/>
    <n v="0.2"/>
    <x v="392"/>
    <x v="357"/>
    <n v="1067.2"/>
    <x v="0"/>
  </r>
  <r>
    <x v="412"/>
    <x v="413"/>
    <x v="330"/>
    <x v="339"/>
    <x v="1"/>
    <x v="145"/>
    <x v="5"/>
    <x v="0"/>
    <x v="1"/>
    <x v="3"/>
    <n v="0.1"/>
    <x v="393"/>
    <x v="358"/>
    <n v="963.9"/>
    <x v="4"/>
  </r>
  <r>
    <x v="413"/>
    <x v="414"/>
    <x v="331"/>
    <x v="340"/>
    <x v="4"/>
    <x v="145"/>
    <x v="5"/>
    <x v="0"/>
    <x v="1"/>
    <x v="5"/>
    <n v="0.25"/>
    <x v="394"/>
    <x v="359"/>
    <n v="1283.25"/>
    <x v="1"/>
  </r>
  <r>
    <x v="414"/>
    <x v="415"/>
    <x v="332"/>
    <x v="341"/>
    <x v="1"/>
    <x v="146"/>
    <x v="5"/>
    <x v="1"/>
    <x v="1"/>
    <x v="1"/>
    <n v="0.1"/>
    <x v="395"/>
    <x v="360"/>
    <n v="1176.3"/>
    <x v="3"/>
  </r>
  <r>
    <x v="415"/>
    <x v="416"/>
    <x v="333"/>
    <x v="342"/>
    <x v="0"/>
    <x v="146"/>
    <x v="5"/>
    <x v="2"/>
    <x v="1"/>
    <x v="7"/>
    <n v="0.25"/>
    <x v="396"/>
    <x v="361"/>
    <n v="955.5"/>
    <x v="2"/>
  </r>
  <r>
    <x v="416"/>
    <x v="417"/>
    <x v="322"/>
    <x v="130"/>
    <x v="3"/>
    <x v="146"/>
    <x v="5"/>
    <x v="1"/>
    <x v="1"/>
    <x v="0"/>
    <n v="0.3"/>
    <x v="397"/>
    <x v="362"/>
    <n v="251.3"/>
    <x v="1"/>
  </r>
  <r>
    <x v="417"/>
    <x v="418"/>
    <x v="120"/>
    <x v="103"/>
    <x v="2"/>
    <x v="147"/>
    <x v="5"/>
    <x v="1"/>
    <x v="1"/>
    <x v="0"/>
    <n v="0.3"/>
    <x v="398"/>
    <x v="363"/>
    <n v="1332.8"/>
    <x v="0"/>
  </r>
  <r>
    <x v="418"/>
    <x v="419"/>
    <x v="319"/>
    <x v="343"/>
    <x v="3"/>
    <x v="147"/>
    <x v="5"/>
    <x v="2"/>
    <x v="3"/>
    <x v="2"/>
    <n v="0.3"/>
    <x v="399"/>
    <x v="364"/>
    <n v="606.20000000000005"/>
    <x v="1"/>
  </r>
  <r>
    <x v="419"/>
    <x v="420"/>
    <x v="334"/>
    <x v="344"/>
    <x v="5"/>
    <x v="147"/>
    <x v="5"/>
    <x v="0"/>
    <x v="2"/>
    <x v="2"/>
    <n v="0.2"/>
    <x v="400"/>
    <x v="272"/>
    <n v="272.8"/>
    <x v="2"/>
  </r>
  <r>
    <x v="420"/>
    <x v="421"/>
    <x v="103"/>
    <x v="345"/>
    <x v="0"/>
    <x v="148"/>
    <x v="5"/>
    <x v="0"/>
    <x v="0"/>
    <x v="4"/>
    <n v="0.25"/>
    <x v="401"/>
    <x v="365"/>
    <n v="238.5"/>
    <x v="3"/>
  </r>
  <r>
    <x v="421"/>
    <x v="422"/>
    <x v="44"/>
    <x v="346"/>
    <x v="4"/>
    <x v="148"/>
    <x v="5"/>
    <x v="2"/>
    <x v="3"/>
    <x v="1"/>
    <n v="0.25"/>
    <x v="402"/>
    <x v="366"/>
    <n v="996"/>
    <x v="2"/>
  </r>
  <r>
    <x v="422"/>
    <x v="423"/>
    <x v="335"/>
    <x v="346"/>
    <x v="0"/>
    <x v="148"/>
    <x v="5"/>
    <x v="1"/>
    <x v="1"/>
    <x v="2"/>
    <n v="0.25"/>
    <x v="403"/>
    <x v="367"/>
    <n v="1235.25"/>
    <x v="3"/>
  </r>
  <r>
    <x v="423"/>
    <x v="424"/>
    <x v="336"/>
    <x v="347"/>
    <x v="1"/>
    <x v="148"/>
    <x v="5"/>
    <x v="1"/>
    <x v="1"/>
    <x v="4"/>
    <n v="0.1"/>
    <x v="404"/>
    <x v="368"/>
    <n v="1330.2"/>
    <x v="3"/>
  </r>
  <r>
    <x v="424"/>
    <x v="425"/>
    <x v="337"/>
    <x v="348"/>
    <x v="3"/>
    <x v="149"/>
    <x v="5"/>
    <x v="0"/>
    <x v="1"/>
    <x v="1"/>
    <n v="0.3"/>
    <x v="405"/>
    <x v="369"/>
    <n v="1173.9000000000001"/>
    <x v="0"/>
  </r>
  <r>
    <x v="425"/>
    <x v="426"/>
    <x v="334"/>
    <x v="349"/>
    <x v="5"/>
    <x v="149"/>
    <x v="5"/>
    <x v="2"/>
    <x v="3"/>
    <x v="6"/>
    <n v="0.2"/>
    <x v="406"/>
    <x v="370"/>
    <n v="124"/>
    <x v="4"/>
  </r>
  <r>
    <x v="426"/>
    <x v="427"/>
    <x v="338"/>
    <x v="335"/>
    <x v="4"/>
    <x v="149"/>
    <x v="5"/>
    <x v="2"/>
    <x v="1"/>
    <x v="5"/>
    <n v="0.25"/>
    <x v="407"/>
    <x v="371"/>
    <n v="862.5"/>
    <x v="3"/>
  </r>
  <r>
    <x v="427"/>
    <x v="428"/>
    <x v="202"/>
    <x v="245"/>
    <x v="0"/>
    <x v="149"/>
    <x v="5"/>
    <x v="1"/>
    <x v="0"/>
    <x v="7"/>
    <n v="0.25"/>
    <x v="408"/>
    <x v="372"/>
    <n v="576"/>
    <x v="1"/>
  </r>
  <r>
    <x v="428"/>
    <x v="429"/>
    <x v="339"/>
    <x v="350"/>
    <x v="2"/>
    <x v="150"/>
    <x v="5"/>
    <x v="1"/>
    <x v="1"/>
    <x v="2"/>
    <n v="0.3"/>
    <x v="409"/>
    <x v="373"/>
    <n v="829.5"/>
    <x v="3"/>
  </r>
  <r>
    <x v="429"/>
    <x v="430"/>
    <x v="340"/>
    <x v="351"/>
    <x v="1"/>
    <x v="150"/>
    <x v="5"/>
    <x v="1"/>
    <x v="0"/>
    <x v="7"/>
    <n v="0.1"/>
    <x v="410"/>
    <x v="374"/>
    <n v="150.30000000000001"/>
    <x v="1"/>
  </r>
  <r>
    <x v="430"/>
    <x v="431"/>
    <x v="341"/>
    <x v="352"/>
    <x v="2"/>
    <x v="151"/>
    <x v="5"/>
    <x v="0"/>
    <x v="0"/>
    <x v="4"/>
    <n v="0.3"/>
    <x v="411"/>
    <x v="375"/>
    <n v="1084.3"/>
    <x v="2"/>
  </r>
  <r>
    <x v="431"/>
    <x v="432"/>
    <x v="342"/>
    <x v="353"/>
    <x v="2"/>
    <x v="151"/>
    <x v="5"/>
    <x v="1"/>
    <x v="3"/>
    <x v="6"/>
    <n v="0.3"/>
    <x v="412"/>
    <x v="376"/>
    <n v="1258.5999999999999"/>
    <x v="1"/>
  </r>
  <r>
    <x v="432"/>
    <x v="433"/>
    <x v="343"/>
    <x v="108"/>
    <x v="1"/>
    <x v="151"/>
    <x v="5"/>
    <x v="2"/>
    <x v="0"/>
    <x v="2"/>
    <n v="0.1"/>
    <x v="413"/>
    <x v="377"/>
    <n v="1298.7"/>
    <x v="4"/>
  </r>
  <r>
    <x v="433"/>
    <x v="434"/>
    <x v="344"/>
    <x v="354"/>
    <x v="0"/>
    <x v="151"/>
    <x v="5"/>
    <x v="1"/>
    <x v="0"/>
    <x v="1"/>
    <n v="0.25"/>
    <x v="414"/>
    <x v="88"/>
    <n v="380.25"/>
    <x v="1"/>
  </r>
  <r>
    <x v="434"/>
    <x v="435"/>
    <x v="345"/>
    <x v="355"/>
    <x v="4"/>
    <x v="152"/>
    <x v="5"/>
    <x v="2"/>
    <x v="1"/>
    <x v="5"/>
    <n v="0.25"/>
    <x v="415"/>
    <x v="378"/>
    <n v="490.5"/>
    <x v="0"/>
  </r>
  <r>
    <x v="435"/>
    <x v="436"/>
    <x v="346"/>
    <x v="225"/>
    <x v="0"/>
    <x v="152"/>
    <x v="5"/>
    <x v="2"/>
    <x v="1"/>
    <x v="2"/>
    <n v="0.25"/>
    <x v="416"/>
    <x v="379"/>
    <n v="540"/>
    <x v="1"/>
  </r>
  <r>
    <x v="436"/>
    <x v="437"/>
    <x v="347"/>
    <x v="347"/>
    <x v="2"/>
    <x v="153"/>
    <x v="5"/>
    <x v="2"/>
    <x v="3"/>
    <x v="0"/>
    <n v="0.3"/>
    <x v="417"/>
    <x v="188"/>
    <n v="72.099999999999994"/>
    <x v="3"/>
  </r>
  <r>
    <x v="437"/>
    <x v="438"/>
    <x v="286"/>
    <x v="14"/>
    <x v="2"/>
    <x v="153"/>
    <x v="5"/>
    <x v="1"/>
    <x v="3"/>
    <x v="4"/>
    <n v="0.3"/>
    <x v="418"/>
    <x v="380"/>
    <n v="1147.3"/>
    <x v="3"/>
  </r>
  <r>
    <x v="438"/>
    <x v="439"/>
    <x v="348"/>
    <x v="356"/>
    <x v="4"/>
    <x v="153"/>
    <x v="5"/>
    <x v="2"/>
    <x v="0"/>
    <x v="3"/>
    <n v="0.25"/>
    <x v="419"/>
    <x v="381"/>
    <n v="148.5"/>
    <x v="2"/>
  </r>
  <r>
    <x v="439"/>
    <x v="440"/>
    <x v="349"/>
    <x v="357"/>
    <x v="0"/>
    <x v="154"/>
    <x v="5"/>
    <x v="0"/>
    <x v="2"/>
    <x v="1"/>
    <n v="0.25"/>
    <x v="420"/>
    <x v="382"/>
    <n v="197.25"/>
    <x v="3"/>
  </r>
  <r>
    <x v="440"/>
    <x v="441"/>
    <x v="350"/>
    <x v="123"/>
    <x v="4"/>
    <x v="155"/>
    <x v="5"/>
    <x v="1"/>
    <x v="3"/>
    <x v="7"/>
    <n v="0.25"/>
    <x v="421"/>
    <x v="383"/>
    <n v="1371.75"/>
    <x v="1"/>
  </r>
  <r>
    <x v="441"/>
    <x v="442"/>
    <x v="351"/>
    <x v="358"/>
    <x v="1"/>
    <x v="155"/>
    <x v="5"/>
    <x v="0"/>
    <x v="1"/>
    <x v="3"/>
    <n v="0.1"/>
    <x v="422"/>
    <x v="384"/>
    <n v="442.8"/>
    <x v="2"/>
  </r>
  <r>
    <x v="442"/>
    <x v="443"/>
    <x v="171"/>
    <x v="359"/>
    <x v="0"/>
    <x v="155"/>
    <x v="5"/>
    <x v="2"/>
    <x v="1"/>
    <x v="1"/>
    <n v="0.25"/>
    <x v="139"/>
    <x v="134"/>
    <n v="969.75"/>
    <x v="0"/>
  </r>
  <r>
    <x v="443"/>
    <x v="444"/>
    <x v="215"/>
    <x v="360"/>
    <x v="0"/>
    <x v="155"/>
    <x v="5"/>
    <x v="1"/>
    <x v="0"/>
    <x v="3"/>
    <n v="0.25"/>
    <x v="423"/>
    <x v="385"/>
    <n v="1063.5"/>
    <x v="4"/>
  </r>
  <r>
    <x v="444"/>
    <x v="445"/>
    <x v="352"/>
    <x v="180"/>
    <x v="5"/>
    <x v="155"/>
    <x v="5"/>
    <x v="0"/>
    <x v="1"/>
    <x v="7"/>
    <n v="0.2"/>
    <x v="424"/>
    <x v="386"/>
    <n v="611.20000000000005"/>
    <x v="3"/>
  </r>
  <r>
    <x v="445"/>
    <x v="446"/>
    <x v="353"/>
    <x v="99"/>
    <x v="3"/>
    <x v="155"/>
    <x v="5"/>
    <x v="1"/>
    <x v="2"/>
    <x v="0"/>
    <n v="0.3"/>
    <x v="425"/>
    <x v="379"/>
    <n v="504"/>
    <x v="2"/>
  </r>
  <r>
    <x v="446"/>
    <x v="447"/>
    <x v="67"/>
    <x v="193"/>
    <x v="3"/>
    <x v="156"/>
    <x v="5"/>
    <x v="1"/>
    <x v="2"/>
    <x v="1"/>
    <n v="0.3"/>
    <x v="426"/>
    <x v="348"/>
    <n v="774.2"/>
    <x v="0"/>
  </r>
  <r>
    <x v="447"/>
    <x v="448"/>
    <x v="286"/>
    <x v="334"/>
    <x v="5"/>
    <x v="156"/>
    <x v="5"/>
    <x v="2"/>
    <x v="1"/>
    <x v="7"/>
    <n v="0.2"/>
    <x v="402"/>
    <x v="387"/>
    <n v="1328"/>
    <x v="0"/>
  </r>
  <r>
    <x v="448"/>
    <x v="449"/>
    <x v="193"/>
    <x v="361"/>
    <x v="3"/>
    <x v="156"/>
    <x v="5"/>
    <x v="1"/>
    <x v="0"/>
    <x v="7"/>
    <n v="0.3"/>
    <x v="427"/>
    <x v="388"/>
    <n v="854.7"/>
    <x v="3"/>
  </r>
  <r>
    <x v="449"/>
    <x v="450"/>
    <x v="23"/>
    <x v="128"/>
    <x v="0"/>
    <x v="157"/>
    <x v="5"/>
    <x v="2"/>
    <x v="1"/>
    <x v="6"/>
    <n v="0.25"/>
    <x v="428"/>
    <x v="389"/>
    <n v="210"/>
    <x v="1"/>
  </r>
  <r>
    <x v="450"/>
    <x v="451"/>
    <x v="93"/>
    <x v="362"/>
    <x v="2"/>
    <x v="157"/>
    <x v="5"/>
    <x v="2"/>
    <x v="1"/>
    <x v="4"/>
    <n v="0.3"/>
    <x v="429"/>
    <x v="390"/>
    <n v="394.1"/>
    <x v="3"/>
  </r>
  <r>
    <x v="451"/>
    <x v="452"/>
    <x v="166"/>
    <x v="177"/>
    <x v="3"/>
    <x v="157"/>
    <x v="5"/>
    <x v="0"/>
    <x v="3"/>
    <x v="7"/>
    <n v="0.3"/>
    <x v="430"/>
    <x v="391"/>
    <n v="487.2"/>
    <x v="3"/>
  </r>
  <r>
    <x v="452"/>
    <x v="453"/>
    <x v="354"/>
    <x v="108"/>
    <x v="0"/>
    <x v="158"/>
    <x v="5"/>
    <x v="2"/>
    <x v="3"/>
    <x v="2"/>
    <n v="0.25"/>
    <x v="431"/>
    <x v="392"/>
    <n v="900"/>
    <x v="0"/>
  </r>
  <r>
    <x v="453"/>
    <x v="454"/>
    <x v="333"/>
    <x v="25"/>
    <x v="1"/>
    <x v="158"/>
    <x v="5"/>
    <x v="2"/>
    <x v="0"/>
    <x v="1"/>
    <n v="0.1"/>
    <x v="432"/>
    <x v="281"/>
    <n v="908.1"/>
    <x v="4"/>
  </r>
  <r>
    <x v="454"/>
    <x v="455"/>
    <x v="355"/>
    <x v="363"/>
    <x v="2"/>
    <x v="159"/>
    <x v="5"/>
    <x v="2"/>
    <x v="1"/>
    <x v="7"/>
    <n v="0.3"/>
    <x v="433"/>
    <x v="66"/>
    <n v="418.6"/>
    <x v="3"/>
  </r>
  <r>
    <x v="455"/>
    <x v="456"/>
    <x v="356"/>
    <x v="36"/>
    <x v="0"/>
    <x v="159"/>
    <x v="5"/>
    <x v="2"/>
    <x v="1"/>
    <x v="5"/>
    <n v="0.25"/>
    <x v="434"/>
    <x v="393"/>
    <n v="492"/>
    <x v="4"/>
  </r>
  <r>
    <x v="456"/>
    <x v="457"/>
    <x v="108"/>
    <x v="364"/>
    <x v="1"/>
    <x v="160"/>
    <x v="5"/>
    <x v="1"/>
    <x v="0"/>
    <x v="1"/>
    <n v="0.1"/>
    <x v="435"/>
    <x v="394"/>
    <n v="1360.8"/>
    <x v="0"/>
  </r>
  <r>
    <x v="457"/>
    <x v="458"/>
    <x v="357"/>
    <x v="78"/>
    <x v="0"/>
    <x v="160"/>
    <x v="5"/>
    <x v="1"/>
    <x v="0"/>
    <x v="3"/>
    <n v="0.25"/>
    <x v="436"/>
    <x v="395"/>
    <n v="794.25"/>
    <x v="4"/>
  </r>
  <r>
    <x v="458"/>
    <x v="459"/>
    <x v="358"/>
    <x v="365"/>
    <x v="1"/>
    <x v="161"/>
    <x v="5"/>
    <x v="2"/>
    <x v="1"/>
    <x v="6"/>
    <n v="0.1"/>
    <x v="437"/>
    <x v="396"/>
    <n v="688.5"/>
    <x v="3"/>
  </r>
  <r>
    <x v="459"/>
    <x v="460"/>
    <x v="335"/>
    <x v="366"/>
    <x v="1"/>
    <x v="161"/>
    <x v="5"/>
    <x v="0"/>
    <x v="0"/>
    <x v="5"/>
    <n v="0.1"/>
    <x v="56"/>
    <x v="397"/>
    <n v="707.4"/>
    <x v="0"/>
  </r>
  <r>
    <x v="460"/>
    <x v="461"/>
    <x v="359"/>
    <x v="294"/>
    <x v="4"/>
    <x v="161"/>
    <x v="5"/>
    <x v="2"/>
    <x v="3"/>
    <x v="2"/>
    <n v="0.25"/>
    <x v="438"/>
    <x v="398"/>
    <n v="1234.5"/>
    <x v="4"/>
  </r>
  <r>
    <x v="461"/>
    <x v="462"/>
    <x v="256"/>
    <x v="237"/>
    <x v="0"/>
    <x v="161"/>
    <x v="5"/>
    <x v="1"/>
    <x v="1"/>
    <x v="7"/>
    <n v="0.25"/>
    <x v="439"/>
    <x v="399"/>
    <n v="81"/>
    <x v="0"/>
  </r>
  <r>
    <x v="462"/>
    <x v="463"/>
    <x v="360"/>
    <x v="367"/>
    <x v="4"/>
    <x v="162"/>
    <x v="5"/>
    <x v="0"/>
    <x v="1"/>
    <x v="5"/>
    <n v="0.25"/>
    <x v="440"/>
    <x v="400"/>
    <n v="170.25"/>
    <x v="4"/>
  </r>
  <r>
    <x v="463"/>
    <x v="464"/>
    <x v="361"/>
    <x v="368"/>
    <x v="0"/>
    <x v="162"/>
    <x v="5"/>
    <x v="0"/>
    <x v="0"/>
    <x v="6"/>
    <n v="0.25"/>
    <x v="441"/>
    <x v="401"/>
    <n v="309.75"/>
    <x v="2"/>
  </r>
  <r>
    <x v="464"/>
    <x v="465"/>
    <x v="362"/>
    <x v="369"/>
    <x v="0"/>
    <x v="162"/>
    <x v="5"/>
    <x v="1"/>
    <x v="2"/>
    <x v="2"/>
    <n v="0.25"/>
    <x v="442"/>
    <x v="402"/>
    <n v="1089.75"/>
    <x v="0"/>
  </r>
  <r>
    <x v="465"/>
    <x v="466"/>
    <x v="363"/>
    <x v="370"/>
    <x v="2"/>
    <x v="162"/>
    <x v="5"/>
    <x v="1"/>
    <x v="0"/>
    <x v="5"/>
    <n v="0.3"/>
    <x v="443"/>
    <x v="403"/>
    <n v="125.3"/>
    <x v="4"/>
  </r>
  <r>
    <x v="466"/>
    <x v="467"/>
    <x v="60"/>
    <x v="253"/>
    <x v="1"/>
    <x v="162"/>
    <x v="5"/>
    <x v="2"/>
    <x v="0"/>
    <x v="7"/>
    <n v="0.1"/>
    <x v="444"/>
    <x v="404"/>
    <n v="179.1"/>
    <x v="4"/>
  </r>
  <r>
    <x v="467"/>
    <x v="468"/>
    <x v="364"/>
    <x v="342"/>
    <x v="2"/>
    <x v="163"/>
    <x v="5"/>
    <x v="1"/>
    <x v="0"/>
    <x v="5"/>
    <n v="0.3"/>
    <x v="445"/>
    <x v="405"/>
    <n v="1039.5"/>
    <x v="3"/>
  </r>
  <r>
    <x v="468"/>
    <x v="469"/>
    <x v="49"/>
    <x v="296"/>
    <x v="5"/>
    <x v="163"/>
    <x v="5"/>
    <x v="1"/>
    <x v="1"/>
    <x v="2"/>
    <n v="0.2"/>
    <x v="446"/>
    <x v="198"/>
    <n v="424"/>
    <x v="2"/>
  </r>
  <r>
    <x v="469"/>
    <x v="470"/>
    <x v="129"/>
    <x v="371"/>
    <x v="0"/>
    <x v="163"/>
    <x v="5"/>
    <x v="0"/>
    <x v="0"/>
    <x v="4"/>
    <n v="0.25"/>
    <x v="437"/>
    <x v="406"/>
    <n v="229.5"/>
    <x v="3"/>
  </r>
  <r>
    <x v="470"/>
    <x v="471"/>
    <x v="365"/>
    <x v="372"/>
    <x v="3"/>
    <x v="164"/>
    <x v="5"/>
    <x v="2"/>
    <x v="1"/>
    <x v="1"/>
    <n v="0.3"/>
    <x v="447"/>
    <x v="407"/>
    <n v="1115.8"/>
    <x v="2"/>
  </r>
  <r>
    <x v="471"/>
    <x v="472"/>
    <x v="366"/>
    <x v="358"/>
    <x v="1"/>
    <x v="164"/>
    <x v="5"/>
    <x v="2"/>
    <x v="0"/>
    <x v="6"/>
    <n v="0.1"/>
    <x v="448"/>
    <x v="222"/>
    <n v="721.8"/>
    <x v="2"/>
  </r>
  <r>
    <x v="472"/>
    <x v="473"/>
    <x v="367"/>
    <x v="373"/>
    <x v="5"/>
    <x v="164"/>
    <x v="5"/>
    <x v="2"/>
    <x v="0"/>
    <x v="4"/>
    <n v="0.2"/>
    <x v="449"/>
    <x v="408"/>
    <n v="101.6"/>
    <x v="3"/>
  </r>
  <r>
    <x v="473"/>
    <x v="474"/>
    <x v="368"/>
    <x v="374"/>
    <x v="0"/>
    <x v="164"/>
    <x v="5"/>
    <x v="1"/>
    <x v="0"/>
    <x v="5"/>
    <n v="0.25"/>
    <x v="450"/>
    <x v="29"/>
    <n v="159"/>
    <x v="3"/>
  </r>
  <r>
    <x v="474"/>
    <x v="475"/>
    <x v="206"/>
    <x v="120"/>
    <x v="4"/>
    <x v="165"/>
    <x v="5"/>
    <x v="0"/>
    <x v="1"/>
    <x v="2"/>
    <n v="0.25"/>
    <x v="451"/>
    <x v="409"/>
    <n v="625.5"/>
    <x v="4"/>
  </r>
  <r>
    <x v="475"/>
    <x v="476"/>
    <x v="369"/>
    <x v="375"/>
    <x v="1"/>
    <x v="166"/>
    <x v="5"/>
    <x v="2"/>
    <x v="0"/>
    <x v="1"/>
    <n v="0.1"/>
    <x v="452"/>
    <x v="152"/>
    <n v="332.1"/>
    <x v="4"/>
  </r>
  <r>
    <x v="476"/>
    <x v="477"/>
    <x v="316"/>
    <x v="376"/>
    <x v="5"/>
    <x v="167"/>
    <x v="6"/>
    <x v="0"/>
    <x v="1"/>
    <x v="1"/>
    <n v="0.2"/>
    <x v="453"/>
    <x v="199"/>
    <n v="1211.2"/>
    <x v="2"/>
  </r>
  <r>
    <x v="477"/>
    <x v="478"/>
    <x v="174"/>
    <x v="377"/>
    <x v="0"/>
    <x v="167"/>
    <x v="6"/>
    <x v="1"/>
    <x v="1"/>
    <x v="1"/>
    <n v="0.25"/>
    <x v="454"/>
    <x v="212"/>
    <n v="353.25"/>
    <x v="3"/>
  </r>
  <r>
    <x v="478"/>
    <x v="479"/>
    <x v="370"/>
    <x v="378"/>
    <x v="1"/>
    <x v="167"/>
    <x v="6"/>
    <x v="2"/>
    <x v="3"/>
    <x v="0"/>
    <n v="0.1"/>
    <x v="455"/>
    <x v="410"/>
    <n v="815.4"/>
    <x v="0"/>
  </r>
  <r>
    <x v="479"/>
    <x v="480"/>
    <x v="371"/>
    <x v="226"/>
    <x v="5"/>
    <x v="168"/>
    <x v="6"/>
    <x v="2"/>
    <x v="0"/>
    <x v="6"/>
    <n v="0.2"/>
    <x v="456"/>
    <x v="411"/>
    <n v="1124.8"/>
    <x v="2"/>
  </r>
  <r>
    <x v="480"/>
    <x v="481"/>
    <x v="295"/>
    <x v="63"/>
    <x v="0"/>
    <x v="168"/>
    <x v="6"/>
    <x v="0"/>
    <x v="1"/>
    <x v="4"/>
    <n v="0.25"/>
    <x v="457"/>
    <x v="369"/>
    <n v="1257.75"/>
    <x v="1"/>
  </r>
  <r>
    <x v="481"/>
    <x v="482"/>
    <x v="372"/>
    <x v="117"/>
    <x v="0"/>
    <x v="168"/>
    <x v="6"/>
    <x v="0"/>
    <x v="3"/>
    <x v="6"/>
    <n v="0.25"/>
    <x v="458"/>
    <x v="412"/>
    <n v="735.75"/>
    <x v="4"/>
  </r>
  <r>
    <x v="482"/>
    <x v="483"/>
    <x v="373"/>
    <x v="271"/>
    <x v="0"/>
    <x v="169"/>
    <x v="6"/>
    <x v="2"/>
    <x v="0"/>
    <x v="0"/>
    <n v="0.25"/>
    <x v="459"/>
    <x v="413"/>
    <n v="50.25"/>
    <x v="2"/>
  </r>
  <r>
    <x v="483"/>
    <x v="484"/>
    <x v="374"/>
    <x v="255"/>
    <x v="0"/>
    <x v="169"/>
    <x v="6"/>
    <x v="0"/>
    <x v="0"/>
    <x v="5"/>
    <n v="0.25"/>
    <x v="460"/>
    <x v="414"/>
    <n v="661.5"/>
    <x v="3"/>
  </r>
  <r>
    <x v="484"/>
    <x v="485"/>
    <x v="375"/>
    <x v="252"/>
    <x v="5"/>
    <x v="169"/>
    <x v="6"/>
    <x v="2"/>
    <x v="1"/>
    <x v="4"/>
    <n v="0.2"/>
    <x v="461"/>
    <x v="415"/>
    <n v="365.6"/>
    <x v="1"/>
  </r>
  <r>
    <x v="485"/>
    <x v="486"/>
    <x v="356"/>
    <x v="379"/>
    <x v="2"/>
    <x v="169"/>
    <x v="6"/>
    <x v="1"/>
    <x v="1"/>
    <x v="7"/>
    <n v="0.3"/>
    <x v="462"/>
    <x v="416"/>
    <n v="991.2"/>
    <x v="3"/>
  </r>
  <r>
    <x v="486"/>
    <x v="487"/>
    <x v="376"/>
    <x v="139"/>
    <x v="2"/>
    <x v="169"/>
    <x v="6"/>
    <x v="2"/>
    <x v="1"/>
    <x v="7"/>
    <n v="0.3"/>
    <x v="277"/>
    <x v="417"/>
    <n v="56"/>
    <x v="3"/>
  </r>
  <r>
    <x v="487"/>
    <x v="488"/>
    <x v="377"/>
    <x v="380"/>
    <x v="0"/>
    <x v="169"/>
    <x v="6"/>
    <x v="2"/>
    <x v="0"/>
    <x v="5"/>
    <n v="0.25"/>
    <x v="463"/>
    <x v="418"/>
    <n v="375.75"/>
    <x v="1"/>
  </r>
  <r>
    <x v="488"/>
    <x v="489"/>
    <x v="378"/>
    <x v="381"/>
    <x v="4"/>
    <x v="170"/>
    <x v="6"/>
    <x v="1"/>
    <x v="2"/>
    <x v="6"/>
    <n v="0.25"/>
    <x v="123"/>
    <x v="119"/>
    <n v="857.25"/>
    <x v="2"/>
  </r>
  <r>
    <x v="489"/>
    <x v="490"/>
    <x v="12"/>
    <x v="382"/>
    <x v="3"/>
    <x v="171"/>
    <x v="6"/>
    <x v="2"/>
    <x v="0"/>
    <x v="2"/>
    <n v="0.3"/>
    <x v="464"/>
    <x v="419"/>
    <n v="1080.8"/>
    <x v="4"/>
  </r>
  <r>
    <x v="490"/>
    <x v="491"/>
    <x v="109"/>
    <x v="165"/>
    <x v="3"/>
    <x v="171"/>
    <x v="6"/>
    <x v="1"/>
    <x v="1"/>
    <x v="2"/>
    <n v="0.3"/>
    <x v="465"/>
    <x v="420"/>
    <n v="482.3"/>
    <x v="4"/>
  </r>
  <r>
    <x v="491"/>
    <x v="492"/>
    <x v="126"/>
    <x v="383"/>
    <x v="0"/>
    <x v="172"/>
    <x v="6"/>
    <x v="1"/>
    <x v="0"/>
    <x v="4"/>
    <n v="0.25"/>
    <x v="263"/>
    <x v="421"/>
    <n v="1125"/>
    <x v="1"/>
  </r>
  <r>
    <x v="492"/>
    <x v="493"/>
    <x v="164"/>
    <x v="384"/>
    <x v="1"/>
    <x v="173"/>
    <x v="6"/>
    <x v="0"/>
    <x v="0"/>
    <x v="2"/>
    <n v="0.1"/>
    <x v="466"/>
    <x v="213"/>
    <n v="1508.4"/>
    <x v="2"/>
  </r>
  <r>
    <x v="493"/>
    <x v="494"/>
    <x v="379"/>
    <x v="385"/>
    <x v="1"/>
    <x v="173"/>
    <x v="6"/>
    <x v="2"/>
    <x v="1"/>
    <x v="6"/>
    <n v="0.1"/>
    <x v="467"/>
    <x v="422"/>
    <n v="325.8"/>
    <x v="1"/>
  </r>
  <r>
    <x v="494"/>
    <x v="495"/>
    <x v="380"/>
    <x v="386"/>
    <x v="2"/>
    <x v="173"/>
    <x v="6"/>
    <x v="1"/>
    <x v="1"/>
    <x v="2"/>
    <n v="0.3"/>
    <x v="452"/>
    <x v="423"/>
    <n v="86.1"/>
    <x v="0"/>
  </r>
  <r>
    <x v="495"/>
    <x v="496"/>
    <x v="381"/>
    <x v="324"/>
    <x v="4"/>
    <x v="174"/>
    <x v="6"/>
    <x v="2"/>
    <x v="1"/>
    <x v="6"/>
    <n v="0.25"/>
    <x v="468"/>
    <x v="424"/>
    <n v="777.75"/>
    <x v="2"/>
  </r>
  <r>
    <x v="496"/>
    <x v="497"/>
    <x v="382"/>
    <x v="108"/>
    <x v="2"/>
    <x v="174"/>
    <x v="6"/>
    <x v="1"/>
    <x v="1"/>
    <x v="5"/>
    <n v="0.3"/>
    <x v="469"/>
    <x v="159"/>
    <n v="326.2"/>
    <x v="4"/>
  </r>
  <r>
    <x v="497"/>
    <x v="498"/>
    <x v="134"/>
    <x v="31"/>
    <x v="5"/>
    <x v="175"/>
    <x v="6"/>
    <x v="0"/>
    <x v="2"/>
    <x v="4"/>
    <n v="0.2"/>
    <x v="470"/>
    <x v="425"/>
    <n v="959.2"/>
    <x v="0"/>
  </r>
  <r>
    <x v="498"/>
    <x v="499"/>
    <x v="383"/>
    <x v="387"/>
    <x v="2"/>
    <x v="175"/>
    <x v="6"/>
    <x v="1"/>
    <x v="0"/>
    <x v="3"/>
    <n v="0.3"/>
    <x v="471"/>
    <x v="426"/>
    <n v="473.9"/>
    <x v="4"/>
  </r>
  <r>
    <x v="499"/>
    <x v="500"/>
    <x v="217"/>
    <x v="172"/>
    <x v="2"/>
    <x v="175"/>
    <x v="6"/>
    <x v="2"/>
    <x v="1"/>
    <x v="4"/>
    <n v="0.3"/>
    <x v="472"/>
    <x v="427"/>
    <n v="917.7"/>
    <x v="2"/>
  </r>
  <r>
    <x v="500"/>
    <x v="501"/>
    <x v="162"/>
    <x v="28"/>
    <x v="3"/>
    <x v="175"/>
    <x v="6"/>
    <x v="0"/>
    <x v="0"/>
    <x v="0"/>
    <n v="0.3"/>
    <x v="473"/>
    <x v="24"/>
    <n v="759.5"/>
    <x v="4"/>
  </r>
  <r>
    <x v="501"/>
    <x v="502"/>
    <x v="384"/>
    <x v="388"/>
    <x v="1"/>
    <x v="176"/>
    <x v="6"/>
    <x v="1"/>
    <x v="1"/>
    <x v="1"/>
    <n v="0.1"/>
    <x v="474"/>
    <x v="428"/>
    <n v="810"/>
    <x v="4"/>
  </r>
  <r>
    <x v="502"/>
    <x v="503"/>
    <x v="385"/>
    <x v="25"/>
    <x v="3"/>
    <x v="176"/>
    <x v="6"/>
    <x v="1"/>
    <x v="0"/>
    <x v="0"/>
    <n v="0.3"/>
    <x v="475"/>
    <x v="429"/>
    <n v="577.5"/>
    <x v="1"/>
  </r>
  <r>
    <x v="503"/>
    <x v="504"/>
    <x v="8"/>
    <x v="389"/>
    <x v="2"/>
    <x v="176"/>
    <x v="6"/>
    <x v="1"/>
    <x v="0"/>
    <x v="6"/>
    <n v="0.3"/>
    <x v="476"/>
    <x v="430"/>
    <n v="1285.9000000000001"/>
    <x v="3"/>
  </r>
  <r>
    <x v="504"/>
    <x v="505"/>
    <x v="73"/>
    <x v="207"/>
    <x v="4"/>
    <x v="177"/>
    <x v="6"/>
    <x v="2"/>
    <x v="1"/>
    <x v="5"/>
    <n v="0.25"/>
    <x v="477"/>
    <x v="431"/>
    <n v="1187.25"/>
    <x v="4"/>
  </r>
  <r>
    <x v="505"/>
    <x v="506"/>
    <x v="381"/>
    <x v="390"/>
    <x v="2"/>
    <x v="177"/>
    <x v="6"/>
    <x v="2"/>
    <x v="2"/>
    <x v="6"/>
    <n v="0.3"/>
    <x v="478"/>
    <x v="432"/>
    <n v="174.3"/>
    <x v="4"/>
  </r>
  <r>
    <x v="506"/>
    <x v="507"/>
    <x v="386"/>
    <x v="391"/>
    <x v="0"/>
    <x v="177"/>
    <x v="6"/>
    <x v="2"/>
    <x v="0"/>
    <x v="3"/>
    <n v="0.25"/>
    <x v="334"/>
    <x v="57"/>
    <n v="179.25"/>
    <x v="4"/>
  </r>
  <r>
    <x v="507"/>
    <x v="508"/>
    <x v="387"/>
    <x v="392"/>
    <x v="5"/>
    <x v="177"/>
    <x v="6"/>
    <x v="0"/>
    <x v="0"/>
    <x v="3"/>
    <n v="0.2"/>
    <x v="479"/>
    <x v="433"/>
    <n v="843.2"/>
    <x v="0"/>
  </r>
  <r>
    <x v="508"/>
    <x v="509"/>
    <x v="88"/>
    <x v="393"/>
    <x v="4"/>
    <x v="178"/>
    <x v="6"/>
    <x v="1"/>
    <x v="0"/>
    <x v="0"/>
    <n v="0.25"/>
    <x v="480"/>
    <x v="434"/>
    <n v="429.75"/>
    <x v="2"/>
  </r>
  <r>
    <x v="509"/>
    <x v="510"/>
    <x v="222"/>
    <x v="320"/>
    <x v="0"/>
    <x v="178"/>
    <x v="6"/>
    <x v="2"/>
    <x v="1"/>
    <x v="5"/>
    <n v="0.25"/>
    <x v="481"/>
    <x v="435"/>
    <n v="1076.25"/>
    <x v="2"/>
  </r>
  <r>
    <x v="510"/>
    <x v="511"/>
    <x v="388"/>
    <x v="235"/>
    <x v="0"/>
    <x v="178"/>
    <x v="6"/>
    <x v="1"/>
    <x v="1"/>
    <x v="0"/>
    <n v="0.25"/>
    <x v="482"/>
    <x v="436"/>
    <n v="538.5"/>
    <x v="2"/>
  </r>
  <r>
    <x v="511"/>
    <x v="512"/>
    <x v="389"/>
    <x v="394"/>
    <x v="4"/>
    <x v="179"/>
    <x v="6"/>
    <x v="2"/>
    <x v="1"/>
    <x v="1"/>
    <n v="0.25"/>
    <x v="421"/>
    <x v="383"/>
    <n v="1371.75"/>
    <x v="2"/>
  </r>
  <r>
    <x v="512"/>
    <x v="513"/>
    <x v="390"/>
    <x v="395"/>
    <x v="0"/>
    <x v="179"/>
    <x v="6"/>
    <x v="0"/>
    <x v="1"/>
    <x v="4"/>
    <n v="0.25"/>
    <x v="483"/>
    <x v="437"/>
    <n v="1043.25"/>
    <x v="0"/>
  </r>
  <r>
    <x v="513"/>
    <x v="514"/>
    <x v="391"/>
    <x v="379"/>
    <x v="0"/>
    <x v="180"/>
    <x v="6"/>
    <x v="0"/>
    <x v="0"/>
    <x v="2"/>
    <n v="0.25"/>
    <x v="484"/>
    <x v="120"/>
    <n v="1092"/>
    <x v="4"/>
  </r>
  <r>
    <x v="514"/>
    <x v="515"/>
    <x v="392"/>
    <x v="396"/>
    <x v="0"/>
    <x v="180"/>
    <x v="6"/>
    <x v="1"/>
    <x v="0"/>
    <x v="1"/>
    <n v="0.25"/>
    <x v="485"/>
    <x v="438"/>
    <n v="432.75"/>
    <x v="4"/>
  </r>
  <r>
    <x v="515"/>
    <x v="516"/>
    <x v="393"/>
    <x v="131"/>
    <x v="0"/>
    <x v="180"/>
    <x v="6"/>
    <x v="2"/>
    <x v="1"/>
    <x v="2"/>
    <n v="0.25"/>
    <x v="486"/>
    <x v="439"/>
    <n v="746.25"/>
    <x v="1"/>
  </r>
  <r>
    <x v="516"/>
    <x v="517"/>
    <x v="394"/>
    <x v="381"/>
    <x v="0"/>
    <x v="181"/>
    <x v="6"/>
    <x v="1"/>
    <x v="3"/>
    <x v="0"/>
    <n v="0.25"/>
    <x v="260"/>
    <x v="44"/>
    <n v="1255.5"/>
    <x v="1"/>
  </r>
  <r>
    <x v="517"/>
    <x v="518"/>
    <x v="395"/>
    <x v="397"/>
    <x v="0"/>
    <x v="181"/>
    <x v="6"/>
    <x v="2"/>
    <x v="0"/>
    <x v="1"/>
    <n v="0.25"/>
    <x v="487"/>
    <x v="440"/>
    <n v="352.5"/>
    <x v="3"/>
  </r>
  <r>
    <x v="518"/>
    <x v="519"/>
    <x v="396"/>
    <x v="398"/>
    <x v="5"/>
    <x v="182"/>
    <x v="6"/>
    <x v="1"/>
    <x v="1"/>
    <x v="3"/>
    <n v="0.2"/>
    <x v="16"/>
    <x v="441"/>
    <n v="453.6"/>
    <x v="3"/>
  </r>
  <r>
    <x v="519"/>
    <x v="520"/>
    <x v="397"/>
    <x v="399"/>
    <x v="5"/>
    <x v="182"/>
    <x v="6"/>
    <x v="2"/>
    <x v="0"/>
    <x v="0"/>
    <n v="0.2"/>
    <x v="320"/>
    <x v="122"/>
    <n v="346.4"/>
    <x v="3"/>
  </r>
  <r>
    <x v="520"/>
    <x v="521"/>
    <x v="398"/>
    <x v="12"/>
    <x v="0"/>
    <x v="182"/>
    <x v="6"/>
    <x v="0"/>
    <x v="3"/>
    <x v="7"/>
    <n v="0.25"/>
    <x v="488"/>
    <x v="442"/>
    <n v="915"/>
    <x v="0"/>
  </r>
  <r>
    <x v="521"/>
    <x v="522"/>
    <x v="161"/>
    <x v="343"/>
    <x v="2"/>
    <x v="183"/>
    <x v="6"/>
    <x v="1"/>
    <x v="2"/>
    <x v="4"/>
    <n v="0.3"/>
    <x v="489"/>
    <x v="443"/>
    <n v="543.9"/>
    <x v="1"/>
  </r>
  <r>
    <x v="522"/>
    <x v="523"/>
    <x v="213"/>
    <x v="400"/>
    <x v="1"/>
    <x v="183"/>
    <x v="6"/>
    <x v="1"/>
    <x v="1"/>
    <x v="1"/>
    <n v="0.1"/>
    <x v="490"/>
    <x v="444"/>
    <n v="1246.5"/>
    <x v="1"/>
  </r>
  <r>
    <x v="523"/>
    <x v="524"/>
    <x v="62"/>
    <x v="401"/>
    <x v="3"/>
    <x v="183"/>
    <x v="6"/>
    <x v="2"/>
    <x v="3"/>
    <x v="0"/>
    <n v="0.3"/>
    <x v="491"/>
    <x v="445"/>
    <n v="223.3"/>
    <x v="2"/>
  </r>
  <r>
    <x v="524"/>
    <x v="525"/>
    <x v="399"/>
    <x v="60"/>
    <x v="3"/>
    <x v="183"/>
    <x v="6"/>
    <x v="1"/>
    <x v="0"/>
    <x v="2"/>
    <n v="0.3"/>
    <x v="492"/>
    <x v="446"/>
    <n v="218.4"/>
    <x v="4"/>
  </r>
  <r>
    <x v="525"/>
    <x v="526"/>
    <x v="400"/>
    <x v="172"/>
    <x v="2"/>
    <x v="183"/>
    <x v="6"/>
    <x v="2"/>
    <x v="3"/>
    <x v="0"/>
    <n v="0.3"/>
    <x v="493"/>
    <x v="447"/>
    <n v="757.4"/>
    <x v="4"/>
  </r>
  <r>
    <x v="526"/>
    <x v="527"/>
    <x v="401"/>
    <x v="188"/>
    <x v="2"/>
    <x v="183"/>
    <x v="6"/>
    <x v="0"/>
    <x v="2"/>
    <x v="1"/>
    <n v="0.3"/>
    <x v="494"/>
    <x v="448"/>
    <n v="431.2"/>
    <x v="1"/>
  </r>
  <r>
    <x v="527"/>
    <x v="528"/>
    <x v="402"/>
    <x v="402"/>
    <x v="1"/>
    <x v="184"/>
    <x v="6"/>
    <x v="0"/>
    <x v="1"/>
    <x v="5"/>
    <n v="0.1"/>
    <x v="495"/>
    <x v="448"/>
    <n v="554.4"/>
    <x v="2"/>
  </r>
  <r>
    <x v="528"/>
    <x v="529"/>
    <x v="391"/>
    <x v="177"/>
    <x v="0"/>
    <x v="184"/>
    <x v="6"/>
    <x v="2"/>
    <x v="0"/>
    <x v="3"/>
    <n v="0.25"/>
    <x v="496"/>
    <x v="449"/>
    <n v="131.25"/>
    <x v="3"/>
  </r>
  <r>
    <x v="529"/>
    <x v="530"/>
    <x v="139"/>
    <x v="336"/>
    <x v="0"/>
    <x v="185"/>
    <x v="6"/>
    <x v="0"/>
    <x v="1"/>
    <x v="2"/>
    <n v="0.25"/>
    <x v="497"/>
    <x v="450"/>
    <n v="220.5"/>
    <x v="0"/>
  </r>
  <r>
    <x v="530"/>
    <x v="531"/>
    <x v="239"/>
    <x v="403"/>
    <x v="4"/>
    <x v="185"/>
    <x v="6"/>
    <x v="0"/>
    <x v="0"/>
    <x v="2"/>
    <n v="0.25"/>
    <x v="498"/>
    <x v="125"/>
    <n v="919.5"/>
    <x v="0"/>
  </r>
  <r>
    <x v="531"/>
    <x v="532"/>
    <x v="215"/>
    <x v="231"/>
    <x v="4"/>
    <x v="186"/>
    <x v="6"/>
    <x v="0"/>
    <x v="2"/>
    <x v="1"/>
    <n v="0.25"/>
    <x v="499"/>
    <x v="451"/>
    <n v="480.75"/>
    <x v="2"/>
  </r>
  <r>
    <x v="532"/>
    <x v="533"/>
    <x v="403"/>
    <x v="404"/>
    <x v="4"/>
    <x v="187"/>
    <x v="6"/>
    <x v="1"/>
    <x v="3"/>
    <x v="5"/>
    <n v="0.25"/>
    <x v="500"/>
    <x v="136"/>
    <n v="911.25"/>
    <x v="0"/>
  </r>
  <r>
    <x v="533"/>
    <x v="534"/>
    <x v="395"/>
    <x v="405"/>
    <x v="1"/>
    <x v="187"/>
    <x v="6"/>
    <x v="2"/>
    <x v="1"/>
    <x v="7"/>
    <n v="0.1"/>
    <x v="501"/>
    <x v="452"/>
    <n v="1586.7"/>
    <x v="0"/>
  </r>
  <r>
    <x v="534"/>
    <x v="535"/>
    <x v="279"/>
    <x v="406"/>
    <x v="1"/>
    <x v="187"/>
    <x v="6"/>
    <x v="1"/>
    <x v="0"/>
    <x v="4"/>
    <n v="0.1"/>
    <x v="502"/>
    <x v="453"/>
    <n v="1178.0999999999999"/>
    <x v="0"/>
  </r>
  <r>
    <x v="535"/>
    <x v="536"/>
    <x v="404"/>
    <x v="332"/>
    <x v="3"/>
    <x v="187"/>
    <x v="6"/>
    <x v="1"/>
    <x v="0"/>
    <x v="7"/>
    <n v="0.3"/>
    <x v="56"/>
    <x v="55"/>
    <n v="183.4"/>
    <x v="0"/>
  </r>
  <r>
    <x v="536"/>
    <x v="537"/>
    <x v="119"/>
    <x v="407"/>
    <x v="4"/>
    <x v="188"/>
    <x v="6"/>
    <x v="1"/>
    <x v="1"/>
    <x v="7"/>
    <n v="0.25"/>
    <x v="463"/>
    <x v="418"/>
    <n v="375.75"/>
    <x v="2"/>
  </r>
  <r>
    <x v="537"/>
    <x v="538"/>
    <x v="281"/>
    <x v="408"/>
    <x v="0"/>
    <x v="188"/>
    <x v="6"/>
    <x v="1"/>
    <x v="1"/>
    <x v="4"/>
    <n v="0.25"/>
    <x v="503"/>
    <x v="454"/>
    <n v="102.75"/>
    <x v="0"/>
  </r>
  <r>
    <x v="538"/>
    <x v="539"/>
    <x v="405"/>
    <x v="230"/>
    <x v="1"/>
    <x v="188"/>
    <x v="6"/>
    <x v="1"/>
    <x v="1"/>
    <x v="5"/>
    <n v="0.1"/>
    <x v="504"/>
    <x v="309"/>
    <n v="818.1"/>
    <x v="3"/>
  </r>
  <r>
    <x v="539"/>
    <x v="540"/>
    <x v="406"/>
    <x v="179"/>
    <x v="5"/>
    <x v="189"/>
    <x v="6"/>
    <x v="0"/>
    <x v="3"/>
    <x v="7"/>
    <n v="0.2"/>
    <x v="505"/>
    <x v="455"/>
    <n v="755.2"/>
    <x v="1"/>
  </r>
  <r>
    <x v="540"/>
    <x v="541"/>
    <x v="133"/>
    <x v="409"/>
    <x v="3"/>
    <x v="189"/>
    <x v="6"/>
    <x v="1"/>
    <x v="0"/>
    <x v="6"/>
    <n v="0.3"/>
    <x v="506"/>
    <x v="456"/>
    <n v="1198.4000000000001"/>
    <x v="4"/>
  </r>
  <r>
    <x v="541"/>
    <x v="542"/>
    <x v="407"/>
    <x v="410"/>
    <x v="5"/>
    <x v="189"/>
    <x v="6"/>
    <x v="1"/>
    <x v="3"/>
    <x v="7"/>
    <n v="0.2"/>
    <x v="289"/>
    <x v="457"/>
    <n v="428"/>
    <x v="1"/>
  </r>
  <r>
    <x v="542"/>
    <x v="543"/>
    <x v="388"/>
    <x v="336"/>
    <x v="0"/>
    <x v="189"/>
    <x v="6"/>
    <x v="1"/>
    <x v="1"/>
    <x v="3"/>
    <n v="0.25"/>
    <x v="507"/>
    <x v="458"/>
    <n v="984"/>
    <x v="1"/>
  </r>
  <r>
    <x v="543"/>
    <x v="544"/>
    <x v="19"/>
    <x v="411"/>
    <x v="5"/>
    <x v="190"/>
    <x v="6"/>
    <x v="0"/>
    <x v="1"/>
    <x v="3"/>
    <n v="0.2"/>
    <x v="508"/>
    <x v="459"/>
    <n v="1310.4000000000001"/>
    <x v="3"/>
  </r>
  <r>
    <x v="544"/>
    <x v="545"/>
    <x v="65"/>
    <x v="412"/>
    <x v="4"/>
    <x v="190"/>
    <x v="6"/>
    <x v="0"/>
    <x v="1"/>
    <x v="3"/>
    <n v="0.25"/>
    <x v="509"/>
    <x v="460"/>
    <n v="961.5"/>
    <x v="0"/>
  </r>
  <r>
    <x v="545"/>
    <x v="546"/>
    <x v="408"/>
    <x v="413"/>
    <x v="4"/>
    <x v="190"/>
    <x v="6"/>
    <x v="1"/>
    <x v="0"/>
    <x v="7"/>
    <n v="0.25"/>
    <x v="510"/>
    <x v="461"/>
    <n v="219.75"/>
    <x v="1"/>
  </r>
  <r>
    <x v="546"/>
    <x v="547"/>
    <x v="280"/>
    <x v="192"/>
    <x v="4"/>
    <x v="191"/>
    <x v="6"/>
    <x v="2"/>
    <x v="1"/>
    <x v="7"/>
    <n v="0.25"/>
    <x v="511"/>
    <x v="462"/>
    <n v="753.75"/>
    <x v="2"/>
  </r>
  <r>
    <x v="547"/>
    <x v="548"/>
    <x v="409"/>
    <x v="68"/>
    <x v="0"/>
    <x v="191"/>
    <x v="6"/>
    <x v="1"/>
    <x v="0"/>
    <x v="6"/>
    <n v="0.25"/>
    <x v="512"/>
    <x v="463"/>
    <n v="1080"/>
    <x v="1"/>
  </r>
  <r>
    <x v="548"/>
    <x v="549"/>
    <x v="410"/>
    <x v="414"/>
    <x v="5"/>
    <x v="191"/>
    <x v="6"/>
    <x v="1"/>
    <x v="0"/>
    <x v="3"/>
    <n v="0.2"/>
    <x v="513"/>
    <x v="464"/>
    <n v="816.8"/>
    <x v="2"/>
  </r>
  <r>
    <x v="549"/>
    <x v="550"/>
    <x v="411"/>
    <x v="310"/>
    <x v="5"/>
    <x v="191"/>
    <x v="6"/>
    <x v="0"/>
    <x v="0"/>
    <x v="6"/>
    <n v="0.2"/>
    <x v="514"/>
    <x v="465"/>
    <n v="65.599999999999994"/>
    <x v="2"/>
  </r>
  <r>
    <x v="550"/>
    <x v="551"/>
    <x v="412"/>
    <x v="415"/>
    <x v="2"/>
    <x v="192"/>
    <x v="6"/>
    <x v="1"/>
    <x v="1"/>
    <x v="2"/>
    <n v="0.3"/>
    <x v="515"/>
    <x v="466"/>
    <n v="84.7"/>
    <x v="2"/>
  </r>
  <r>
    <x v="551"/>
    <x v="552"/>
    <x v="413"/>
    <x v="79"/>
    <x v="1"/>
    <x v="192"/>
    <x v="6"/>
    <x v="0"/>
    <x v="3"/>
    <x v="0"/>
    <n v="0.1"/>
    <x v="516"/>
    <x v="343"/>
    <n v="289.8"/>
    <x v="0"/>
  </r>
  <r>
    <x v="552"/>
    <x v="553"/>
    <x v="414"/>
    <x v="416"/>
    <x v="4"/>
    <x v="192"/>
    <x v="6"/>
    <x v="1"/>
    <x v="1"/>
    <x v="1"/>
    <n v="0.25"/>
    <x v="334"/>
    <x v="57"/>
    <n v="179.25"/>
    <x v="2"/>
  </r>
  <r>
    <x v="553"/>
    <x v="554"/>
    <x v="415"/>
    <x v="94"/>
    <x v="3"/>
    <x v="193"/>
    <x v="6"/>
    <x v="2"/>
    <x v="0"/>
    <x v="6"/>
    <n v="0.3"/>
    <x v="517"/>
    <x v="467"/>
    <n v="821.1"/>
    <x v="4"/>
  </r>
  <r>
    <x v="554"/>
    <x v="555"/>
    <x v="416"/>
    <x v="417"/>
    <x v="2"/>
    <x v="193"/>
    <x v="6"/>
    <x v="1"/>
    <x v="1"/>
    <x v="7"/>
    <n v="0.3"/>
    <x v="518"/>
    <x v="32"/>
    <n v="385.7"/>
    <x v="3"/>
  </r>
  <r>
    <x v="555"/>
    <x v="556"/>
    <x v="417"/>
    <x v="418"/>
    <x v="1"/>
    <x v="194"/>
    <x v="6"/>
    <x v="1"/>
    <x v="3"/>
    <x v="5"/>
    <n v="0.1"/>
    <x v="519"/>
    <x v="468"/>
    <n v="351.9"/>
    <x v="1"/>
  </r>
  <r>
    <x v="556"/>
    <x v="557"/>
    <x v="372"/>
    <x v="375"/>
    <x v="1"/>
    <x v="194"/>
    <x v="6"/>
    <x v="0"/>
    <x v="1"/>
    <x v="6"/>
    <n v="0.1"/>
    <x v="520"/>
    <x v="469"/>
    <n v="48.6"/>
    <x v="4"/>
  </r>
  <r>
    <x v="557"/>
    <x v="558"/>
    <x v="314"/>
    <x v="419"/>
    <x v="2"/>
    <x v="194"/>
    <x v="6"/>
    <x v="1"/>
    <x v="1"/>
    <x v="7"/>
    <n v="0.3"/>
    <x v="521"/>
    <x v="470"/>
    <n v="254.8"/>
    <x v="4"/>
  </r>
  <r>
    <x v="558"/>
    <x v="559"/>
    <x v="418"/>
    <x v="225"/>
    <x v="0"/>
    <x v="194"/>
    <x v="6"/>
    <x v="0"/>
    <x v="2"/>
    <x v="5"/>
    <n v="0.25"/>
    <x v="522"/>
    <x v="471"/>
    <n v="474"/>
    <x v="3"/>
  </r>
  <r>
    <x v="559"/>
    <x v="560"/>
    <x v="419"/>
    <x v="420"/>
    <x v="1"/>
    <x v="194"/>
    <x v="6"/>
    <x v="1"/>
    <x v="3"/>
    <x v="1"/>
    <n v="0.1"/>
    <x v="523"/>
    <x v="472"/>
    <n v="1143"/>
    <x v="4"/>
  </r>
  <r>
    <x v="560"/>
    <x v="561"/>
    <x v="420"/>
    <x v="398"/>
    <x v="4"/>
    <x v="195"/>
    <x v="6"/>
    <x v="1"/>
    <x v="1"/>
    <x v="6"/>
    <n v="0.25"/>
    <x v="222"/>
    <x v="208"/>
    <n v="905.25"/>
    <x v="0"/>
  </r>
  <r>
    <x v="561"/>
    <x v="562"/>
    <x v="421"/>
    <x v="421"/>
    <x v="5"/>
    <x v="195"/>
    <x v="6"/>
    <x v="2"/>
    <x v="2"/>
    <x v="1"/>
    <n v="0.2"/>
    <x v="524"/>
    <x v="18"/>
    <n v="1082.4000000000001"/>
    <x v="1"/>
  </r>
  <r>
    <x v="562"/>
    <x v="563"/>
    <x v="422"/>
    <x v="149"/>
    <x v="5"/>
    <x v="195"/>
    <x v="6"/>
    <x v="1"/>
    <x v="2"/>
    <x v="2"/>
    <n v="0.2"/>
    <x v="525"/>
    <x v="170"/>
    <n v="1008"/>
    <x v="2"/>
  </r>
  <r>
    <x v="563"/>
    <x v="564"/>
    <x v="358"/>
    <x v="422"/>
    <x v="5"/>
    <x v="196"/>
    <x v="7"/>
    <x v="1"/>
    <x v="1"/>
    <x v="0"/>
    <n v="0.2"/>
    <x v="526"/>
    <x v="206"/>
    <n v="1180.8"/>
    <x v="2"/>
  </r>
  <r>
    <x v="564"/>
    <x v="565"/>
    <x v="423"/>
    <x v="423"/>
    <x v="3"/>
    <x v="196"/>
    <x v="7"/>
    <x v="2"/>
    <x v="1"/>
    <x v="2"/>
    <n v="0.3"/>
    <x v="527"/>
    <x v="153"/>
    <n v="412.3"/>
    <x v="2"/>
  </r>
  <r>
    <x v="565"/>
    <x v="566"/>
    <x v="424"/>
    <x v="206"/>
    <x v="2"/>
    <x v="196"/>
    <x v="7"/>
    <x v="2"/>
    <x v="0"/>
    <x v="7"/>
    <n v="0.3"/>
    <x v="528"/>
    <x v="473"/>
    <n v="1051.4000000000001"/>
    <x v="3"/>
  </r>
  <r>
    <x v="566"/>
    <x v="567"/>
    <x v="425"/>
    <x v="424"/>
    <x v="3"/>
    <x v="196"/>
    <x v="7"/>
    <x v="1"/>
    <x v="0"/>
    <x v="0"/>
    <n v="0.3"/>
    <x v="529"/>
    <x v="83"/>
    <n v="175"/>
    <x v="0"/>
  </r>
  <r>
    <x v="567"/>
    <x v="568"/>
    <x v="426"/>
    <x v="162"/>
    <x v="1"/>
    <x v="196"/>
    <x v="7"/>
    <x v="1"/>
    <x v="0"/>
    <x v="3"/>
    <n v="0.1"/>
    <x v="530"/>
    <x v="474"/>
    <n v="1580.4"/>
    <x v="2"/>
  </r>
  <r>
    <x v="568"/>
    <x v="569"/>
    <x v="153"/>
    <x v="425"/>
    <x v="5"/>
    <x v="196"/>
    <x v="7"/>
    <x v="2"/>
    <x v="0"/>
    <x v="4"/>
    <n v="0.2"/>
    <x v="531"/>
    <x v="46"/>
    <n v="1274.4000000000001"/>
    <x v="1"/>
  </r>
  <r>
    <x v="569"/>
    <x v="570"/>
    <x v="405"/>
    <x v="162"/>
    <x v="0"/>
    <x v="196"/>
    <x v="7"/>
    <x v="0"/>
    <x v="1"/>
    <x v="6"/>
    <n v="0.25"/>
    <x v="496"/>
    <x v="449"/>
    <n v="131.25"/>
    <x v="2"/>
  </r>
  <r>
    <x v="570"/>
    <x v="571"/>
    <x v="246"/>
    <x v="88"/>
    <x v="0"/>
    <x v="197"/>
    <x v="7"/>
    <x v="0"/>
    <x v="1"/>
    <x v="7"/>
    <n v="0.25"/>
    <x v="175"/>
    <x v="167"/>
    <n v="825"/>
    <x v="2"/>
  </r>
  <r>
    <x v="571"/>
    <x v="572"/>
    <x v="427"/>
    <x v="426"/>
    <x v="1"/>
    <x v="197"/>
    <x v="7"/>
    <x v="2"/>
    <x v="0"/>
    <x v="0"/>
    <n v="0.1"/>
    <x v="532"/>
    <x v="475"/>
    <n v="1604.7"/>
    <x v="1"/>
  </r>
  <r>
    <x v="572"/>
    <x v="573"/>
    <x v="428"/>
    <x v="228"/>
    <x v="4"/>
    <x v="197"/>
    <x v="7"/>
    <x v="2"/>
    <x v="1"/>
    <x v="5"/>
    <n v="0.25"/>
    <x v="533"/>
    <x v="476"/>
    <n v="729.75"/>
    <x v="3"/>
  </r>
  <r>
    <x v="573"/>
    <x v="574"/>
    <x v="429"/>
    <x v="427"/>
    <x v="5"/>
    <x v="198"/>
    <x v="7"/>
    <x v="0"/>
    <x v="0"/>
    <x v="2"/>
    <n v="0.2"/>
    <x v="534"/>
    <x v="477"/>
    <n v="391.2"/>
    <x v="1"/>
  </r>
  <r>
    <x v="574"/>
    <x v="575"/>
    <x v="72"/>
    <x v="100"/>
    <x v="5"/>
    <x v="198"/>
    <x v="7"/>
    <x v="1"/>
    <x v="1"/>
    <x v="4"/>
    <n v="0.2"/>
    <x v="535"/>
    <x v="478"/>
    <n v="1228"/>
    <x v="0"/>
  </r>
  <r>
    <x v="575"/>
    <x v="576"/>
    <x v="430"/>
    <x v="428"/>
    <x v="3"/>
    <x v="198"/>
    <x v="7"/>
    <x v="2"/>
    <x v="1"/>
    <x v="7"/>
    <n v="0.3"/>
    <x v="536"/>
    <x v="479"/>
    <n v="1103.9000000000001"/>
    <x v="1"/>
  </r>
  <r>
    <x v="576"/>
    <x v="577"/>
    <x v="431"/>
    <x v="429"/>
    <x v="5"/>
    <x v="199"/>
    <x v="7"/>
    <x v="1"/>
    <x v="0"/>
    <x v="4"/>
    <n v="0.2"/>
    <x v="22"/>
    <x v="22"/>
    <n v="866.4"/>
    <x v="1"/>
  </r>
  <r>
    <x v="577"/>
    <x v="578"/>
    <x v="286"/>
    <x v="236"/>
    <x v="4"/>
    <x v="200"/>
    <x v="7"/>
    <x v="1"/>
    <x v="0"/>
    <x v="5"/>
    <n v="0.25"/>
    <x v="537"/>
    <x v="480"/>
    <n v="1329"/>
    <x v="2"/>
  </r>
  <r>
    <x v="578"/>
    <x v="579"/>
    <x v="17"/>
    <x v="430"/>
    <x v="4"/>
    <x v="200"/>
    <x v="7"/>
    <x v="1"/>
    <x v="0"/>
    <x v="4"/>
    <n v="0.25"/>
    <x v="538"/>
    <x v="481"/>
    <n v="928.5"/>
    <x v="3"/>
  </r>
  <r>
    <x v="579"/>
    <x v="580"/>
    <x v="432"/>
    <x v="431"/>
    <x v="2"/>
    <x v="200"/>
    <x v="7"/>
    <x v="2"/>
    <x v="0"/>
    <x v="1"/>
    <n v="0.3"/>
    <x v="539"/>
    <x v="482"/>
    <n v="647.5"/>
    <x v="1"/>
  </r>
  <r>
    <x v="580"/>
    <x v="581"/>
    <x v="51"/>
    <x v="432"/>
    <x v="1"/>
    <x v="201"/>
    <x v="7"/>
    <x v="1"/>
    <x v="2"/>
    <x v="5"/>
    <n v="0.1"/>
    <x v="163"/>
    <x v="157"/>
    <n v="633.6"/>
    <x v="1"/>
  </r>
  <r>
    <x v="581"/>
    <x v="582"/>
    <x v="335"/>
    <x v="433"/>
    <x v="5"/>
    <x v="201"/>
    <x v="7"/>
    <x v="1"/>
    <x v="1"/>
    <x v="3"/>
    <n v="0.2"/>
    <x v="540"/>
    <x v="232"/>
    <n v="45.6"/>
    <x v="4"/>
  </r>
  <r>
    <x v="582"/>
    <x v="583"/>
    <x v="198"/>
    <x v="72"/>
    <x v="1"/>
    <x v="201"/>
    <x v="7"/>
    <x v="2"/>
    <x v="0"/>
    <x v="0"/>
    <n v="0.1"/>
    <x v="541"/>
    <x v="483"/>
    <n v="1104.3"/>
    <x v="2"/>
  </r>
  <r>
    <x v="583"/>
    <x v="584"/>
    <x v="8"/>
    <x v="434"/>
    <x v="4"/>
    <x v="201"/>
    <x v="7"/>
    <x v="0"/>
    <x v="1"/>
    <x v="7"/>
    <n v="0.25"/>
    <x v="542"/>
    <x v="484"/>
    <n v="333.75"/>
    <x v="1"/>
  </r>
  <r>
    <x v="584"/>
    <x v="585"/>
    <x v="433"/>
    <x v="311"/>
    <x v="2"/>
    <x v="201"/>
    <x v="7"/>
    <x v="2"/>
    <x v="3"/>
    <x v="2"/>
    <n v="0.3"/>
    <x v="543"/>
    <x v="485"/>
    <n v="1287.3"/>
    <x v="3"/>
  </r>
  <r>
    <x v="585"/>
    <x v="586"/>
    <x v="434"/>
    <x v="435"/>
    <x v="3"/>
    <x v="202"/>
    <x v="7"/>
    <x v="2"/>
    <x v="3"/>
    <x v="5"/>
    <n v="0.3"/>
    <x v="544"/>
    <x v="230"/>
    <n v="627.9"/>
    <x v="1"/>
  </r>
  <r>
    <x v="586"/>
    <x v="587"/>
    <x v="435"/>
    <x v="36"/>
    <x v="3"/>
    <x v="203"/>
    <x v="7"/>
    <x v="2"/>
    <x v="0"/>
    <x v="1"/>
    <n v="0.3"/>
    <x v="545"/>
    <x v="486"/>
    <n v="337.4"/>
    <x v="3"/>
  </r>
  <r>
    <x v="587"/>
    <x v="588"/>
    <x v="436"/>
    <x v="436"/>
    <x v="5"/>
    <x v="204"/>
    <x v="7"/>
    <x v="1"/>
    <x v="0"/>
    <x v="5"/>
    <n v="0.2"/>
    <x v="546"/>
    <x v="487"/>
    <n v="431.2"/>
    <x v="1"/>
  </r>
  <r>
    <x v="588"/>
    <x v="589"/>
    <x v="437"/>
    <x v="261"/>
    <x v="5"/>
    <x v="204"/>
    <x v="7"/>
    <x v="0"/>
    <x v="1"/>
    <x v="6"/>
    <n v="0.2"/>
    <x v="50"/>
    <x v="49"/>
    <n v="1276.8"/>
    <x v="3"/>
  </r>
  <r>
    <x v="589"/>
    <x v="590"/>
    <x v="29"/>
    <x v="48"/>
    <x v="0"/>
    <x v="204"/>
    <x v="7"/>
    <x v="1"/>
    <x v="1"/>
    <x v="1"/>
    <n v="0.25"/>
    <x v="547"/>
    <x v="488"/>
    <n v="995.25"/>
    <x v="4"/>
  </r>
  <r>
    <x v="590"/>
    <x v="591"/>
    <x v="316"/>
    <x v="6"/>
    <x v="0"/>
    <x v="205"/>
    <x v="7"/>
    <x v="0"/>
    <x v="3"/>
    <x v="4"/>
    <n v="0.25"/>
    <x v="548"/>
    <x v="489"/>
    <n v="290.25"/>
    <x v="3"/>
  </r>
  <r>
    <x v="591"/>
    <x v="592"/>
    <x v="438"/>
    <x v="437"/>
    <x v="2"/>
    <x v="205"/>
    <x v="7"/>
    <x v="1"/>
    <x v="1"/>
    <x v="4"/>
    <n v="0.3"/>
    <x v="393"/>
    <x v="490"/>
    <n v="249.9"/>
    <x v="0"/>
  </r>
  <r>
    <x v="592"/>
    <x v="593"/>
    <x v="439"/>
    <x v="438"/>
    <x v="1"/>
    <x v="205"/>
    <x v="7"/>
    <x v="2"/>
    <x v="1"/>
    <x v="1"/>
    <n v="0.1"/>
    <x v="549"/>
    <x v="486"/>
    <n v="433.8"/>
    <x v="2"/>
  </r>
  <r>
    <x v="593"/>
    <x v="594"/>
    <x v="440"/>
    <x v="365"/>
    <x v="5"/>
    <x v="206"/>
    <x v="7"/>
    <x v="0"/>
    <x v="3"/>
    <x v="3"/>
    <n v="0.2"/>
    <x v="550"/>
    <x v="491"/>
    <n v="951.2"/>
    <x v="1"/>
  </r>
  <r>
    <x v="594"/>
    <x v="595"/>
    <x v="248"/>
    <x v="439"/>
    <x v="0"/>
    <x v="206"/>
    <x v="7"/>
    <x v="1"/>
    <x v="1"/>
    <x v="4"/>
    <n v="0.25"/>
    <x v="551"/>
    <x v="492"/>
    <n v="288"/>
    <x v="3"/>
  </r>
  <r>
    <x v="595"/>
    <x v="596"/>
    <x v="329"/>
    <x v="440"/>
    <x v="3"/>
    <x v="206"/>
    <x v="7"/>
    <x v="0"/>
    <x v="0"/>
    <x v="3"/>
    <n v="0.3"/>
    <x v="552"/>
    <x v="493"/>
    <n v="27.3"/>
    <x v="4"/>
  </r>
  <r>
    <x v="596"/>
    <x v="597"/>
    <x v="441"/>
    <x v="441"/>
    <x v="5"/>
    <x v="207"/>
    <x v="7"/>
    <x v="2"/>
    <x v="1"/>
    <x v="7"/>
    <n v="0.2"/>
    <x v="244"/>
    <x v="494"/>
    <n v="206.4"/>
    <x v="1"/>
  </r>
  <r>
    <x v="597"/>
    <x v="598"/>
    <x v="26"/>
    <x v="442"/>
    <x v="3"/>
    <x v="207"/>
    <x v="7"/>
    <x v="1"/>
    <x v="0"/>
    <x v="1"/>
    <n v="0.3"/>
    <x v="553"/>
    <x v="484"/>
    <n v="311.5"/>
    <x v="2"/>
  </r>
  <r>
    <x v="598"/>
    <x v="599"/>
    <x v="442"/>
    <x v="443"/>
    <x v="2"/>
    <x v="207"/>
    <x v="7"/>
    <x v="1"/>
    <x v="1"/>
    <x v="2"/>
    <n v="0.3"/>
    <x v="554"/>
    <x v="495"/>
    <n v="87.5"/>
    <x v="4"/>
  </r>
  <r>
    <x v="599"/>
    <x v="600"/>
    <x v="369"/>
    <x v="444"/>
    <x v="4"/>
    <x v="208"/>
    <x v="7"/>
    <x v="0"/>
    <x v="0"/>
    <x v="2"/>
    <n v="0.25"/>
    <x v="218"/>
    <x v="135"/>
    <n v="595.5"/>
    <x v="2"/>
  </r>
  <r>
    <x v="600"/>
    <x v="601"/>
    <x v="94"/>
    <x v="181"/>
    <x v="4"/>
    <x v="208"/>
    <x v="7"/>
    <x v="1"/>
    <x v="1"/>
    <x v="7"/>
    <n v="0.25"/>
    <x v="201"/>
    <x v="496"/>
    <n v="324"/>
    <x v="3"/>
  </r>
  <r>
    <x v="601"/>
    <x v="602"/>
    <x v="134"/>
    <x v="19"/>
    <x v="5"/>
    <x v="208"/>
    <x v="7"/>
    <x v="0"/>
    <x v="1"/>
    <x v="6"/>
    <n v="0.2"/>
    <x v="555"/>
    <x v="497"/>
    <n v="1037.5999999999999"/>
    <x v="2"/>
  </r>
  <r>
    <x v="602"/>
    <x v="603"/>
    <x v="443"/>
    <x v="382"/>
    <x v="1"/>
    <x v="208"/>
    <x v="7"/>
    <x v="1"/>
    <x v="1"/>
    <x v="0"/>
    <n v="0.1"/>
    <x v="556"/>
    <x v="498"/>
    <n v="828.9"/>
    <x v="1"/>
  </r>
  <r>
    <x v="603"/>
    <x v="604"/>
    <x v="444"/>
    <x v="445"/>
    <x v="1"/>
    <x v="208"/>
    <x v="7"/>
    <x v="2"/>
    <x v="1"/>
    <x v="5"/>
    <n v="0.1"/>
    <x v="557"/>
    <x v="499"/>
    <n v="1174.5"/>
    <x v="0"/>
  </r>
  <r>
    <x v="604"/>
    <x v="605"/>
    <x v="445"/>
    <x v="81"/>
    <x v="4"/>
    <x v="208"/>
    <x v="7"/>
    <x v="0"/>
    <x v="0"/>
    <x v="7"/>
    <n v="0.25"/>
    <x v="558"/>
    <x v="500"/>
    <n v="76.5"/>
    <x v="0"/>
  </r>
  <r>
    <x v="605"/>
    <x v="606"/>
    <x v="446"/>
    <x v="446"/>
    <x v="2"/>
    <x v="209"/>
    <x v="7"/>
    <x v="2"/>
    <x v="0"/>
    <x v="5"/>
    <n v="0.3"/>
    <x v="559"/>
    <x v="220"/>
    <n v="644"/>
    <x v="0"/>
  </r>
  <r>
    <x v="606"/>
    <x v="607"/>
    <x v="447"/>
    <x v="339"/>
    <x v="5"/>
    <x v="209"/>
    <x v="7"/>
    <x v="2"/>
    <x v="1"/>
    <x v="3"/>
    <n v="0.2"/>
    <x v="560"/>
    <x v="501"/>
    <n v="1319.2"/>
    <x v="4"/>
  </r>
  <r>
    <x v="607"/>
    <x v="608"/>
    <x v="448"/>
    <x v="447"/>
    <x v="0"/>
    <x v="209"/>
    <x v="7"/>
    <x v="2"/>
    <x v="1"/>
    <x v="4"/>
    <n v="0.25"/>
    <x v="561"/>
    <x v="502"/>
    <n v="1132.5"/>
    <x v="1"/>
  </r>
  <r>
    <x v="608"/>
    <x v="609"/>
    <x v="267"/>
    <x v="21"/>
    <x v="0"/>
    <x v="209"/>
    <x v="7"/>
    <x v="1"/>
    <x v="1"/>
    <x v="4"/>
    <n v="0.25"/>
    <x v="164"/>
    <x v="158"/>
    <n v="783.75"/>
    <x v="2"/>
  </r>
  <r>
    <x v="609"/>
    <x v="610"/>
    <x v="364"/>
    <x v="182"/>
    <x v="0"/>
    <x v="210"/>
    <x v="7"/>
    <x v="2"/>
    <x v="0"/>
    <x v="1"/>
    <n v="0.25"/>
    <x v="562"/>
    <x v="503"/>
    <n v="399.75"/>
    <x v="0"/>
  </r>
  <r>
    <x v="610"/>
    <x v="611"/>
    <x v="449"/>
    <x v="448"/>
    <x v="5"/>
    <x v="210"/>
    <x v="7"/>
    <x v="1"/>
    <x v="1"/>
    <x v="2"/>
    <n v="0.2"/>
    <x v="404"/>
    <x v="504"/>
    <n v="591.20000000000005"/>
    <x v="0"/>
  </r>
  <r>
    <x v="611"/>
    <x v="612"/>
    <x v="263"/>
    <x v="82"/>
    <x v="1"/>
    <x v="210"/>
    <x v="7"/>
    <x v="1"/>
    <x v="1"/>
    <x v="2"/>
    <n v="0.1"/>
    <x v="563"/>
    <x v="505"/>
    <n v="387"/>
    <x v="0"/>
  </r>
  <r>
    <x v="612"/>
    <x v="613"/>
    <x v="450"/>
    <x v="411"/>
    <x v="4"/>
    <x v="210"/>
    <x v="7"/>
    <x v="2"/>
    <x v="2"/>
    <x v="1"/>
    <n v="0.25"/>
    <x v="564"/>
    <x v="506"/>
    <n v="1104"/>
    <x v="3"/>
  </r>
  <r>
    <x v="613"/>
    <x v="614"/>
    <x v="451"/>
    <x v="449"/>
    <x v="2"/>
    <x v="211"/>
    <x v="7"/>
    <x v="0"/>
    <x v="0"/>
    <x v="0"/>
    <n v="0.3"/>
    <x v="565"/>
    <x v="507"/>
    <n v="1010.8"/>
    <x v="2"/>
  </r>
  <r>
    <x v="614"/>
    <x v="615"/>
    <x v="452"/>
    <x v="450"/>
    <x v="1"/>
    <x v="211"/>
    <x v="7"/>
    <x v="2"/>
    <x v="0"/>
    <x v="2"/>
    <n v="0.1"/>
    <x v="566"/>
    <x v="508"/>
    <n v="882"/>
    <x v="1"/>
  </r>
  <r>
    <x v="615"/>
    <x v="616"/>
    <x v="453"/>
    <x v="3"/>
    <x v="2"/>
    <x v="212"/>
    <x v="7"/>
    <x v="2"/>
    <x v="1"/>
    <x v="4"/>
    <n v="0.3"/>
    <x v="567"/>
    <x v="509"/>
    <n v="77.7"/>
    <x v="2"/>
  </r>
  <r>
    <x v="616"/>
    <x v="617"/>
    <x v="454"/>
    <x v="100"/>
    <x v="0"/>
    <x v="213"/>
    <x v="7"/>
    <x v="0"/>
    <x v="0"/>
    <x v="0"/>
    <n v="0.25"/>
    <x v="568"/>
    <x v="510"/>
    <n v="569.25"/>
    <x v="1"/>
  </r>
  <r>
    <x v="617"/>
    <x v="618"/>
    <x v="98"/>
    <x v="210"/>
    <x v="1"/>
    <x v="213"/>
    <x v="7"/>
    <x v="1"/>
    <x v="0"/>
    <x v="2"/>
    <n v="0.1"/>
    <x v="569"/>
    <x v="511"/>
    <n v="728.1"/>
    <x v="0"/>
  </r>
  <r>
    <x v="618"/>
    <x v="619"/>
    <x v="455"/>
    <x v="451"/>
    <x v="0"/>
    <x v="213"/>
    <x v="7"/>
    <x v="2"/>
    <x v="1"/>
    <x v="5"/>
    <n v="0.25"/>
    <x v="139"/>
    <x v="134"/>
    <n v="969.75"/>
    <x v="2"/>
  </r>
  <r>
    <x v="619"/>
    <x v="620"/>
    <x v="90"/>
    <x v="452"/>
    <x v="5"/>
    <x v="214"/>
    <x v="7"/>
    <x v="0"/>
    <x v="2"/>
    <x v="6"/>
    <n v="0.2"/>
    <x v="570"/>
    <x v="512"/>
    <n v="1304"/>
    <x v="2"/>
  </r>
  <r>
    <x v="620"/>
    <x v="621"/>
    <x v="135"/>
    <x v="453"/>
    <x v="5"/>
    <x v="214"/>
    <x v="7"/>
    <x v="0"/>
    <x v="1"/>
    <x v="1"/>
    <n v="0.2"/>
    <x v="571"/>
    <x v="513"/>
    <n v="1166.4000000000001"/>
    <x v="1"/>
  </r>
  <r>
    <x v="621"/>
    <x v="622"/>
    <x v="364"/>
    <x v="112"/>
    <x v="1"/>
    <x v="214"/>
    <x v="7"/>
    <x v="1"/>
    <x v="1"/>
    <x v="6"/>
    <n v="0.1"/>
    <x v="572"/>
    <x v="514"/>
    <n v="104.4"/>
    <x v="2"/>
  </r>
  <r>
    <x v="622"/>
    <x v="623"/>
    <x v="167"/>
    <x v="396"/>
    <x v="0"/>
    <x v="215"/>
    <x v="7"/>
    <x v="2"/>
    <x v="0"/>
    <x v="6"/>
    <n v="0.25"/>
    <x v="29"/>
    <x v="28"/>
    <n v="1155"/>
    <x v="2"/>
  </r>
  <r>
    <x v="623"/>
    <x v="624"/>
    <x v="123"/>
    <x v="18"/>
    <x v="0"/>
    <x v="215"/>
    <x v="7"/>
    <x v="2"/>
    <x v="1"/>
    <x v="2"/>
    <n v="0.25"/>
    <x v="573"/>
    <x v="515"/>
    <n v="711.75"/>
    <x v="0"/>
  </r>
  <r>
    <x v="624"/>
    <x v="625"/>
    <x v="180"/>
    <x v="454"/>
    <x v="2"/>
    <x v="215"/>
    <x v="7"/>
    <x v="0"/>
    <x v="0"/>
    <x v="3"/>
    <n v="0.3"/>
    <x v="574"/>
    <x v="516"/>
    <n v="118.3"/>
    <x v="4"/>
  </r>
  <r>
    <x v="625"/>
    <x v="626"/>
    <x v="132"/>
    <x v="63"/>
    <x v="4"/>
    <x v="215"/>
    <x v="7"/>
    <x v="2"/>
    <x v="2"/>
    <x v="1"/>
    <n v="0.25"/>
    <x v="575"/>
    <x v="517"/>
    <n v="666"/>
    <x v="3"/>
  </r>
  <r>
    <x v="626"/>
    <x v="627"/>
    <x v="15"/>
    <x v="433"/>
    <x v="5"/>
    <x v="215"/>
    <x v="7"/>
    <x v="1"/>
    <x v="2"/>
    <x v="2"/>
    <n v="0.2"/>
    <x v="576"/>
    <x v="518"/>
    <n v="202.4"/>
    <x v="4"/>
  </r>
  <r>
    <x v="627"/>
    <x v="628"/>
    <x v="299"/>
    <x v="455"/>
    <x v="3"/>
    <x v="216"/>
    <x v="7"/>
    <x v="0"/>
    <x v="2"/>
    <x v="6"/>
    <n v="0.3"/>
    <x v="577"/>
    <x v="519"/>
    <n v="385"/>
    <x v="0"/>
  </r>
  <r>
    <x v="628"/>
    <x v="629"/>
    <x v="456"/>
    <x v="206"/>
    <x v="0"/>
    <x v="217"/>
    <x v="7"/>
    <x v="1"/>
    <x v="2"/>
    <x v="1"/>
    <n v="0.25"/>
    <x v="578"/>
    <x v="520"/>
    <n v="636"/>
    <x v="2"/>
  </r>
  <r>
    <x v="629"/>
    <x v="630"/>
    <x v="457"/>
    <x v="456"/>
    <x v="0"/>
    <x v="218"/>
    <x v="7"/>
    <x v="1"/>
    <x v="1"/>
    <x v="1"/>
    <n v="0.25"/>
    <x v="579"/>
    <x v="521"/>
    <n v="577.5"/>
    <x v="1"/>
  </r>
  <r>
    <x v="630"/>
    <x v="631"/>
    <x v="434"/>
    <x v="206"/>
    <x v="4"/>
    <x v="218"/>
    <x v="7"/>
    <x v="2"/>
    <x v="0"/>
    <x v="2"/>
    <n v="0.25"/>
    <x v="580"/>
    <x v="522"/>
    <n v="305.25"/>
    <x v="2"/>
  </r>
  <r>
    <x v="631"/>
    <x v="632"/>
    <x v="458"/>
    <x v="160"/>
    <x v="0"/>
    <x v="218"/>
    <x v="7"/>
    <x v="1"/>
    <x v="1"/>
    <x v="6"/>
    <n v="0.25"/>
    <x v="581"/>
    <x v="523"/>
    <n v="222.75"/>
    <x v="2"/>
  </r>
  <r>
    <x v="632"/>
    <x v="633"/>
    <x v="459"/>
    <x v="457"/>
    <x v="0"/>
    <x v="218"/>
    <x v="7"/>
    <x v="0"/>
    <x v="1"/>
    <x v="7"/>
    <n v="0.25"/>
    <x v="582"/>
    <x v="420"/>
    <n v="516.75"/>
    <x v="2"/>
  </r>
  <r>
    <x v="633"/>
    <x v="634"/>
    <x v="460"/>
    <x v="275"/>
    <x v="3"/>
    <x v="218"/>
    <x v="7"/>
    <x v="1"/>
    <x v="0"/>
    <x v="6"/>
    <n v="0.3"/>
    <x v="583"/>
    <x v="524"/>
    <n v="893.2"/>
    <x v="4"/>
  </r>
  <r>
    <x v="634"/>
    <x v="635"/>
    <x v="417"/>
    <x v="458"/>
    <x v="3"/>
    <x v="218"/>
    <x v="7"/>
    <x v="2"/>
    <x v="1"/>
    <x v="2"/>
    <n v="0.3"/>
    <x v="584"/>
    <x v="525"/>
    <n v="966"/>
    <x v="1"/>
  </r>
  <r>
    <x v="635"/>
    <x v="636"/>
    <x v="179"/>
    <x v="166"/>
    <x v="0"/>
    <x v="219"/>
    <x v="7"/>
    <x v="1"/>
    <x v="0"/>
    <x v="1"/>
    <n v="0.25"/>
    <x v="585"/>
    <x v="526"/>
    <n v="272.25"/>
    <x v="1"/>
  </r>
  <r>
    <x v="636"/>
    <x v="637"/>
    <x v="461"/>
    <x v="459"/>
    <x v="0"/>
    <x v="219"/>
    <x v="7"/>
    <x v="2"/>
    <x v="0"/>
    <x v="4"/>
    <n v="0.25"/>
    <x v="586"/>
    <x v="527"/>
    <n v="231.75"/>
    <x v="0"/>
  </r>
  <r>
    <x v="637"/>
    <x v="638"/>
    <x v="462"/>
    <x v="173"/>
    <x v="0"/>
    <x v="219"/>
    <x v="7"/>
    <x v="1"/>
    <x v="1"/>
    <x v="5"/>
    <n v="0.25"/>
    <x v="587"/>
    <x v="528"/>
    <n v="424.5"/>
    <x v="1"/>
  </r>
  <r>
    <x v="638"/>
    <x v="639"/>
    <x v="143"/>
    <x v="403"/>
    <x v="4"/>
    <x v="219"/>
    <x v="7"/>
    <x v="2"/>
    <x v="1"/>
    <x v="7"/>
    <n v="0.25"/>
    <x v="588"/>
    <x v="529"/>
    <n v="183.75"/>
    <x v="1"/>
  </r>
  <r>
    <x v="639"/>
    <x v="640"/>
    <x v="463"/>
    <x v="439"/>
    <x v="1"/>
    <x v="219"/>
    <x v="7"/>
    <x v="0"/>
    <x v="3"/>
    <x v="3"/>
    <n v="0.1"/>
    <x v="518"/>
    <x v="530"/>
    <n v="1487.7"/>
    <x v="0"/>
  </r>
  <r>
    <x v="640"/>
    <x v="641"/>
    <x v="464"/>
    <x v="166"/>
    <x v="0"/>
    <x v="219"/>
    <x v="7"/>
    <x v="2"/>
    <x v="0"/>
    <x v="3"/>
    <n v="0.25"/>
    <x v="589"/>
    <x v="531"/>
    <n v="141"/>
    <x v="0"/>
  </r>
  <r>
    <x v="641"/>
    <x v="642"/>
    <x v="465"/>
    <x v="166"/>
    <x v="2"/>
    <x v="219"/>
    <x v="7"/>
    <x v="1"/>
    <x v="1"/>
    <x v="2"/>
    <n v="0.3"/>
    <x v="590"/>
    <x v="434"/>
    <n v="401.1"/>
    <x v="1"/>
  </r>
  <r>
    <x v="642"/>
    <x v="643"/>
    <x v="201"/>
    <x v="460"/>
    <x v="0"/>
    <x v="220"/>
    <x v="7"/>
    <x v="1"/>
    <x v="3"/>
    <x v="7"/>
    <n v="0.25"/>
    <x v="591"/>
    <x v="532"/>
    <n v="188.25"/>
    <x v="4"/>
  </r>
  <r>
    <x v="643"/>
    <x v="644"/>
    <x v="466"/>
    <x v="444"/>
    <x v="3"/>
    <x v="220"/>
    <x v="7"/>
    <x v="2"/>
    <x v="1"/>
    <x v="7"/>
    <n v="0.3"/>
    <x v="592"/>
    <x v="386"/>
    <n v="534.79999999999995"/>
    <x v="4"/>
  </r>
  <r>
    <x v="644"/>
    <x v="645"/>
    <x v="467"/>
    <x v="461"/>
    <x v="1"/>
    <x v="220"/>
    <x v="7"/>
    <x v="0"/>
    <x v="1"/>
    <x v="2"/>
    <n v="0.1"/>
    <x v="593"/>
    <x v="533"/>
    <n v="848.7"/>
    <x v="2"/>
  </r>
  <r>
    <x v="645"/>
    <x v="646"/>
    <x v="427"/>
    <x v="110"/>
    <x v="3"/>
    <x v="220"/>
    <x v="7"/>
    <x v="2"/>
    <x v="0"/>
    <x v="2"/>
    <n v="0.3"/>
    <x v="594"/>
    <x v="534"/>
    <n v="61.6"/>
    <x v="0"/>
  </r>
  <r>
    <x v="646"/>
    <x v="647"/>
    <x v="468"/>
    <x v="462"/>
    <x v="0"/>
    <x v="220"/>
    <x v="7"/>
    <x v="2"/>
    <x v="1"/>
    <x v="1"/>
    <n v="0.25"/>
    <x v="595"/>
    <x v="98"/>
    <n v="962.25"/>
    <x v="2"/>
  </r>
  <r>
    <x v="647"/>
    <x v="648"/>
    <x v="469"/>
    <x v="463"/>
    <x v="2"/>
    <x v="221"/>
    <x v="7"/>
    <x v="1"/>
    <x v="0"/>
    <x v="7"/>
    <n v="0.3"/>
    <x v="596"/>
    <x v="535"/>
    <n v="578.9"/>
    <x v="4"/>
  </r>
  <r>
    <x v="648"/>
    <x v="649"/>
    <x v="374"/>
    <x v="464"/>
    <x v="3"/>
    <x v="221"/>
    <x v="7"/>
    <x v="0"/>
    <x v="3"/>
    <x v="7"/>
    <n v="0.3"/>
    <x v="597"/>
    <x v="536"/>
    <n v="140.69999999999999"/>
    <x v="4"/>
  </r>
  <r>
    <x v="649"/>
    <x v="650"/>
    <x v="470"/>
    <x v="364"/>
    <x v="5"/>
    <x v="221"/>
    <x v="7"/>
    <x v="2"/>
    <x v="3"/>
    <x v="2"/>
    <n v="0.2"/>
    <x v="598"/>
    <x v="382"/>
    <n v="210.4"/>
    <x v="2"/>
  </r>
  <r>
    <x v="650"/>
    <x v="651"/>
    <x v="385"/>
    <x v="465"/>
    <x v="1"/>
    <x v="221"/>
    <x v="7"/>
    <x v="0"/>
    <x v="2"/>
    <x v="4"/>
    <n v="0.1"/>
    <x v="406"/>
    <x v="537"/>
    <n v="279"/>
    <x v="4"/>
  </r>
  <r>
    <x v="651"/>
    <x v="652"/>
    <x v="471"/>
    <x v="229"/>
    <x v="5"/>
    <x v="221"/>
    <x v="7"/>
    <x v="0"/>
    <x v="1"/>
    <x v="0"/>
    <n v="0.2"/>
    <x v="599"/>
    <x v="538"/>
    <n v="436"/>
    <x v="2"/>
  </r>
  <r>
    <x v="652"/>
    <x v="653"/>
    <x v="472"/>
    <x v="466"/>
    <x v="1"/>
    <x v="222"/>
    <x v="7"/>
    <x v="2"/>
    <x v="1"/>
    <x v="3"/>
    <n v="0.1"/>
    <x v="194"/>
    <x v="539"/>
    <n v="1466.1"/>
    <x v="0"/>
  </r>
  <r>
    <x v="653"/>
    <x v="654"/>
    <x v="229"/>
    <x v="238"/>
    <x v="1"/>
    <x v="223"/>
    <x v="7"/>
    <x v="0"/>
    <x v="1"/>
    <x v="5"/>
    <n v="0.1"/>
    <x v="600"/>
    <x v="540"/>
    <n v="1102.5"/>
    <x v="1"/>
  </r>
  <r>
    <x v="654"/>
    <x v="655"/>
    <x v="121"/>
    <x v="467"/>
    <x v="1"/>
    <x v="223"/>
    <x v="7"/>
    <x v="0"/>
    <x v="0"/>
    <x v="3"/>
    <n v="0.1"/>
    <x v="601"/>
    <x v="541"/>
    <n v="1292.4000000000001"/>
    <x v="1"/>
  </r>
  <r>
    <x v="655"/>
    <x v="656"/>
    <x v="473"/>
    <x v="468"/>
    <x v="3"/>
    <x v="224"/>
    <x v="7"/>
    <x v="1"/>
    <x v="0"/>
    <x v="1"/>
    <n v="0.3"/>
    <x v="602"/>
    <x v="542"/>
    <n v="704.2"/>
    <x v="1"/>
  </r>
  <r>
    <x v="656"/>
    <x v="657"/>
    <x v="474"/>
    <x v="469"/>
    <x v="0"/>
    <x v="225"/>
    <x v="7"/>
    <x v="0"/>
    <x v="3"/>
    <x v="3"/>
    <n v="0.25"/>
    <x v="603"/>
    <x v="543"/>
    <n v="758.25"/>
    <x v="2"/>
  </r>
  <r>
    <x v="657"/>
    <x v="658"/>
    <x v="475"/>
    <x v="73"/>
    <x v="2"/>
    <x v="225"/>
    <x v="7"/>
    <x v="2"/>
    <x v="1"/>
    <x v="7"/>
    <n v="0.3"/>
    <x v="604"/>
    <x v="544"/>
    <n v="1250.9000000000001"/>
    <x v="0"/>
  </r>
  <r>
    <x v="658"/>
    <x v="659"/>
    <x v="366"/>
    <x v="470"/>
    <x v="0"/>
    <x v="225"/>
    <x v="7"/>
    <x v="0"/>
    <x v="0"/>
    <x v="5"/>
    <n v="0.25"/>
    <x v="605"/>
    <x v="545"/>
    <n v="1201.5"/>
    <x v="1"/>
  </r>
  <r>
    <x v="659"/>
    <x v="660"/>
    <x v="476"/>
    <x v="471"/>
    <x v="0"/>
    <x v="225"/>
    <x v="7"/>
    <x v="0"/>
    <x v="2"/>
    <x v="7"/>
    <n v="0.25"/>
    <x v="606"/>
    <x v="546"/>
    <n v="348"/>
    <x v="2"/>
  </r>
  <r>
    <x v="660"/>
    <x v="661"/>
    <x v="477"/>
    <x v="175"/>
    <x v="5"/>
    <x v="226"/>
    <x v="8"/>
    <x v="2"/>
    <x v="1"/>
    <x v="0"/>
    <n v="0.2"/>
    <x v="607"/>
    <x v="83"/>
    <n v="200"/>
    <x v="4"/>
  </r>
  <r>
    <x v="661"/>
    <x v="662"/>
    <x v="478"/>
    <x v="84"/>
    <x v="3"/>
    <x v="226"/>
    <x v="8"/>
    <x v="2"/>
    <x v="0"/>
    <x v="0"/>
    <n v="0.3"/>
    <x v="608"/>
    <x v="547"/>
    <n v="651.70000000000005"/>
    <x v="3"/>
  </r>
  <r>
    <x v="662"/>
    <x v="663"/>
    <x v="157"/>
    <x v="472"/>
    <x v="4"/>
    <x v="227"/>
    <x v="8"/>
    <x v="2"/>
    <x v="1"/>
    <x v="5"/>
    <n v="0.25"/>
    <x v="609"/>
    <x v="499"/>
    <n v="978.75"/>
    <x v="1"/>
  </r>
  <r>
    <x v="663"/>
    <x v="664"/>
    <x v="479"/>
    <x v="473"/>
    <x v="1"/>
    <x v="227"/>
    <x v="8"/>
    <x v="2"/>
    <x v="0"/>
    <x v="4"/>
    <n v="0.1"/>
    <x v="610"/>
    <x v="347"/>
    <n v="499.5"/>
    <x v="3"/>
  </r>
  <r>
    <x v="664"/>
    <x v="665"/>
    <x v="118"/>
    <x v="340"/>
    <x v="3"/>
    <x v="228"/>
    <x v="8"/>
    <x v="1"/>
    <x v="0"/>
    <x v="3"/>
    <n v="0.3"/>
    <x v="584"/>
    <x v="525"/>
    <n v="966"/>
    <x v="0"/>
  </r>
  <r>
    <x v="665"/>
    <x v="666"/>
    <x v="480"/>
    <x v="222"/>
    <x v="0"/>
    <x v="229"/>
    <x v="8"/>
    <x v="1"/>
    <x v="1"/>
    <x v="2"/>
    <n v="0.25"/>
    <x v="611"/>
    <x v="548"/>
    <n v="1316.25"/>
    <x v="2"/>
  </r>
  <r>
    <x v="666"/>
    <x v="667"/>
    <x v="94"/>
    <x v="155"/>
    <x v="3"/>
    <x v="229"/>
    <x v="8"/>
    <x v="2"/>
    <x v="2"/>
    <x v="2"/>
    <n v="0.3"/>
    <x v="612"/>
    <x v="549"/>
    <n v="98.7"/>
    <x v="3"/>
  </r>
  <r>
    <x v="667"/>
    <x v="668"/>
    <x v="481"/>
    <x v="474"/>
    <x v="1"/>
    <x v="229"/>
    <x v="8"/>
    <x v="0"/>
    <x v="0"/>
    <x v="3"/>
    <n v="0.1"/>
    <x v="145"/>
    <x v="550"/>
    <n v="364.5"/>
    <x v="2"/>
  </r>
  <r>
    <x v="668"/>
    <x v="669"/>
    <x v="461"/>
    <x v="66"/>
    <x v="3"/>
    <x v="230"/>
    <x v="8"/>
    <x v="0"/>
    <x v="0"/>
    <x v="1"/>
    <n v="0.3"/>
    <x v="613"/>
    <x v="551"/>
    <n v="38.5"/>
    <x v="1"/>
  </r>
  <r>
    <x v="669"/>
    <x v="670"/>
    <x v="10"/>
    <x v="81"/>
    <x v="5"/>
    <x v="230"/>
    <x v="8"/>
    <x v="1"/>
    <x v="1"/>
    <x v="2"/>
    <n v="0.2"/>
    <x v="614"/>
    <x v="552"/>
    <n v="825.6"/>
    <x v="4"/>
  </r>
  <r>
    <x v="670"/>
    <x v="671"/>
    <x v="482"/>
    <x v="475"/>
    <x v="2"/>
    <x v="230"/>
    <x v="8"/>
    <x v="0"/>
    <x v="0"/>
    <x v="1"/>
    <n v="0.3"/>
    <x v="571"/>
    <x v="553"/>
    <n v="680.4"/>
    <x v="3"/>
  </r>
  <r>
    <x v="671"/>
    <x v="672"/>
    <x v="483"/>
    <x v="476"/>
    <x v="3"/>
    <x v="230"/>
    <x v="8"/>
    <x v="1"/>
    <x v="0"/>
    <x v="7"/>
    <n v="0.3"/>
    <x v="615"/>
    <x v="232"/>
    <n v="39.9"/>
    <x v="1"/>
  </r>
  <r>
    <x v="672"/>
    <x v="673"/>
    <x v="3"/>
    <x v="106"/>
    <x v="0"/>
    <x v="231"/>
    <x v="8"/>
    <x v="2"/>
    <x v="0"/>
    <x v="6"/>
    <n v="0.25"/>
    <x v="616"/>
    <x v="52"/>
    <n v="890.25"/>
    <x v="2"/>
  </r>
  <r>
    <x v="673"/>
    <x v="674"/>
    <x v="484"/>
    <x v="460"/>
    <x v="3"/>
    <x v="231"/>
    <x v="8"/>
    <x v="0"/>
    <x v="0"/>
    <x v="1"/>
    <n v="0.3"/>
    <x v="617"/>
    <x v="16"/>
    <n v="793.8"/>
    <x v="1"/>
  </r>
  <r>
    <x v="674"/>
    <x v="675"/>
    <x v="485"/>
    <x v="477"/>
    <x v="5"/>
    <x v="231"/>
    <x v="8"/>
    <x v="2"/>
    <x v="2"/>
    <x v="0"/>
    <n v="0.2"/>
    <x v="618"/>
    <x v="554"/>
    <n v="132"/>
    <x v="4"/>
  </r>
  <r>
    <x v="675"/>
    <x v="676"/>
    <x v="148"/>
    <x v="478"/>
    <x v="1"/>
    <x v="231"/>
    <x v="8"/>
    <x v="1"/>
    <x v="1"/>
    <x v="2"/>
    <n v="0.1"/>
    <x v="288"/>
    <x v="555"/>
    <n v="1142.0999999999999"/>
    <x v="1"/>
  </r>
  <r>
    <x v="676"/>
    <x v="677"/>
    <x v="486"/>
    <x v="136"/>
    <x v="0"/>
    <x v="232"/>
    <x v="8"/>
    <x v="1"/>
    <x v="1"/>
    <x v="6"/>
    <n v="0.25"/>
    <x v="619"/>
    <x v="556"/>
    <n v="1345.5"/>
    <x v="3"/>
  </r>
  <r>
    <x v="677"/>
    <x v="678"/>
    <x v="246"/>
    <x v="479"/>
    <x v="4"/>
    <x v="233"/>
    <x v="8"/>
    <x v="1"/>
    <x v="0"/>
    <x v="1"/>
    <n v="0.25"/>
    <x v="620"/>
    <x v="557"/>
    <n v="81.75"/>
    <x v="2"/>
  </r>
  <r>
    <x v="678"/>
    <x v="679"/>
    <x v="105"/>
    <x v="126"/>
    <x v="0"/>
    <x v="233"/>
    <x v="8"/>
    <x v="2"/>
    <x v="0"/>
    <x v="4"/>
    <n v="0.25"/>
    <x v="621"/>
    <x v="558"/>
    <n v="1287.75"/>
    <x v="4"/>
  </r>
  <r>
    <x v="679"/>
    <x v="680"/>
    <x v="487"/>
    <x v="480"/>
    <x v="5"/>
    <x v="233"/>
    <x v="8"/>
    <x v="0"/>
    <x v="2"/>
    <x v="1"/>
    <n v="0.2"/>
    <x v="622"/>
    <x v="559"/>
    <n v="516"/>
    <x v="4"/>
  </r>
  <r>
    <x v="680"/>
    <x v="681"/>
    <x v="488"/>
    <x v="481"/>
    <x v="3"/>
    <x v="233"/>
    <x v="8"/>
    <x v="1"/>
    <x v="0"/>
    <x v="1"/>
    <n v="0.3"/>
    <x v="623"/>
    <x v="560"/>
    <n v="991.9"/>
    <x v="4"/>
  </r>
  <r>
    <x v="681"/>
    <x v="682"/>
    <x v="26"/>
    <x v="482"/>
    <x v="3"/>
    <x v="234"/>
    <x v="8"/>
    <x v="0"/>
    <x v="3"/>
    <x v="7"/>
    <n v="0.3"/>
    <x v="624"/>
    <x v="59"/>
    <n v="149.80000000000001"/>
    <x v="3"/>
  </r>
  <r>
    <x v="682"/>
    <x v="683"/>
    <x v="489"/>
    <x v="483"/>
    <x v="0"/>
    <x v="235"/>
    <x v="8"/>
    <x v="0"/>
    <x v="1"/>
    <x v="0"/>
    <n v="0.25"/>
    <x v="625"/>
    <x v="561"/>
    <n v="1236"/>
    <x v="4"/>
  </r>
  <r>
    <x v="683"/>
    <x v="684"/>
    <x v="490"/>
    <x v="14"/>
    <x v="1"/>
    <x v="235"/>
    <x v="8"/>
    <x v="1"/>
    <x v="0"/>
    <x v="2"/>
    <n v="0.1"/>
    <x v="626"/>
    <x v="562"/>
    <n v="1553.4"/>
    <x v="1"/>
  </r>
  <r>
    <x v="684"/>
    <x v="685"/>
    <x v="15"/>
    <x v="484"/>
    <x v="2"/>
    <x v="235"/>
    <x v="8"/>
    <x v="2"/>
    <x v="0"/>
    <x v="5"/>
    <n v="0.3"/>
    <x v="627"/>
    <x v="563"/>
    <n v="1145.2"/>
    <x v="4"/>
  </r>
  <r>
    <x v="685"/>
    <x v="686"/>
    <x v="86"/>
    <x v="376"/>
    <x v="0"/>
    <x v="236"/>
    <x v="8"/>
    <x v="0"/>
    <x v="0"/>
    <x v="2"/>
    <n v="0.25"/>
    <x v="628"/>
    <x v="564"/>
    <n v="745.5"/>
    <x v="3"/>
  </r>
  <r>
    <x v="686"/>
    <x v="687"/>
    <x v="203"/>
    <x v="108"/>
    <x v="5"/>
    <x v="236"/>
    <x v="8"/>
    <x v="0"/>
    <x v="1"/>
    <x v="7"/>
    <n v="0.2"/>
    <x v="566"/>
    <x v="565"/>
    <n v="392"/>
    <x v="3"/>
  </r>
  <r>
    <x v="687"/>
    <x v="688"/>
    <x v="191"/>
    <x v="387"/>
    <x v="0"/>
    <x v="236"/>
    <x v="8"/>
    <x v="2"/>
    <x v="0"/>
    <x v="5"/>
    <n v="0.25"/>
    <x v="629"/>
    <x v="566"/>
    <n v="902.25"/>
    <x v="0"/>
  </r>
  <r>
    <x v="688"/>
    <x v="689"/>
    <x v="491"/>
    <x v="36"/>
    <x v="2"/>
    <x v="236"/>
    <x v="8"/>
    <x v="1"/>
    <x v="0"/>
    <x v="3"/>
    <n v="0.3"/>
    <x v="630"/>
    <x v="567"/>
    <n v="683.2"/>
    <x v="1"/>
  </r>
  <r>
    <x v="689"/>
    <x v="690"/>
    <x v="492"/>
    <x v="485"/>
    <x v="1"/>
    <x v="237"/>
    <x v="8"/>
    <x v="1"/>
    <x v="0"/>
    <x v="5"/>
    <n v="0.1"/>
    <x v="182"/>
    <x v="568"/>
    <n v="1109.7"/>
    <x v="2"/>
  </r>
  <r>
    <x v="690"/>
    <x v="691"/>
    <x v="97"/>
    <x v="359"/>
    <x v="4"/>
    <x v="238"/>
    <x v="8"/>
    <x v="1"/>
    <x v="0"/>
    <x v="1"/>
    <n v="0.25"/>
    <x v="631"/>
    <x v="569"/>
    <n v="1020.75"/>
    <x v="1"/>
  </r>
  <r>
    <x v="691"/>
    <x v="692"/>
    <x v="96"/>
    <x v="486"/>
    <x v="0"/>
    <x v="238"/>
    <x v="8"/>
    <x v="2"/>
    <x v="1"/>
    <x v="1"/>
    <n v="0.25"/>
    <x v="632"/>
    <x v="570"/>
    <n v="617.25"/>
    <x v="2"/>
  </r>
  <r>
    <x v="692"/>
    <x v="693"/>
    <x v="493"/>
    <x v="393"/>
    <x v="0"/>
    <x v="239"/>
    <x v="8"/>
    <x v="0"/>
    <x v="0"/>
    <x v="7"/>
    <n v="0.25"/>
    <x v="633"/>
    <x v="571"/>
    <n v="1099.5"/>
    <x v="0"/>
  </r>
  <r>
    <x v="693"/>
    <x v="694"/>
    <x v="278"/>
    <x v="487"/>
    <x v="2"/>
    <x v="239"/>
    <x v="8"/>
    <x v="1"/>
    <x v="1"/>
    <x v="3"/>
    <n v="0.3"/>
    <x v="634"/>
    <x v="572"/>
    <n v="1303.4000000000001"/>
    <x v="4"/>
  </r>
  <r>
    <x v="694"/>
    <x v="695"/>
    <x v="494"/>
    <x v="488"/>
    <x v="4"/>
    <x v="240"/>
    <x v="8"/>
    <x v="1"/>
    <x v="0"/>
    <x v="6"/>
    <n v="0.25"/>
    <x v="486"/>
    <x v="439"/>
    <n v="746.25"/>
    <x v="4"/>
  </r>
  <r>
    <x v="695"/>
    <x v="696"/>
    <x v="495"/>
    <x v="489"/>
    <x v="0"/>
    <x v="240"/>
    <x v="8"/>
    <x v="2"/>
    <x v="2"/>
    <x v="3"/>
    <n v="0.25"/>
    <x v="635"/>
    <x v="573"/>
    <n v="1105.5"/>
    <x v="3"/>
  </r>
  <r>
    <x v="696"/>
    <x v="697"/>
    <x v="496"/>
    <x v="490"/>
    <x v="0"/>
    <x v="240"/>
    <x v="8"/>
    <x v="1"/>
    <x v="1"/>
    <x v="5"/>
    <n v="0.25"/>
    <x v="636"/>
    <x v="224"/>
    <n v="977.25"/>
    <x v="2"/>
  </r>
  <r>
    <x v="697"/>
    <x v="698"/>
    <x v="327"/>
    <x v="192"/>
    <x v="2"/>
    <x v="240"/>
    <x v="8"/>
    <x v="1"/>
    <x v="3"/>
    <x v="6"/>
    <n v="0.3"/>
    <x v="637"/>
    <x v="574"/>
    <n v="165.9"/>
    <x v="1"/>
  </r>
  <r>
    <x v="698"/>
    <x v="699"/>
    <x v="497"/>
    <x v="82"/>
    <x v="5"/>
    <x v="240"/>
    <x v="8"/>
    <x v="1"/>
    <x v="0"/>
    <x v="3"/>
    <n v="0.2"/>
    <x v="638"/>
    <x v="575"/>
    <n v="1172"/>
    <x v="2"/>
  </r>
  <r>
    <x v="699"/>
    <x v="700"/>
    <x v="205"/>
    <x v="491"/>
    <x v="4"/>
    <x v="241"/>
    <x v="8"/>
    <x v="0"/>
    <x v="2"/>
    <x v="3"/>
    <n v="0.25"/>
    <x v="639"/>
    <x v="576"/>
    <n v="386.25"/>
    <x v="1"/>
  </r>
  <r>
    <x v="700"/>
    <x v="701"/>
    <x v="127"/>
    <x v="398"/>
    <x v="0"/>
    <x v="241"/>
    <x v="8"/>
    <x v="1"/>
    <x v="1"/>
    <x v="4"/>
    <n v="0.25"/>
    <x v="640"/>
    <x v="577"/>
    <n v="1224"/>
    <x v="4"/>
  </r>
  <r>
    <x v="701"/>
    <x v="702"/>
    <x v="183"/>
    <x v="8"/>
    <x v="4"/>
    <x v="241"/>
    <x v="8"/>
    <x v="0"/>
    <x v="0"/>
    <x v="5"/>
    <n v="0.25"/>
    <x v="641"/>
    <x v="578"/>
    <n v="775.5"/>
    <x v="3"/>
  </r>
  <r>
    <x v="702"/>
    <x v="703"/>
    <x v="498"/>
    <x v="130"/>
    <x v="5"/>
    <x v="241"/>
    <x v="8"/>
    <x v="0"/>
    <x v="0"/>
    <x v="2"/>
    <n v="0.2"/>
    <x v="642"/>
    <x v="510"/>
    <n v="607.20000000000005"/>
    <x v="0"/>
  </r>
  <r>
    <x v="703"/>
    <x v="704"/>
    <x v="216"/>
    <x v="90"/>
    <x v="0"/>
    <x v="241"/>
    <x v="8"/>
    <x v="1"/>
    <x v="1"/>
    <x v="4"/>
    <n v="0.25"/>
    <x v="643"/>
    <x v="579"/>
    <n v="653.25"/>
    <x v="2"/>
  </r>
  <r>
    <x v="704"/>
    <x v="705"/>
    <x v="249"/>
    <x v="398"/>
    <x v="3"/>
    <x v="242"/>
    <x v="8"/>
    <x v="1"/>
    <x v="0"/>
    <x v="2"/>
    <n v="0.3"/>
    <x v="223"/>
    <x v="209"/>
    <n v="1164.0999999999999"/>
    <x v="1"/>
  </r>
  <r>
    <x v="61"/>
    <x v="706"/>
    <x v="59"/>
    <x v="60"/>
    <x v="3"/>
    <x v="242"/>
    <x v="8"/>
    <x v="0"/>
    <x v="1"/>
    <x v="4"/>
    <n v="0.3"/>
    <x v="644"/>
    <x v="322"/>
    <n v="230.3"/>
    <x v="2"/>
  </r>
  <r>
    <x v="705"/>
    <x v="707"/>
    <x v="499"/>
    <x v="240"/>
    <x v="4"/>
    <x v="242"/>
    <x v="8"/>
    <x v="2"/>
    <x v="1"/>
    <x v="5"/>
    <n v="0.25"/>
    <x v="297"/>
    <x v="277"/>
    <n v="1189.5"/>
    <x v="3"/>
  </r>
  <r>
    <x v="706"/>
    <x v="708"/>
    <x v="171"/>
    <x v="249"/>
    <x v="0"/>
    <x v="242"/>
    <x v="8"/>
    <x v="0"/>
    <x v="0"/>
    <x v="5"/>
    <n v="0.25"/>
    <x v="645"/>
    <x v="580"/>
    <n v="42"/>
    <x v="0"/>
  </r>
  <r>
    <x v="707"/>
    <x v="709"/>
    <x v="500"/>
    <x v="34"/>
    <x v="4"/>
    <x v="243"/>
    <x v="8"/>
    <x v="0"/>
    <x v="1"/>
    <x v="3"/>
    <n v="0.25"/>
    <x v="646"/>
    <x v="445"/>
    <n v="239.25"/>
    <x v="3"/>
  </r>
  <r>
    <x v="708"/>
    <x v="710"/>
    <x v="283"/>
    <x v="492"/>
    <x v="0"/>
    <x v="244"/>
    <x v="8"/>
    <x v="0"/>
    <x v="0"/>
    <x v="0"/>
    <n v="0.25"/>
    <x v="647"/>
    <x v="581"/>
    <n v="1213.5"/>
    <x v="2"/>
  </r>
  <r>
    <x v="709"/>
    <x v="711"/>
    <x v="501"/>
    <x v="493"/>
    <x v="4"/>
    <x v="244"/>
    <x v="8"/>
    <x v="1"/>
    <x v="0"/>
    <x v="4"/>
    <n v="0.25"/>
    <x v="440"/>
    <x v="400"/>
    <n v="170.25"/>
    <x v="0"/>
  </r>
  <r>
    <x v="710"/>
    <x v="712"/>
    <x v="502"/>
    <x v="414"/>
    <x v="1"/>
    <x v="244"/>
    <x v="8"/>
    <x v="0"/>
    <x v="0"/>
    <x v="5"/>
    <n v="0.1"/>
    <x v="648"/>
    <x v="582"/>
    <n v="87.3"/>
    <x v="1"/>
  </r>
  <r>
    <x v="711"/>
    <x v="713"/>
    <x v="503"/>
    <x v="323"/>
    <x v="2"/>
    <x v="244"/>
    <x v="8"/>
    <x v="0"/>
    <x v="0"/>
    <x v="6"/>
    <n v="0.3"/>
    <x v="649"/>
    <x v="583"/>
    <n v="1028.3"/>
    <x v="0"/>
  </r>
  <r>
    <x v="712"/>
    <x v="714"/>
    <x v="480"/>
    <x v="253"/>
    <x v="1"/>
    <x v="245"/>
    <x v="8"/>
    <x v="0"/>
    <x v="0"/>
    <x v="5"/>
    <n v="0.1"/>
    <x v="650"/>
    <x v="584"/>
    <n v="574.20000000000005"/>
    <x v="3"/>
  </r>
  <r>
    <x v="713"/>
    <x v="715"/>
    <x v="504"/>
    <x v="494"/>
    <x v="0"/>
    <x v="246"/>
    <x v="8"/>
    <x v="0"/>
    <x v="0"/>
    <x v="3"/>
    <n v="0.25"/>
    <x v="651"/>
    <x v="585"/>
    <n v="843"/>
    <x v="1"/>
  </r>
  <r>
    <x v="714"/>
    <x v="716"/>
    <x v="457"/>
    <x v="382"/>
    <x v="5"/>
    <x v="246"/>
    <x v="8"/>
    <x v="0"/>
    <x v="1"/>
    <x v="4"/>
    <n v="0.2"/>
    <x v="652"/>
    <x v="586"/>
    <n v="370.4"/>
    <x v="1"/>
  </r>
  <r>
    <x v="715"/>
    <x v="717"/>
    <x v="505"/>
    <x v="83"/>
    <x v="0"/>
    <x v="246"/>
    <x v="8"/>
    <x v="2"/>
    <x v="1"/>
    <x v="3"/>
    <n v="0.25"/>
    <x v="653"/>
    <x v="587"/>
    <n v="686.25"/>
    <x v="1"/>
  </r>
  <r>
    <x v="716"/>
    <x v="718"/>
    <x v="506"/>
    <x v="495"/>
    <x v="4"/>
    <x v="246"/>
    <x v="8"/>
    <x v="2"/>
    <x v="1"/>
    <x v="3"/>
    <n v="0.25"/>
    <x v="654"/>
    <x v="588"/>
    <n v="1154.25"/>
    <x v="0"/>
  </r>
  <r>
    <x v="717"/>
    <x v="719"/>
    <x v="30"/>
    <x v="423"/>
    <x v="5"/>
    <x v="246"/>
    <x v="8"/>
    <x v="2"/>
    <x v="2"/>
    <x v="5"/>
    <n v="0.2"/>
    <x v="655"/>
    <x v="589"/>
    <n v="845.6"/>
    <x v="4"/>
  </r>
  <r>
    <x v="718"/>
    <x v="720"/>
    <x v="507"/>
    <x v="127"/>
    <x v="2"/>
    <x v="246"/>
    <x v="8"/>
    <x v="1"/>
    <x v="0"/>
    <x v="4"/>
    <n v="0.3"/>
    <x v="656"/>
    <x v="590"/>
    <n v="457.1"/>
    <x v="0"/>
  </r>
  <r>
    <x v="719"/>
    <x v="721"/>
    <x v="508"/>
    <x v="496"/>
    <x v="2"/>
    <x v="247"/>
    <x v="8"/>
    <x v="0"/>
    <x v="3"/>
    <x v="7"/>
    <n v="0.3"/>
    <x v="657"/>
    <x v="591"/>
    <n v="278.60000000000002"/>
    <x v="4"/>
  </r>
  <r>
    <x v="720"/>
    <x v="722"/>
    <x v="258"/>
    <x v="497"/>
    <x v="3"/>
    <x v="247"/>
    <x v="8"/>
    <x v="2"/>
    <x v="1"/>
    <x v="5"/>
    <n v="0.3"/>
    <x v="658"/>
    <x v="592"/>
    <n v="827.4"/>
    <x v="1"/>
  </r>
  <r>
    <x v="721"/>
    <x v="723"/>
    <x v="509"/>
    <x v="121"/>
    <x v="1"/>
    <x v="248"/>
    <x v="8"/>
    <x v="0"/>
    <x v="2"/>
    <x v="1"/>
    <n v="0.1"/>
    <x v="659"/>
    <x v="593"/>
    <n v="654.29999999999995"/>
    <x v="4"/>
  </r>
  <r>
    <x v="722"/>
    <x v="724"/>
    <x v="502"/>
    <x v="387"/>
    <x v="1"/>
    <x v="248"/>
    <x v="8"/>
    <x v="1"/>
    <x v="0"/>
    <x v="0"/>
    <n v="0.1"/>
    <x v="660"/>
    <x v="594"/>
    <n v="1554.3"/>
    <x v="4"/>
  </r>
  <r>
    <x v="723"/>
    <x v="725"/>
    <x v="52"/>
    <x v="257"/>
    <x v="3"/>
    <x v="248"/>
    <x v="8"/>
    <x v="0"/>
    <x v="1"/>
    <x v="6"/>
    <n v="0.3"/>
    <x v="661"/>
    <x v="595"/>
    <n v="1239"/>
    <x v="2"/>
  </r>
  <r>
    <x v="724"/>
    <x v="726"/>
    <x v="510"/>
    <x v="423"/>
    <x v="3"/>
    <x v="249"/>
    <x v="8"/>
    <x v="2"/>
    <x v="1"/>
    <x v="0"/>
    <n v="0.3"/>
    <x v="662"/>
    <x v="596"/>
    <n v="716.1"/>
    <x v="3"/>
  </r>
  <r>
    <x v="725"/>
    <x v="727"/>
    <x v="511"/>
    <x v="337"/>
    <x v="0"/>
    <x v="249"/>
    <x v="8"/>
    <x v="2"/>
    <x v="0"/>
    <x v="7"/>
    <n v="0.25"/>
    <x v="663"/>
    <x v="597"/>
    <n v="251.25"/>
    <x v="1"/>
  </r>
  <r>
    <x v="726"/>
    <x v="728"/>
    <x v="78"/>
    <x v="498"/>
    <x v="4"/>
    <x v="249"/>
    <x v="8"/>
    <x v="0"/>
    <x v="1"/>
    <x v="7"/>
    <n v="0.25"/>
    <x v="664"/>
    <x v="127"/>
    <n v="773.25"/>
    <x v="4"/>
  </r>
  <r>
    <x v="727"/>
    <x v="729"/>
    <x v="178"/>
    <x v="387"/>
    <x v="0"/>
    <x v="249"/>
    <x v="8"/>
    <x v="0"/>
    <x v="0"/>
    <x v="4"/>
    <n v="0.25"/>
    <x v="121"/>
    <x v="598"/>
    <n v="283.5"/>
    <x v="1"/>
  </r>
  <r>
    <x v="728"/>
    <x v="730"/>
    <x v="320"/>
    <x v="471"/>
    <x v="0"/>
    <x v="250"/>
    <x v="8"/>
    <x v="0"/>
    <x v="1"/>
    <x v="7"/>
    <n v="0.25"/>
    <x v="415"/>
    <x v="378"/>
    <n v="490.5"/>
    <x v="4"/>
  </r>
  <r>
    <x v="729"/>
    <x v="731"/>
    <x v="329"/>
    <x v="499"/>
    <x v="4"/>
    <x v="250"/>
    <x v="8"/>
    <x v="1"/>
    <x v="0"/>
    <x v="4"/>
    <n v="0.25"/>
    <x v="665"/>
    <x v="599"/>
    <n v="421.5"/>
    <x v="0"/>
  </r>
  <r>
    <x v="730"/>
    <x v="732"/>
    <x v="198"/>
    <x v="500"/>
    <x v="2"/>
    <x v="250"/>
    <x v="8"/>
    <x v="2"/>
    <x v="0"/>
    <x v="2"/>
    <n v="0.3"/>
    <x v="666"/>
    <x v="600"/>
    <n v="107.8"/>
    <x v="1"/>
  </r>
  <r>
    <x v="731"/>
    <x v="733"/>
    <x v="512"/>
    <x v="458"/>
    <x v="5"/>
    <x v="250"/>
    <x v="8"/>
    <x v="1"/>
    <x v="1"/>
    <x v="1"/>
    <n v="0.2"/>
    <x v="667"/>
    <x v="601"/>
    <n v="296.8"/>
    <x v="1"/>
  </r>
  <r>
    <x v="732"/>
    <x v="734"/>
    <x v="41"/>
    <x v="175"/>
    <x v="3"/>
    <x v="250"/>
    <x v="8"/>
    <x v="0"/>
    <x v="0"/>
    <x v="6"/>
    <n v="0.3"/>
    <x v="668"/>
    <x v="602"/>
    <n v="816.9"/>
    <x v="2"/>
  </r>
  <r>
    <x v="733"/>
    <x v="735"/>
    <x v="513"/>
    <x v="501"/>
    <x v="3"/>
    <x v="251"/>
    <x v="8"/>
    <x v="0"/>
    <x v="0"/>
    <x v="1"/>
    <n v="0.3"/>
    <x v="669"/>
    <x v="603"/>
    <n v="1177.4000000000001"/>
    <x v="2"/>
  </r>
  <r>
    <x v="734"/>
    <x v="736"/>
    <x v="169"/>
    <x v="68"/>
    <x v="2"/>
    <x v="251"/>
    <x v="8"/>
    <x v="1"/>
    <x v="0"/>
    <x v="7"/>
    <n v="0.3"/>
    <x v="670"/>
    <x v="357"/>
    <n v="933.8"/>
    <x v="2"/>
  </r>
  <r>
    <x v="735"/>
    <x v="737"/>
    <x v="512"/>
    <x v="212"/>
    <x v="0"/>
    <x v="252"/>
    <x v="8"/>
    <x v="0"/>
    <x v="1"/>
    <x v="1"/>
    <n v="0.25"/>
    <x v="671"/>
    <x v="604"/>
    <n v="104.25"/>
    <x v="2"/>
  </r>
  <r>
    <x v="736"/>
    <x v="738"/>
    <x v="514"/>
    <x v="264"/>
    <x v="2"/>
    <x v="252"/>
    <x v="8"/>
    <x v="1"/>
    <x v="1"/>
    <x v="2"/>
    <n v="0.3"/>
    <x v="672"/>
    <x v="605"/>
    <n v="1052.8"/>
    <x v="1"/>
  </r>
  <r>
    <x v="737"/>
    <x v="739"/>
    <x v="515"/>
    <x v="444"/>
    <x v="1"/>
    <x v="252"/>
    <x v="8"/>
    <x v="2"/>
    <x v="1"/>
    <x v="3"/>
    <n v="0.1"/>
    <x v="432"/>
    <x v="281"/>
    <n v="908.1"/>
    <x v="2"/>
  </r>
  <r>
    <x v="738"/>
    <x v="740"/>
    <x v="503"/>
    <x v="166"/>
    <x v="0"/>
    <x v="252"/>
    <x v="8"/>
    <x v="1"/>
    <x v="1"/>
    <x v="7"/>
    <n v="0.25"/>
    <x v="673"/>
    <x v="606"/>
    <n v="1374"/>
    <x v="1"/>
  </r>
  <r>
    <x v="739"/>
    <x v="741"/>
    <x v="358"/>
    <x v="502"/>
    <x v="0"/>
    <x v="253"/>
    <x v="8"/>
    <x v="2"/>
    <x v="0"/>
    <x v="6"/>
    <n v="0.25"/>
    <x v="674"/>
    <x v="157"/>
    <n v="528"/>
    <x v="4"/>
  </r>
  <r>
    <x v="740"/>
    <x v="742"/>
    <x v="516"/>
    <x v="503"/>
    <x v="2"/>
    <x v="253"/>
    <x v="8"/>
    <x v="2"/>
    <x v="2"/>
    <x v="6"/>
    <n v="0.3"/>
    <x v="675"/>
    <x v="607"/>
    <n v="135.80000000000001"/>
    <x v="2"/>
  </r>
  <r>
    <x v="741"/>
    <x v="743"/>
    <x v="479"/>
    <x v="120"/>
    <x v="0"/>
    <x v="253"/>
    <x v="8"/>
    <x v="0"/>
    <x v="1"/>
    <x v="7"/>
    <n v="0.25"/>
    <x v="676"/>
    <x v="608"/>
    <n v="521.25"/>
    <x v="0"/>
  </r>
  <r>
    <x v="742"/>
    <x v="744"/>
    <x v="517"/>
    <x v="388"/>
    <x v="4"/>
    <x v="254"/>
    <x v="9"/>
    <x v="2"/>
    <x v="2"/>
    <x v="0"/>
    <n v="0.25"/>
    <x v="677"/>
    <x v="112"/>
    <n v="798.75"/>
    <x v="3"/>
  </r>
  <r>
    <x v="743"/>
    <x v="745"/>
    <x v="351"/>
    <x v="249"/>
    <x v="2"/>
    <x v="255"/>
    <x v="9"/>
    <x v="0"/>
    <x v="3"/>
    <x v="0"/>
    <n v="0.3"/>
    <x v="678"/>
    <x v="263"/>
    <n v="1195.5999999999999"/>
    <x v="2"/>
  </r>
  <r>
    <x v="744"/>
    <x v="746"/>
    <x v="518"/>
    <x v="425"/>
    <x v="0"/>
    <x v="255"/>
    <x v="9"/>
    <x v="0"/>
    <x v="3"/>
    <x v="6"/>
    <n v="0.25"/>
    <x v="679"/>
    <x v="609"/>
    <n v="376.5"/>
    <x v="0"/>
  </r>
  <r>
    <x v="745"/>
    <x v="747"/>
    <x v="519"/>
    <x v="504"/>
    <x v="0"/>
    <x v="256"/>
    <x v="9"/>
    <x v="1"/>
    <x v="2"/>
    <x v="7"/>
    <n v="0.25"/>
    <x v="436"/>
    <x v="395"/>
    <n v="794.25"/>
    <x v="1"/>
  </r>
  <r>
    <x v="746"/>
    <x v="748"/>
    <x v="520"/>
    <x v="457"/>
    <x v="5"/>
    <x v="256"/>
    <x v="9"/>
    <x v="2"/>
    <x v="2"/>
    <x v="7"/>
    <n v="0.2"/>
    <x v="680"/>
    <x v="610"/>
    <n v="539.20000000000005"/>
    <x v="1"/>
  </r>
  <r>
    <x v="747"/>
    <x v="749"/>
    <x v="347"/>
    <x v="505"/>
    <x v="4"/>
    <x v="257"/>
    <x v="9"/>
    <x v="0"/>
    <x v="1"/>
    <x v="1"/>
    <n v="0.25"/>
    <x v="681"/>
    <x v="611"/>
    <n v="639"/>
    <x v="4"/>
  </r>
  <r>
    <x v="748"/>
    <x v="750"/>
    <x v="117"/>
    <x v="506"/>
    <x v="0"/>
    <x v="257"/>
    <x v="9"/>
    <x v="0"/>
    <x v="0"/>
    <x v="3"/>
    <n v="0.25"/>
    <x v="682"/>
    <x v="612"/>
    <n v="360"/>
    <x v="2"/>
  </r>
  <r>
    <x v="749"/>
    <x v="751"/>
    <x v="457"/>
    <x v="77"/>
    <x v="1"/>
    <x v="258"/>
    <x v="9"/>
    <x v="0"/>
    <x v="0"/>
    <x v="2"/>
    <n v="0.1"/>
    <x v="683"/>
    <x v="613"/>
    <n v="859.5"/>
    <x v="1"/>
  </r>
  <r>
    <x v="750"/>
    <x v="752"/>
    <x v="521"/>
    <x v="507"/>
    <x v="0"/>
    <x v="258"/>
    <x v="9"/>
    <x v="1"/>
    <x v="1"/>
    <x v="0"/>
    <n v="0.25"/>
    <x v="684"/>
    <x v="614"/>
    <n v="237.75"/>
    <x v="2"/>
  </r>
  <r>
    <x v="751"/>
    <x v="753"/>
    <x v="89"/>
    <x v="508"/>
    <x v="0"/>
    <x v="259"/>
    <x v="9"/>
    <x v="0"/>
    <x v="1"/>
    <x v="7"/>
    <n v="0.25"/>
    <x v="685"/>
    <x v="615"/>
    <n v="687"/>
    <x v="0"/>
  </r>
  <r>
    <x v="752"/>
    <x v="754"/>
    <x v="522"/>
    <x v="509"/>
    <x v="2"/>
    <x v="259"/>
    <x v="9"/>
    <x v="1"/>
    <x v="1"/>
    <x v="6"/>
    <n v="0.3"/>
    <x v="686"/>
    <x v="319"/>
    <n v="476.7"/>
    <x v="1"/>
  </r>
  <r>
    <x v="753"/>
    <x v="755"/>
    <x v="523"/>
    <x v="345"/>
    <x v="0"/>
    <x v="259"/>
    <x v="9"/>
    <x v="2"/>
    <x v="1"/>
    <x v="5"/>
    <n v="0.25"/>
    <x v="687"/>
    <x v="616"/>
    <n v="1349.25"/>
    <x v="4"/>
  </r>
  <r>
    <x v="754"/>
    <x v="756"/>
    <x v="100"/>
    <x v="338"/>
    <x v="1"/>
    <x v="259"/>
    <x v="9"/>
    <x v="2"/>
    <x v="1"/>
    <x v="6"/>
    <n v="0.1"/>
    <x v="688"/>
    <x v="160"/>
    <n v="240.3"/>
    <x v="4"/>
  </r>
  <r>
    <x v="755"/>
    <x v="757"/>
    <x v="524"/>
    <x v="510"/>
    <x v="0"/>
    <x v="260"/>
    <x v="9"/>
    <x v="1"/>
    <x v="0"/>
    <x v="2"/>
    <n v="0.25"/>
    <x v="689"/>
    <x v="617"/>
    <n v="114.75"/>
    <x v="4"/>
  </r>
  <r>
    <x v="756"/>
    <x v="758"/>
    <x v="368"/>
    <x v="142"/>
    <x v="5"/>
    <x v="260"/>
    <x v="9"/>
    <x v="2"/>
    <x v="2"/>
    <x v="4"/>
    <n v="0.2"/>
    <x v="690"/>
    <x v="618"/>
    <n v="15.2"/>
    <x v="2"/>
  </r>
  <r>
    <x v="757"/>
    <x v="759"/>
    <x v="525"/>
    <x v="112"/>
    <x v="3"/>
    <x v="260"/>
    <x v="9"/>
    <x v="2"/>
    <x v="1"/>
    <x v="0"/>
    <n v="0.3"/>
    <x v="691"/>
    <x v="619"/>
    <n v="983.5"/>
    <x v="0"/>
  </r>
  <r>
    <x v="758"/>
    <x v="760"/>
    <x v="263"/>
    <x v="157"/>
    <x v="3"/>
    <x v="260"/>
    <x v="9"/>
    <x v="0"/>
    <x v="1"/>
    <x v="7"/>
    <n v="0.3"/>
    <x v="692"/>
    <x v="307"/>
    <n v="873.6"/>
    <x v="1"/>
  </r>
  <r>
    <x v="759"/>
    <x v="761"/>
    <x v="526"/>
    <x v="312"/>
    <x v="0"/>
    <x v="261"/>
    <x v="9"/>
    <x v="2"/>
    <x v="1"/>
    <x v="2"/>
    <n v="0.25"/>
    <x v="693"/>
    <x v="620"/>
    <n v="1156.5"/>
    <x v="4"/>
  </r>
  <r>
    <x v="760"/>
    <x v="762"/>
    <x v="144"/>
    <x v="511"/>
    <x v="3"/>
    <x v="262"/>
    <x v="9"/>
    <x v="0"/>
    <x v="0"/>
    <x v="1"/>
    <n v="0.3"/>
    <x v="694"/>
    <x v="621"/>
    <n v="1086.4000000000001"/>
    <x v="1"/>
  </r>
  <r>
    <x v="761"/>
    <x v="763"/>
    <x v="527"/>
    <x v="352"/>
    <x v="0"/>
    <x v="262"/>
    <x v="9"/>
    <x v="2"/>
    <x v="0"/>
    <x v="1"/>
    <n v="0.25"/>
    <x v="695"/>
    <x v="622"/>
    <n v="789.75"/>
    <x v="3"/>
  </r>
  <r>
    <x v="762"/>
    <x v="764"/>
    <x v="371"/>
    <x v="512"/>
    <x v="0"/>
    <x v="262"/>
    <x v="9"/>
    <x v="1"/>
    <x v="0"/>
    <x v="4"/>
    <n v="0.25"/>
    <x v="148"/>
    <x v="623"/>
    <n v="91.5"/>
    <x v="2"/>
  </r>
  <r>
    <x v="763"/>
    <x v="765"/>
    <x v="424"/>
    <x v="513"/>
    <x v="5"/>
    <x v="262"/>
    <x v="9"/>
    <x v="1"/>
    <x v="3"/>
    <x v="7"/>
    <n v="0.2"/>
    <x v="696"/>
    <x v="400"/>
    <n v="181.6"/>
    <x v="2"/>
  </r>
  <r>
    <x v="764"/>
    <x v="766"/>
    <x v="528"/>
    <x v="514"/>
    <x v="1"/>
    <x v="263"/>
    <x v="9"/>
    <x v="1"/>
    <x v="0"/>
    <x v="2"/>
    <n v="0.1"/>
    <x v="601"/>
    <x v="541"/>
    <n v="1292.4000000000001"/>
    <x v="1"/>
  </r>
  <r>
    <x v="765"/>
    <x v="767"/>
    <x v="529"/>
    <x v="141"/>
    <x v="4"/>
    <x v="263"/>
    <x v="9"/>
    <x v="2"/>
    <x v="1"/>
    <x v="6"/>
    <n v="0.25"/>
    <x v="542"/>
    <x v="484"/>
    <n v="333.75"/>
    <x v="1"/>
  </r>
  <r>
    <x v="766"/>
    <x v="768"/>
    <x v="530"/>
    <x v="515"/>
    <x v="4"/>
    <x v="263"/>
    <x v="9"/>
    <x v="0"/>
    <x v="1"/>
    <x v="7"/>
    <n v="0.25"/>
    <x v="59"/>
    <x v="58"/>
    <n v="201"/>
    <x v="3"/>
  </r>
  <r>
    <x v="767"/>
    <x v="769"/>
    <x v="381"/>
    <x v="198"/>
    <x v="0"/>
    <x v="264"/>
    <x v="9"/>
    <x v="2"/>
    <x v="1"/>
    <x v="2"/>
    <n v="0.25"/>
    <x v="697"/>
    <x v="261"/>
    <n v="456"/>
    <x v="4"/>
  </r>
  <r>
    <x v="768"/>
    <x v="770"/>
    <x v="531"/>
    <x v="266"/>
    <x v="0"/>
    <x v="264"/>
    <x v="9"/>
    <x v="2"/>
    <x v="0"/>
    <x v="3"/>
    <n v="0.25"/>
    <x v="698"/>
    <x v="99"/>
    <n v="1077.75"/>
    <x v="4"/>
  </r>
  <r>
    <x v="769"/>
    <x v="771"/>
    <x v="532"/>
    <x v="516"/>
    <x v="3"/>
    <x v="264"/>
    <x v="9"/>
    <x v="0"/>
    <x v="1"/>
    <x v="6"/>
    <n v="0.3"/>
    <x v="699"/>
    <x v="624"/>
    <n v="826"/>
    <x v="4"/>
  </r>
  <r>
    <x v="770"/>
    <x v="772"/>
    <x v="403"/>
    <x v="211"/>
    <x v="2"/>
    <x v="264"/>
    <x v="9"/>
    <x v="0"/>
    <x v="3"/>
    <x v="3"/>
    <n v="0.3"/>
    <x v="700"/>
    <x v="625"/>
    <n v="968.1"/>
    <x v="2"/>
  </r>
  <r>
    <x v="771"/>
    <x v="773"/>
    <x v="533"/>
    <x v="231"/>
    <x v="1"/>
    <x v="264"/>
    <x v="9"/>
    <x v="1"/>
    <x v="0"/>
    <x v="7"/>
    <n v="0.1"/>
    <x v="701"/>
    <x v="247"/>
    <n v="1243.8"/>
    <x v="0"/>
  </r>
  <r>
    <x v="772"/>
    <x v="774"/>
    <x v="461"/>
    <x v="469"/>
    <x v="4"/>
    <x v="265"/>
    <x v="9"/>
    <x v="0"/>
    <x v="1"/>
    <x v="6"/>
    <n v="0.25"/>
    <x v="702"/>
    <x v="626"/>
    <n v="338.25"/>
    <x v="0"/>
  </r>
  <r>
    <x v="773"/>
    <x v="775"/>
    <x v="152"/>
    <x v="69"/>
    <x v="5"/>
    <x v="265"/>
    <x v="9"/>
    <x v="2"/>
    <x v="0"/>
    <x v="7"/>
    <n v="0.2"/>
    <x v="703"/>
    <x v="56"/>
    <n v="1301.5999999999999"/>
    <x v="3"/>
  </r>
  <r>
    <x v="774"/>
    <x v="776"/>
    <x v="232"/>
    <x v="295"/>
    <x v="5"/>
    <x v="265"/>
    <x v="9"/>
    <x v="0"/>
    <x v="2"/>
    <x v="3"/>
    <n v="0.2"/>
    <x v="704"/>
    <x v="627"/>
    <n v="606.4"/>
    <x v="4"/>
  </r>
  <r>
    <x v="775"/>
    <x v="777"/>
    <x v="534"/>
    <x v="17"/>
    <x v="5"/>
    <x v="266"/>
    <x v="9"/>
    <x v="1"/>
    <x v="1"/>
    <x v="2"/>
    <n v="0.2"/>
    <x v="705"/>
    <x v="462"/>
    <n v="804"/>
    <x v="1"/>
  </r>
  <r>
    <x v="776"/>
    <x v="778"/>
    <x v="382"/>
    <x v="498"/>
    <x v="4"/>
    <x v="267"/>
    <x v="9"/>
    <x v="0"/>
    <x v="0"/>
    <x v="2"/>
    <n v="0.25"/>
    <x v="706"/>
    <x v="441"/>
    <n v="425.25"/>
    <x v="2"/>
  </r>
  <r>
    <x v="777"/>
    <x v="779"/>
    <x v="535"/>
    <x v="517"/>
    <x v="4"/>
    <x v="268"/>
    <x v="9"/>
    <x v="2"/>
    <x v="0"/>
    <x v="4"/>
    <n v="0.25"/>
    <x v="707"/>
    <x v="628"/>
    <n v="1158.75"/>
    <x v="1"/>
  </r>
  <r>
    <x v="778"/>
    <x v="780"/>
    <x v="227"/>
    <x v="441"/>
    <x v="2"/>
    <x v="269"/>
    <x v="9"/>
    <x v="0"/>
    <x v="0"/>
    <x v="1"/>
    <n v="0.3"/>
    <x v="106"/>
    <x v="629"/>
    <n v="605.5"/>
    <x v="0"/>
  </r>
  <r>
    <x v="779"/>
    <x v="781"/>
    <x v="536"/>
    <x v="99"/>
    <x v="2"/>
    <x v="269"/>
    <x v="9"/>
    <x v="2"/>
    <x v="1"/>
    <x v="1"/>
    <n v="0.3"/>
    <x v="708"/>
    <x v="630"/>
    <n v="128.1"/>
    <x v="4"/>
  </r>
  <r>
    <x v="780"/>
    <x v="782"/>
    <x v="414"/>
    <x v="219"/>
    <x v="3"/>
    <x v="269"/>
    <x v="9"/>
    <x v="2"/>
    <x v="0"/>
    <x v="3"/>
    <n v="0.3"/>
    <x v="709"/>
    <x v="631"/>
    <n v="1041.5999999999999"/>
    <x v="0"/>
  </r>
  <r>
    <x v="781"/>
    <x v="783"/>
    <x v="537"/>
    <x v="350"/>
    <x v="0"/>
    <x v="270"/>
    <x v="9"/>
    <x v="1"/>
    <x v="0"/>
    <x v="0"/>
    <n v="0.25"/>
    <x v="710"/>
    <x v="632"/>
    <n v="598.5"/>
    <x v="3"/>
  </r>
  <r>
    <x v="782"/>
    <x v="784"/>
    <x v="538"/>
    <x v="486"/>
    <x v="5"/>
    <x v="270"/>
    <x v="9"/>
    <x v="1"/>
    <x v="1"/>
    <x v="3"/>
    <n v="0.2"/>
    <x v="711"/>
    <x v="633"/>
    <n v="1083.2"/>
    <x v="4"/>
  </r>
  <r>
    <x v="783"/>
    <x v="785"/>
    <x v="58"/>
    <x v="518"/>
    <x v="0"/>
    <x v="271"/>
    <x v="9"/>
    <x v="0"/>
    <x v="0"/>
    <x v="0"/>
    <n v="0.25"/>
    <x v="712"/>
    <x v="634"/>
    <n v="753"/>
    <x v="1"/>
  </r>
  <r>
    <x v="784"/>
    <x v="786"/>
    <x v="441"/>
    <x v="209"/>
    <x v="0"/>
    <x v="272"/>
    <x v="9"/>
    <x v="2"/>
    <x v="0"/>
    <x v="2"/>
    <n v="0.25"/>
    <x v="713"/>
    <x v="635"/>
    <n v="825.75"/>
    <x v="1"/>
  </r>
  <r>
    <x v="785"/>
    <x v="787"/>
    <x v="539"/>
    <x v="171"/>
    <x v="5"/>
    <x v="273"/>
    <x v="9"/>
    <x v="2"/>
    <x v="2"/>
    <x v="4"/>
    <n v="0.2"/>
    <x v="714"/>
    <x v="636"/>
    <n v="801.6"/>
    <x v="2"/>
  </r>
  <r>
    <x v="786"/>
    <x v="788"/>
    <x v="540"/>
    <x v="519"/>
    <x v="3"/>
    <x v="273"/>
    <x v="9"/>
    <x v="2"/>
    <x v="1"/>
    <x v="5"/>
    <n v="0.3"/>
    <x v="715"/>
    <x v="637"/>
    <n v="1238.3"/>
    <x v="4"/>
  </r>
  <r>
    <x v="787"/>
    <x v="789"/>
    <x v="328"/>
    <x v="520"/>
    <x v="2"/>
    <x v="273"/>
    <x v="9"/>
    <x v="0"/>
    <x v="1"/>
    <x v="4"/>
    <n v="0.3"/>
    <x v="716"/>
    <x v="299"/>
    <n v="268.10000000000002"/>
    <x v="0"/>
  </r>
  <r>
    <x v="788"/>
    <x v="790"/>
    <x v="375"/>
    <x v="521"/>
    <x v="0"/>
    <x v="273"/>
    <x v="9"/>
    <x v="1"/>
    <x v="1"/>
    <x v="5"/>
    <n v="0.25"/>
    <x v="717"/>
    <x v="518"/>
    <n v="189.75"/>
    <x v="1"/>
  </r>
  <r>
    <x v="789"/>
    <x v="791"/>
    <x v="44"/>
    <x v="280"/>
    <x v="4"/>
    <x v="274"/>
    <x v="9"/>
    <x v="2"/>
    <x v="1"/>
    <x v="1"/>
    <n v="0.25"/>
    <x v="718"/>
    <x v="638"/>
    <n v="1383"/>
    <x v="2"/>
  </r>
  <r>
    <x v="790"/>
    <x v="792"/>
    <x v="103"/>
    <x v="522"/>
    <x v="4"/>
    <x v="274"/>
    <x v="9"/>
    <x v="1"/>
    <x v="3"/>
    <x v="6"/>
    <n v="0.25"/>
    <x v="719"/>
    <x v="639"/>
    <n v="613.5"/>
    <x v="1"/>
  </r>
  <r>
    <x v="791"/>
    <x v="793"/>
    <x v="329"/>
    <x v="512"/>
    <x v="4"/>
    <x v="275"/>
    <x v="9"/>
    <x v="2"/>
    <x v="0"/>
    <x v="6"/>
    <n v="0.25"/>
    <x v="720"/>
    <x v="640"/>
    <n v="350.25"/>
    <x v="0"/>
  </r>
  <r>
    <x v="792"/>
    <x v="794"/>
    <x v="379"/>
    <x v="523"/>
    <x v="4"/>
    <x v="275"/>
    <x v="9"/>
    <x v="1"/>
    <x v="1"/>
    <x v="0"/>
    <n v="0.25"/>
    <x v="721"/>
    <x v="641"/>
    <n v="793.5"/>
    <x v="0"/>
  </r>
  <r>
    <x v="793"/>
    <x v="795"/>
    <x v="179"/>
    <x v="524"/>
    <x v="3"/>
    <x v="275"/>
    <x v="9"/>
    <x v="2"/>
    <x v="0"/>
    <x v="3"/>
    <n v="0.3"/>
    <x v="722"/>
    <x v="642"/>
    <n v="11.2"/>
    <x v="3"/>
  </r>
  <r>
    <x v="794"/>
    <x v="796"/>
    <x v="541"/>
    <x v="246"/>
    <x v="1"/>
    <x v="276"/>
    <x v="9"/>
    <x v="0"/>
    <x v="0"/>
    <x v="5"/>
    <n v="0.1"/>
    <x v="723"/>
    <x v="643"/>
    <n v="290.7"/>
    <x v="4"/>
  </r>
  <r>
    <x v="795"/>
    <x v="797"/>
    <x v="542"/>
    <x v="350"/>
    <x v="0"/>
    <x v="276"/>
    <x v="9"/>
    <x v="0"/>
    <x v="0"/>
    <x v="7"/>
    <n v="0.25"/>
    <x v="724"/>
    <x v="644"/>
    <n v="910.5"/>
    <x v="2"/>
  </r>
  <r>
    <x v="796"/>
    <x v="798"/>
    <x v="543"/>
    <x v="525"/>
    <x v="2"/>
    <x v="276"/>
    <x v="9"/>
    <x v="2"/>
    <x v="2"/>
    <x v="4"/>
    <n v="0.3"/>
    <x v="17"/>
    <x v="17"/>
    <n v="805.7"/>
    <x v="4"/>
  </r>
  <r>
    <x v="797"/>
    <x v="799"/>
    <x v="265"/>
    <x v="526"/>
    <x v="0"/>
    <x v="276"/>
    <x v="9"/>
    <x v="2"/>
    <x v="0"/>
    <x v="1"/>
    <n v="0.25"/>
    <x v="725"/>
    <x v="138"/>
    <n v="1119.75"/>
    <x v="2"/>
  </r>
  <r>
    <x v="798"/>
    <x v="800"/>
    <x v="544"/>
    <x v="298"/>
    <x v="0"/>
    <x v="276"/>
    <x v="9"/>
    <x v="1"/>
    <x v="0"/>
    <x v="2"/>
    <n v="0.25"/>
    <x v="726"/>
    <x v="101"/>
    <n v="264.75"/>
    <x v="1"/>
  </r>
  <r>
    <x v="799"/>
    <x v="801"/>
    <x v="476"/>
    <x v="527"/>
    <x v="3"/>
    <x v="277"/>
    <x v="9"/>
    <x v="0"/>
    <x v="0"/>
    <x v="0"/>
    <n v="0.3"/>
    <x v="727"/>
    <x v="645"/>
    <n v="411.6"/>
    <x v="4"/>
  </r>
  <r>
    <x v="800"/>
    <x v="802"/>
    <x v="545"/>
    <x v="194"/>
    <x v="4"/>
    <x v="277"/>
    <x v="9"/>
    <x v="2"/>
    <x v="3"/>
    <x v="6"/>
    <n v="0.25"/>
    <x v="728"/>
    <x v="646"/>
    <n v="906"/>
    <x v="4"/>
  </r>
  <r>
    <x v="801"/>
    <x v="803"/>
    <x v="252"/>
    <x v="528"/>
    <x v="2"/>
    <x v="278"/>
    <x v="9"/>
    <x v="0"/>
    <x v="1"/>
    <x v="3"/>
    <n v="0.3"/>
    <x v="729"/>
    <x v="647"/>
    <n v="835.1"/>
    <x v="3"/>
  </r>
  <r>
    <x v="802"/>
    <x v="804"/>
    <x v="546"/>
    <x v="439"/>
    <x v="2"/>
    <x v="278"/>
    <x v="9"/>
    <x v="2"/>
    <x v="0"/>
    <x v="5"/>
    <n v="0.3"/>
    <x v="544"/>
    <x v="230"/>
    <n v="627.9"/>
    <x v="0"/>
  </r>
  <r>
    <x v="803"/>
    <x v="805"/>
    <x v="127"/>
    <x v="15"/>
    <x v="2"/>
    <x v="278"/>
    <x v="9"/>
    <x v="0"/>
    <x v="2"/>
    <x v="3"/>
    <n v="0.3"/>
    <x v="730"/>
    <x v="648"/>
    <n v="1199.8"/>
    <x v="2"/>
  </r>
  <r>
    <x v="804"/>
    <x v="806"/>
    <x v="241"/>
    <x v="529"/>
    <x v="0"/>
    <x v="278"/>
    <x v="9"/>
    <x v="0"/>
    <x v="1"/>
    <x v="7"/>
    <n v="0.25"/>
    <x v="731"/>
    <x v="649"/>
    <n v="762.75"/>
    <x v="4"/>
  </r>
  <r>
    <x v="805"/>
    <x v="807"/>
    <x v="547"/>
    <x v="389"/>
    <x v="2"/>
    <x v="278"/>
    <x v="9"/>
    <x v="1"/>
    <x v="0"/>
    <x v="1"/>
    <n v="0.3"/>
    <x v="732"/>
    <x v="650"/>
    <n v="1220.8"/>
    <x v="1"/>
  </r>
  <r>
    <x v="806"/>
    <x v="808"/>
    <x v="140"/>
    <x v="284"/>
    <x v="5"/>
    <x v="278"/>
    <x v="9"/>
    <x v="0"/>
    <x v="0"/>
    <x v="2"/>
    <n v="0.2"/>
    <x v="733"/>
    <x v="651"/>
    <n v="596"/>
    <x v="3"/>
  </r>
  <r>
    <x v="807"/>
    <x v="809"/>
    <x v="54"/>
    <x v="206"/>
    <x v="5"/>
    <x v="278"/>
    <x v="9"/>
    <x v="1"/>
    <x v="0"/>
    <x v="1"/>
    <n v="0.2"/>
    <x v="492"/>
    <x v="652"/>
    <n v="374.4"/>
    <x v="2"/>
  </r>
  <r>
    <x v="808"/>
    <x v="810"/>
    <x v="548"/>
    <x v="530"/>
    <x v="0"/>
    <x v="278"/>
    <x v="9"/>
    <x v="1"/>
    <x v="1"/>
    <x v="3"/>
    <n v="0.25"/>
    <x v="423"/>
    <x v="385"/>
    <n v="1063.5"/>
    <x v="3"/>
  </r>
  <r>
    <x v="809"/>
    <x v="811"/>
    <x v="549"/>
    <x v="531"/>
    <x v="1"/>
    <x v="278"/>
    <x v="9"/>
    <x v="2"/>
    <x v="0"/>
    <x v="0"/>
    <n v="0.1"/>
    <x v="734"/>
    <x v="564"/>
    <n v="894.6"/>
    <x v="4"/>
  </r>
  <r>
    <x v="810"/>
    <x v="812"/>
    <x v="550"/>
    <x v="233"/>
    <x v="5"/>
    <x v="279"/>
    <x v="9"/>
    <x v="2"/>
    <x v="3"/>
    <x v="7"/>
    <n v="0.2"/>
    <x v="735"/>
    <x v="653"/>
    <n v="613.6"/>
    <x v="1"/>
  </r>
  <r>
    <x v="811"/>
    <x v="813"/>
    <x v="551"/>
    <x v="165"/>
    <x v="5"/>
    <x v="279"/>
    <x v="9"/>
    <x v="2"/>
    <x v="2"/>
    <x v="5"/>
    <n v="0.2"/>
    <x v="736"/>
    <x v="654"/>
    <n v="743.2"/>
    <x v="2"/>
  </r>
  <r>
    <x v="812"/>
    <x v="814"/>
    <x v="17"/>
    <x v="532"/>
    <x v="5"/>
    <x v="279"/>
    <x v="9"/>
    <x v="2"/>
    <x v="1"/>
    <x v="4"/>
    <n v="0.2"/>
    <x v="737"/>
    <x v="655"/>
    <n v="462.4"/>
    <x v="4"/>
  </r>
  <r>
    <x v="813"/>
    <x v="815"/>
    <x v="204"/>
    <x v="533"/>
    <x v="4"/>
    <x v="279"/>
    <x v="9"/>
    <x v="2"/>
    <x v="3"/>
    <x v="1"/>
    <n v="0.25"/>
    <x v="738"/>
    <x v="656"/>
    <n v="633"/>
    <x v="4"/>
  </r>
  <r>
    <x v="814"/>
    <x v="816"/>
    <x v="312"/>
    <x v="4"/>
    <x v="1"/>
    <x v="280"/>
    <x v="9"/>
    <x v="0"/>
    <x v="0"/>
    <x v="4"/>
    <n v="0.1"/>
    <x v="739"/>
    <x v="629"/>
    <n v="778.5"/>
    <x v="1"/>
  </r>
  <r>
    <x v="815"/>
    <x v="817"/>
    <x v="552"/>
    <x v="219"/>
    <x v="0"/>
    <x v="281"/>
    <x v="9"/>
    <x v="0"/>
    <x v="1"/>
    <x v="1"/>
    <n v="0.25"/>
    <x v="740"/>
    <x v="657"/>
    <n v="1183.5"/>
    <x v="1"/>
  </r>
  <r>
    <x v="816"/>
    <x v="818"/>
    <x v="553"/>
    <x v="534"/>
    <x v="1"/>
    <x v="281"/>
    <x v="9"/>
    <x v="2"/>
    <x v="1"/>
    <x v="7"/>
    <n v="0.1"/>
    <x v="741"/>
    <x v="658"/>
    <n v="1089"/>
    <x v="3"/>
  </r>
  <r>
    <x v="817"/>
    <x v="819"/>
    <x v="554"/>
    <x v="45"/>
    <x v="4"/>
    <x v="281"/>
    <x v="9"/>
    <x v="2"/>
    <x v="2"/>
    <x v="2"/>
    <n v="0.25"/>
    <x v="742"/>
    <x v="659"/>
    <n v="786.75"/>
    <x v="2"/>
  </r>
  <r>
    <x v="818"/>
    <x v="820"/>
    <x v="190"/>
    <x v="535"/>
    <x v="5"/>
    <x v="282"/>
    <x v="9"/>
    <x v="0"/>
    <x v="3"/>
    <x v="1"/>
    <n v="0.2"/>
    <x v="743"/>
    <x v="660"/>
    <n v="423.2"/>
    <x v="1"/>
  </r>
  <r>
    <x v="819"/>
    <x v="821"/>
    <x v="272"/>
    <x v="97"/>
    <x v="0"/>
    <x v="283"/>
    <x v="9"/>
    <x v="0"/>
    <x v="2"/>
    <x v="4"/>
    <n v="0.25"/>
    <x v="744"/>
    <x v="661"/>
    <n v="715.5"/>
    <x v="3"/>
  </r>
  <r>
    <x v="820"/>
    <x v="822"/>
    <x v="358"/>
    <x v="415"/>
    <x v="0"/>
    <x v="283"/>
    <x v="9"/>
    <x v="1"/>
    <x v="0"/>
    <x v="5"/>
    <n v="0.25"/>
    <x v="745"/>
    <x v="75"/>
    <n v="258"/>
    <x v="4"/>
  </r>
  <r>
    <x v="821"/>
    <x v="823"/>
    <x v="30"/>
    <x v="490"/>
    <x v="3"/>
    <x v="283"/>
    <x v="9"/>
    <x v="1"/>
    <x v="0"/>
    <x v="2"/>
    <n v="0.3"/>
    <x v="661"/>
    <x v="595"/>
    <n v="1239"/>
    <x v="0"/>
  </r>
  <r>
    <x v="822"/>
    <x v="824"/>
    <x v="457"/>
    <x v="536"/>
    <x v="3"/>
    <x v="284"/>
    <x v="10"/>
    <x v="2"/>
    <x v="0"/>
    <x v="1"/>
    <n v="0.3"/>
    <x v="746"/>
    <x v="662"/>
    <n v="292.60000000000002"/>
    <x v="4"/>
  </r>
  <r>
    <x v="823"/>
    <x v="825"/>
    <x v="402"/>
    <x v="537"/>
    <x v="5"/>
    <x v="284"/>
    <x v="10"/>
    <x v="1"/>
    <x v="0"/>
    <x v="6"/>
    <n v="0.2"/>
    <x v="747"/>
    <x v="663"/>
    <n v="1180"/>
    <x v="2"/>
  </r>
  <r>
    <x v="824"/>
    <x v="826"/>
    <x v="379"/>
    <x v="538"/>
    <x v="1"/>
    <x v="284"/>
    <x v="10"/>
    <x v="2"/>
    <x v="1"/>
    <x v="5"/>
    <n v="0.1"/>
    <x v="748"/>
    <x v="664"/>
    <n v="182.7"/>
    <x v="0"/>
  </r>
  <r>
    <x v="825"/>
    <x v="827"/>
    <x v="446"/>
    <x v="539"/>
    <x v="2"/>
    <x v="285"/>
    <x v="10"/>
    <x v="1"/>
    <x v="3"/>
    <x v="1"/>
    <n v="0.3"/>
    <x v="47"/>
    <x v="665"/>
    <n v="371.7"/>
    <x v="3"/>
  </r>
  <r>
    <x v="826"/>
    <x v="828"/>
    <x v="555"/>
    <x v="378"/>
    <x v="4"/>
    <x v="286"/>
    <x v="10"/>
    <x v="2"/>
    <x v="1"/>
    <x v="0"/>
    <n v="0.25"/>
    <x v="749"/>
    <x v="20"/>
    <n v="726"/>
    <x v="3"/>
  </r>
  <r>
    <x v="827"/>
    <x v="829"/>
    <x v="556"/>
    <x v="417"/>
    <x v="3"/>
    <x v="286"/>
    <x v="10"/>
    <x v="2"/>
    <x v="2"/>
    <x v="0"/>
    <n v="0.3"/>
    <x v="750"/>
    <x v="666"/>
    <n v="60.9"/>
    <x v="0"/>
  </r>
  <r>
    <x v="828"/>
    <x v="830"/>
    <x v="214"/>
    <x v="180"/>
    <x v="1"/>
    <x v="286"/>
    <x v="10"/>
    <x v="0"/>
    <x v="1"/>
    <x v="4"/>
    <n v="0.1"/>
    <x v="751"/>
    <x v="182"/>
    <n v="488.7"/>
    <x v="4"/>
  </r>
  <r>
    <x v="829"/>
    <x v="831"/>
    <x v="557"/>
    <x v="540"/>
    <x v="0"/>
    <x v="286"/>
    <x v="10"/>
    <x v="2"/>
    <x v="2"/>
    <x v="0"/>
    <n v="0.25"/>
    <x v="726"/>
    <x v="101"/>
    <n v="264.75"/>
    <x v="0"/>
  </r>
  <r>
    <x v="830"/>
    <x v="832"/>
    <x v="558"/>
    <x v="541"/>
    <x v="0"/>
    <x v="286"/>
    <x v="10"/>
    <x v="2"/>
    <x v="0"/>
    <x v="5"/>
    <n v="0.25"/>
    <x v="752"/>
    <x v="55"/>
    <n v="196.5"/>
    <x v="2"/>
  </r>
  <r>
    <x v="831"/>
    <x v="833"/>
    <x v="164"/>
    <x v="42"/>
    <x v="1"/>
    <x v="287"/>
    <x v="10"/>
    <x v="1"/>
    <x v="0"/>
    <x v="6"/>
    <n v="0.1"/>
    <x v="359"/>
    <x v="652"/>
    <n v="421.2"/>
    <x v="1"/>
  </r>
  <r>
    <x v="832"/>
    <x v="834"/>
    <x v="559"/>
    <x v="542"/>
    <x v="0"/>
    <x v="288"/>
    <x v="10"/>
    <x v="0"/>
    <x v="3"/>
    <x v="5"/>
    <n v="0.25"/>
    <x v="264"/>
    <x v="249"/>
    <n v="75"/>
    <x v="1"/>
  </r>
  <r>
    <x v="833"/>
    <x v="835"/>
    <x v="560"/>
    <x v="543"/>
    <x v="0"/>
    <x v="289"/>
    <x v="10"/>
    <x v="2"/>
    <x v="1"/>
    <x v="7"/>
    <n v="0.25"/>
    <x v="753"/>
    <x v="667"/>
    <n v="30.75"/>
    <x v="3"/>
  </r>
  <r>
    <x v="834"/>
    <x v="836"/>
    <x v="72"/>
    <x v="544"/>
    <x v="0"/>
    <x v="290"/>
    <x v="10"/>
    <x v="2"/>
    <x v="0"/>
    <x v="7"/>
    <n v="0.25"/>
    <x v="754"/>
    <x v="668"/>
    <n v="634.5"/>
    <x v="0"/>
  </r>
  <r>
    <x v="835"/>
    <x v="837"/>
    <x v="561"/>
    <x v="195"/>
    <x v="3"/>
    <x v="291"/>
    <x v="10"/>
    <x v="0"/>
    <x v="0"/>
    <x v="7"/>
    <n v="0.3"/>
    <x v="755"/>
    <x v="522"/>
    <n v="284.89999999999998"/>
    <x v="2"/>
  </r>
  <r>
    <x v="836"/>
    <x v="838"/>
    <x v="562"/>
    <x v="516"/>
    <x v="4"/>
    <x v="291"/>
    <x v="10"/>
    <x v="1"/>
    <x v="0"/>
    <x v="7"/>
    <n v="0.25"/>
    <x v="756"/>
    <x v="669"/>
    <n v="891"/>
    <x v="1"/>
  </r>
  <r>
    <x v="837"/>
    <x v="839"/>
    <x v="563"/>
    <x v="545"/>
    <x v="2"/>
    <x v="291"/>
    <x v="10"/>
    <x v="0"/>
    <x v="2"/>
    <x v="0"/>
    <n v="0.3"/>
    <x v="757"/>
    <x v="370"/>
    <n v="108.5"/>
    <x v="4"/>
  </r>
  <r>
    <x v="838"/>
    <x v="840"/>
    <x v="564"/>
    <x v="546"/>
    <x v="0"/>
    <x v="292"/>
    <x v="10"/>
    <x v="2"/>
    <x v="1"/>
    <x v="4"/>
    <n v="0.25"/>
    <x v="689"/>
    <x v="617"/>
    <n v="114.75"/>
    <x v="3"/>
  </r>
  <r>
    <x v="839"/>
    <x v="841"/>
    <x v="319"/>
    <x v="485"/>
    <x v="0"/>
    <x v="292"/>
    <x v="10"/>
    <x v="0"/>
    <x v="0"/>
    <x v="6"/>
    <n v="0.25"/>
    <x v="758"/>
    <x v="600"/>
    <n v="115.5"/>
    <x v="1"/>
  </r>
  <r>
    <x v="840"/>
    <x v="842"/>
    <x v="226"/>
    <x v="547"/>
    <x v="5"/>
    <x v="292"/>
    <x v="10"/>
    <x v="2"/>
    <x v="0"/>
    <x v="1"/>
    <n v="0.2"/>
    <x v="759"/>
    <x v="670"/>
    <n v="226.4"/>
    <x v="2"/>
  </r>
  <r>
    <x v="841"/>
    <x v="843"/>
    <x v="565"/>
    <x v="458"/>
    <x v="0"/>
    <x v="292"/>
    <x v="10"/>
    <x v="0"/>
    <x v="3"/>
    <x v="6"/>
    <n v="0.25"/>
    <x v="760"/>
    <x v="425"/>
    <n v="899.25"/>
    <x v="2"/>
  </r>
  <r>
    <x v="842"/>
    <x v="844"/>
    <x v="385"/>
    <x v="515"/>
    <x v="0"/>
    <x v="292"/>
    <x v="10"/>
    <x v="1"/>
    <x v="0"/>
    <x v="7"/>
    <n v="0.25"/>
    <x v="761"/>
    <x v="671"/>
    <n v="894"/>
    <x v="4"/>
  </r>
  <r>
    <x v="843"/>
    <x v="845"/>
    <x v="566"/>
    <x v="365"/>
    <x v="1"/>
    <x v="293"/>
    <x v="10"/>
    <x v="2"/>
    <x v="0"/>
    <x v="1"/>
    <n v="0.1"/>
    <x v="762"/>
    <x v="672"/>
    <n v="1134.9000000000001"/>
    <x v="3"/>
  </r>
  <r>
    <x v="844"/>
    <x v="846"/>
    <x v="567"/>
    <x v="247"/>
    <x v="2"/>
    <x v="293"/>
    <x v="10"/>
    <x v="0"/>
    <x v="3"/>
    <x v="5"/>
    <n v="0.3"/>
    <x v="763"/>
    <x v="673"/>
    <n v="231.7"/>
    <x v="4"/>
  </r>
  <r>
    <x v="845"/>
    <x v="847"/>
    <x v="568"/>
    <x v="534"/>
    <x v="5"/>
    <x v="293"/>
    <x v="10"/>
    <x v="1"/>
    <x v="1"/>
    <x v="0"/>
    <n v="0.2"/>
    <x v="764"/>
    <x v="643"/>
    <n v="258.39999999999998"/>
    <x v="4"/>
  </r>
  <r>
    <x v="846"/>
    <x v="848"/>
    <x v="569"/>
    <x v="355"/>
    <x v="4"/>
    <x v="294"/>
    <x v="10"/>
    <x v="1"/>
    <x v="3"/>
    <x v="0"/>
    <n v="0.25"/>
    <x v="620"/>
    <x v="557"/>
    <n v="81.75"/>
    <x v="3"/>
  </r>
  <r>
    <x v="847"/>
    <x v="849"/>
    <x v="149"/>
    <x v="548"/>
    <x v="5"/>
    <x v="294"/>
    <x v="10"/>
    <x v="1"/>
    <x v="0"/>
    <x v="3"/>
    <n v="0.2"/>
    <x v="765"/>
    <x v="674"/>
    <n v="422.4"/>
    <x v="4"/>
  </r>
  <r>
    <x v="848"/>
    <x v="850"/>
    <x v="39"/>
    <x v="549"/>
    <x v="0"/>
    <x v="294"/>
    <x v="10"/>
    <x v="2"/>
    <x v="0"/>
    <x v="4"/>
    <n v="0.25"/>
    <x v="766"/>
    <x v="675"/>
    <n v="1090.5"/>
    <x v="3"/>
  </r>
  <r>
    <x v="849"/>
    <x v="851"/>
    <x v="465"/>
    <x v="446"/>
    <x v="0"/>
    <x v="294"/>
    <x v="10"/>
    <x v="1"/>
    <x v="0"/>
    <x v="0"/>
    <n v="0.25"/>
    <x v="767"/>
    <x v="676"/>
    <n v="552.75"/>
    <x v="1"/>
  </r>
  <r>
    <x v="850"/>
    <x v="852"/>
    <x v="145"/>
    <x v="255"/>
    <x v="3"/>
    <x v="294"/>
    <x v="10"/>
    <x v="2"/>
    <x v="1"/>
    <x v="0"/>
    <n v="0.3"/>
    <x v="768"/>
    <x v="677"/>
    <n v="168.7"/>
    <x v="0"/>
  </r>
  <r>
    <x v="851"/>
    <x v="853"/>
    <x v="570"/>
    <x v="550"/>
    <x v="0"/>
    <x v="295"/>
    <x v="10"/>
    <x v="0"/>
    <x v="3"/>
    <x v="1"/>
    <n v="0.25"/>
    <x v="769"/>
    <x v="678"/>
    <n v="74.25"/>
    <x v="3"/>
  </r>
  <r>
    <x v="852"/>
    <x v="854"/>
    <x v="32"/>
    <x v="551"/>
    <x v="3"/>
    <x v="296"/>
    <x v="10"/>
    <x v="2"/>
    <x v="1"/>
    <x v="7"/>
    <n v="0.3"/>
    <x v="694"/>
    <x v="621"/>
    <n v="1086.4000000000001"/>
    <x v="2"/>
  </r>
  <r>
    <x v="853"/>
    <x v="855"/>
    <x v="276"/>
    <x v="552"/>
    <x v="5"/>
    <x v="296"/>
    <x v="10"/>
    <x v="2"/>
    <x v="1"/>
    <x v="0"/>
    <n v="0.2"/>
    <x v="770"/>
    <x v="679"/>
    <n v="996.8"/>
    <x v="1"/>
  </r>
  <r>
    <x v="854"/>
    <x v="856"/>
    <x v="375"/>
    <x v="179"/>
    <x v="2"/>
    <x v="296"/>
    <x v="10"/>
    <x v="1"/>
    <x v="1"/>
    <x v="7"/>
    <n v="0.3"/>
    <x v="771"/>
    <x v="29"/>
    <n v="148.4"/>
    <x v="4"/>
  </r>
  <r>
    <x v="855"/>
    <x v="857"/>
    <x v="571"/>
    <x v="273"/>
    <x v="2"/>
    <x v="297"/>
    <x v="10"/>
    <x v="2"/>
    <x v="1"/>
    <x v="3"/>
    <n v="0.3"/>
    <x v="772"/>
    <x v="680"/>
    <n v="540.4"/>
    <x v="2"/>
  </r>
  <r>
    <x v="856"/>
    <x v="858"/>
    <x v="572"/>
    <x v="122"/>
    <x v="2"/>
    <x v="297"/>
    <x v="10"/>
    <x v="1"/>
    <x v="1"/>
    <x v="0"/>
    <n v="0.3"/>
    <x v="773"/>
    <x v="378"/>
    <n v="457.8"/>
    <x v="1"/>
  </r>
  <r>
    <x v="857"/>
    <x v="859"/>
    <x v="573"/>
    <x v="251"/>
    <x v="0"/>
    <x v="298"/>
    <x v="10"/>
    <x v="0"/>
    <x v="2"/>
    <x v="7"/>
    <n v="0.25"/>
    <x v="774"/>
    <x v="225"/>
    <n v="1221"/>
    <x v="4"/>
  </r>
  <r>
    <x v="858"/>
    <x v="860"/>
    <x v="574"/>
    <x v="553"/>
    <x v="4"/>
    <x v="298"/>
    <x v="10"/>
    <x v="2"/>
    <x v="1"/>
    <x v="5"/>
    <n v="0.25"/>
    <x v="775"/>
    <x v="46"/>
    <n v="1194.75"/>
    <x v="4"/>
  </r>
  <r>
    <x v="859"/>
    <x v="861"/>
    <x v="148"/>
    <x v="83"/>
    <x v="3"/>
    <x v="298"/>
    <x v="10"/>
    <x v="2"/>
    <x v="0"/>
    <x v="3"/>
    <n v="0.3"/>
    <x v="776"/>
    <x v="681"/>
    <n v="562.1"/>
    <x v="4"/>
  </r>
  <r>
    <x v="860"/>
    <x v="862"/>
    <x v="129"/>
    <x v="554"/>
    <x v="0"/>
    <x v="298"/>
    <x v="10"/>
    <x v="0"/>
    <x v="1"/>
    <x v="5"/>
    <n v="0.25"/>
    <x v="777"/>
    <x v="682"/>
    <n v="612"/>
    <x v="0"/>
  </r>
  <r>
    <x v="861"/>
    <x v="863"/>
    <x v="575"/>
    <x v="437"/>
    <x v="4"/>
    <x v="298"/>
    <x v="10"/>
    <x v="2"/>
    <x v="1"/>
    <x v="3"/>
    <n v="0.25"/>
    <x v="599"/>
    <x v="298"/>
    <n v="327"/>
    <x v="4"/>
  </r>
  <r>
    <x v="862"/>
    <x v="864"/>
    <x v="16"/>
    <x v="50"/>
    <x v="2"/>
    <x v="298"/>
    <x v="10"/>
    <x v="1"/>
    <x v="1"/>
    <x v="6"/>
    <n v="0.3"/>
    <x v="778"/>
    <x v="342"/>
    <n v="576.79999999999995"/>
    <x v="2"/>
  </r>
  <r>
    <x v="863"/>
    <x v="865"/>
    <x v="576"/>
    <x v="555"/>
    <x v="0"/>
    <x v="299"/>
    <x v="10"/>
    <x v="2"/>
    <x v="0"/>
    <x v="4"/>
    <n v="0.25"/>
    <x v="779"/>
    <x v="683"/>
    <n v="106.5"/>
    <x v="4"/>
  </r>
  <r>
    <x v="864"/>
    <x v="866"/>
    <x v="577"/>
    <x v="498"/>
    <x v="0"/>
    <x v="299"/>
    <x v="10"/>
    <x v="2"/>
    <x v="3"/>
    <x v="6"/>
    <n v="0.25"/>
    <x v="780"/>
    <x v="684"/>
    <n v="979.5"/>
    <x v="4"/>
  </r>
  <r>
    <x v="865"/>
    <x v="867"/>
    <x v="234"/>
    <x v="556"/>
    <x v="3"/>
    <x v="299"/>
    <x v="10"/>
    <x v="1"/>
    <x v="0"/>
    <x v="3"/>
    <n v="0.3"/>
    <x v="781"/>
    <x v="685"/>
    <n v="875.7"/>
    <x v="4"/>
  </r>
  <r>
    <x v="866"/>
    <x v="868"/>
    <x v="392"/>
    <x v="305"/>
    <x v="1"/>
    <x v="299"/>
    <x v="10"/>
    <x v="1"/>
    <x v="0"/>
    <x v="3"/>
    <n v="0.1"/>
    <x v="782"/>
    <x v="313"/>
    <n v="101.7"/>
    <x v="2"/>
  </r>
  <r>
    <x v="867"/>
    <x v="869"/>
    <x v="578"/>
    <x v="557"/>
    <x v="3"/>
    <x v="299"/>
    <x v="10"/>
    <x v="2"/>
    <x v="0"/>
    <x v="5"/>
    <n v="0.3"/>
    <x v="99"/>
    <x v="95"/>
    <n v="898.8"/>
    <x v="0"/>
  </r>
  <r>
    <x v="868"/>
    <x v="870"/>
    <x v="579"/>
    <x v="132"/>
    <x v="0"/>
    <x v="299"/>
    <x v="10"/>
    <x v="2"/>
    <x v="1"/>
    <x v="5"/>
    <n v="0.25"/>
    <x v="783"/>
    <x v="509"/>
    <n v="83.25"/>
    <x v="3"/>
  </r>
  <r>
    <x v="869"/>
    <x v="871"/>
    <x v="580"/>
    <x v="25"/>
    <x v="2"/>
    <x v="299"/>
    <x v="10"/>
    <x v="2"/>
    <x v="0"/>
    <x v="7"/>
    <n v="0.3"/>
    <x v="784"/>
    <x v="686"/>
    <n v="338.8"/>
    <x v="3"/>
  </r>
  <r>
    <x v="870"/>
    <x v="872"/>
    <x v="218"/>
    <x v="214"/>
    <x v="0"/>
    <x v="300"/>
    <x v="10"/>
    <x v="0"/>
    <x v="3"/>
    <x v="4"/>
    <n v="0.25"/>
    <x v="785"/>
    <x v="310"/>
    <n v="727.5"/>
    <x v="3"/>
  </r>
  <r>
    <x v="871"/>
    <x v="873"/>
    <x v="581"/>
    <x v="558"/>
    <x v="1"/>
    <x v="300"/>
    <x v="10"/>
    <x v="1"/>
    <x v="0"/>
    <x v="4"/>
    <n v="0.1"/>
    <x v="786"/>
    <x v="687"/>
    <n v="1567.8"/>
    <x v="3"/>
  </r>
  <r>
    <x v="872"/>
    <x v="874"/>
    <x v="283"/>
    <x v="559"/>
    <x v="4"/>
    <x v="300"/>
    <x v="10"/>
    <x v="0"/>
    <x v="2"/>
    <x v="7"/>
    <n v="0.25"/>
    <x v="787"/>
    <x v="688"/>
    <n v="1188.75"/>
    <x v="2"/>
  </r>
  <r>
    <x v="873"/>
    <x v="875"/>
    <x v="437"/>
    <x v="299"/>
    <x v="0"/>
    <x v="301"/>
    <x v="10"/>
    <x v="0"/>
    <x v="0"/>
    <x v="1"/>
    <n v="0.25"/>
    <x v="788"/>
    <x v="689"/>
    <n v="590.25"/>
    <x v="4"/>
  </r>
  <r>
    <x v="874"/>
    <x v="876"/>
    <x v="582"/>
    <x v="477"/>
    <x v="0"/>
    <x v="301"/>
    <x v="10"/>
    <x v="2"/>
    <x v="1"/>
    <x v="2"/>
    <n v="0.25"/>
    <x v="789"/>
    <x v="690"/>
    <n v="874.5"/>
    <x v="2"/>
  </r>
  <r>
    <x v="875"/>
    <x v="877"/>
    <x v="196"/>
    <x v="560"/>
    <x v="5"/>
    <x v="301"/>
    <x v="10"/>
    <x v="1"/>
    <x v="3"/>
    <x v="5"/>
    <n v="0.2"/>
    <x v="790"/>
    <x v="691"/>
    <n v="91.2"/>
    <x v="3"/>
  </r>
  <r>
    <x v="876"/>
    <x v="878"/>
    <x v="44"/>
    <x v="561"/>
    <x v="5"/>
    <x v="301"/>
    <x v="10"/>
    <x v="1"/>
    <x v="0"/>
    <x v="4"/>
    <n v="0.2"/>
    <x v="791"/>
    <x v="692"/>
    <n v="1032.8"/>
    <x v="1"/>
  </r>
  <r>
    <x v="877"/>
    <x v="879"/>
    <x v="315"/>
    <x v="23"/>
    <x v="0"/>
    <x v="301"/>
    <x v="10"/>
    <x v="2"/>
    <x v="1"/>
    <x v="3"/>
    <n v="0.25"/>
    <x v="792"/>
    <x v="693"/>
    <n v="516"/>
    <x v="4"/>
  </r>
  <r>
    <x v="878"/>
    <x v="880"/>
    <x v="253"/>
    <x v="562"/>
    <x v="4"/>
    <x v="301"/>
    <x v="10"/>
    <x v="1"/>
    <x v="1"/>
    <x v="2"/>
    <n v="0.25"/>
    <x v="559"/>
    <x v="694"/>
    <n v="828"/>
    <x v="1"/>
  </r>
  <r>
    <x v="879"/>
    <x v="881"/>
    <x v="489"/>
    <x v="563"/>
    <x v="3"/>
    <x v="302"/>
    <x v="10"/>
    <x v="0"/>
    <x v="0"/>
    <x v="4"/>
    <n v="0.3"/>
    <x v="793"/>
    <x v="476"/>
    <n v="681.1"/>
    <x v="4"/>
  </r>
  <r>
    <x v="880"/>
    <x v="882"/>
    <x v="583"/>
    <x v="399"/>
    <x v="5"/>
    <x v="302"/>
    <x v="10"/>
    <x v="2"/>
    <x v="1"/>
    <x v="3"/>
    <n v="0.2"/>
    <x v="794"/>
    <x v="695"/>
    <n v="1226.4000000000001"/>
    <x v="0"/>
  </r>
  <r>
    <x v="881"/>
    <x v="883"/>
    <x v="584"/>
    <x v="272"/>
    <x v="4"/>
    <x v="302"/>
    <x v="10"/>
    <x v="1"/>
    <x v="0"/>
    <x v="4"/>
    <n v="0.25"/>
    <x v="795"/>
    <x v="696"/>
    <n v="914.25"/>
    <x v="2"/>
  </r>
  <r>
    <x v="882"/>
    <x v="884"/>
    <x v="585"/>
    <x v="472"/>
    <x v="4"/>
    <x v="302"/>
    <x v="10"/>
    <x v="1"/>
    <x v="0"/>
    <x v="6"/>
    <n v="0.25"/>
    <x v="85"/>
    <x v="82"/>
    <n v="1121.25"/>
    <x v="3"/>
  </r>
  <r>
    <x v="883"/>
    <x v="885"/>
    <x v="403"/>
    <x v="564"/>
    <x v="4"/>
    <x v="302"/>
    <x v="10"/>
    <x v="0"/>
    <x v="1"/>
    <x v="7"/>
    <n v="0.25"/>
    <x v="586"/>
    <x v="527"/>
    <n v="231.75"/>
    <x v="1"/>
  </r>
  <r>
    <x v="884"/>
    <x v="886"/>
    <x v="265"/>
    <x v="565"/>
    <x v="5"/>
    <x v="302"/>
    <x v="10"/>
    <x v="1"/>
    <x v="1"/>
    <x v="0"/>
    <n v="0.2"/>
    <x v="163"/>
    <x v="207"/>
    <n v="281.60000000000002"/>
    <x v="0"/>
  </r>
  <r>
    <x v="885"/>
    <x v="887"/>
    <x v="139"/>
    <x v="566"/>
    <x v="4"/>
    <x v="303"/>
    <x v="10"/>
    <x v="1"/>
    <x v="0"/>
    <x v="0"/>
    <n v="0.25"/>
    <x v="796"/>
    <x v="216"/>
    <n v="303"/>
    <x v="1"/>
  </r>
  <r>
    <x v="886"/>
    <x v="888"/>
    <x v="586"/>
    <x v="567"/>
    <x v="4"/>
    <x v="303"/>
    <x v="10"/>
    <x v="1"/>
    <x v="1"/>
    <x v="1"/>
    <n v="0.25"/>
    <x v="797"/>
    <x v="93"/>
    <n v="1038"/>
    <x v="4"/>
  </r>
  <r>
    <x v="887"/>
    <x v="889"/>
    <x v="587"/>
    <x v="543"/>
    <x v="3"/>
    <x v="304"/>
    <x v="10"/>
    <x v="1"/>
    <x v="0"/>
    <x v="7"/>
    <n v="0.3"/>
    <x v="798"/>
    <x v="697"/>
    <n v="833.7"/>
    <x v="0"/>
  </r>
  <r>
    <x v="888"/>
    <x v="890"/>
    <x v="588"/>
    <x v="568"/>
    <x v="3"/>
    <x v="304"/>
    <x v="10"/>
    <x v="1"/>
    <x v="0"/>
    <x v="4"/>
    <n v="0.3"/>
    <x v="590"/>
    <x v="434"/>
    <n v="401.1"/>
    <x v="4"/>
  </r>
  <r>
    <x v="889"/>
    <x v="891"/>
    <x v="385"/>
    <x v="569"/>
    <x v="2"/>
    <x v="304"/>
    <x v="10"/>
    <x v="1"/>
    <x v="2"/>
    <x v="7"/>
    <n v="0.3"/>
    <x v="799"/>
    <x v="517"/>
    <n v="621.6"/>
    <x v="3"/>
  </r>
  <r>
    <x v="890"/>
    <x v="892"/>
    <x v="384"/>
    <x v="92"/>
    <x v="2"/>
    <x v="304"/>
    <x v="10"/>
    <x v="0"/>
    <x v="0"/>
    <x v="3"/>
    <n v="0.3"/>
    <x v="373"/>
    <x v="698"/>
    <n v="437.5"/>
    <x v="0"/>
  </r>
  <r>
    <x v="891"/>
    <x v="893"/>
    <x v="589"/>
    <x v="247"/>
    <x v="4"/>
    <x v="305"/>
    <x v="10"/>
    <x v="2"/>
    <x v="1"/>
    <x v="4"/>
    <n v="0.25"/>
    <x v="800"/>
    <x v="468"/>
    <n v="293.25"/>
    <x v="2"/>
  </r>
  <r>
    <x v="892"/>
    <x v="894"/>
    <x v="483"/>
    <x v="570"/>
    <x v="3"/>
    <x v="305"/>
    <x v="10"/>
    <x v="1"/>
    <x v="1"/>
    <x v="4"/>
    <n v="0.3"/>
    <x v="801"/>
    <x v="689"/>
    <n v="550.9"/>
    <x v="1"/>
  </r>
  <r>
    <x v="893"/>
    <x v="895"/>
    <x v="590"/>
    <x v="23"/>
    <x v="4"/>
    <x v="305"/>
    <x v="10"/>
    <x v="2"/>
    <x v="0"/>
    <x v="5"/>
    <n v="0.25"/>
    <x v="682"/>
    <x v="612"/>
    <n v="360"/>
    <x v="4"/>
  </r>
  <r>
    <x v="894"/>
    <x v="896"/>
    <x v="68"/>
    <x v="127"/>
    <x v="0"/>
    <x v="306"/>
    <x v="10"/>
    <x v="1"/>
    <x v="0"/>
    <x v="2"/>
    <n v="0.25"/>
    <x v="802"/>
    <x v="221"/>
    <n v="132"/>
    <x v="0"/>
  </r>
  <r>
    <x v="895"/>
    <x v="897"/>
    <x v="591"/>
    <x v="169"/>
    <x v="5"/>
    <x v="306"/>
    <x v="10"/>
    <x v="0"/>
    <x v="1"/>
    <x v="5"/>
    <n v="0.2"/>
    <x v="803"/>
    <x v="699"/>
    <n v="952"/>
    <x v="2"/>
  </r>
  <r>
    <x v="896"/>
    <x v="898"/>
    <x v="26"/>
    <x v="571"/>
    <x v="1"/>
    <x v="306"/>
    <x v="10"/>
    <x v="1"/>
    <x v="1"/>
    <x v="1"/>
    <n v="0.1"/>
    <x v="804"/>
    <x v="23"/>
    <n v="653.4"/>
    <x v="4"/>
  </r>
  <r>
    <x v="897"/>
    <x v="899"/>
    <x v="592"/>
    <x v="572"/>
    <x v="5"/>
    <x v="306"/>
    <x v="10"/>
    <x v="1"/>
    <x v="1"/>
    <x v="1"/>
    <n v="0.2"/>
    <x v="805"/>
    <x v="700"/>
    <n v="1160"/>
    <x v="2"/>
  </r>
  <r>
    <x v="898"/>
    <x v="900"/>
    <x v="593"/>
    <x v="573"/>
    <x v="4"/>
    <x v="307"/>
    <x v="10"/>
    <x v="2"/>
    <x v="0"/>
    <x v="5"/>
    <n v="0.25"/>
    <x v="806"/>
    <x v="701"/>
    <n v="423.75"/>
    <x v="0"/>
  </r>
  <r>
    <x v="899"/>
    <x v="901"/>
    <x v="281"/>
    <x v="185"/>
    <x v="4"/>
    <x v="307"/>
    <x v="10"/>
    <x v="2"/>
    <x v="3"/>
    <x v="3"/>
    <n v="0.25"/>
    <x v="807"/>
    <x v="702"/>
    <n v="704.25"/>
    <x v="0"/>
  </r>
  <r>
    <x v="900"/>
    <x v="902"/>
    <x v="145"/>
    <x v="299"/>
    <x v="1"/>
    <x v="307"/>
    <x v="10"/>
    <x v="1"/>
    <x v="1"/>
    <x v="6"/>
    <n v="0.1"/>
    <x v="808"/>
    <x v="406"/>
    <n v="275.39999999999998"/>
    <x v="2"/>
  </r>
  <r>
    <x v="901"/>
    <x v="903"/>
    <x v="379"/>
    <x v="574"/>
    <x v="0"/>
    <x v="307"/>
    <x v="10"/>
    <x v="0"/>
    <x v="2"/>
    <x v="7"/>
    <n v="0.25"/>
    <x v="809"/>
    <x v="375"/>
    <n v="1161.75"/>
    <x v="1"/>
  </r>
  <r>
    <x v="902"/>
    <x v="904"/>
    <x v="235"/>
    <x v="173"/>
    <x v="4"/>
    <x v="308"/>
    <x v="10"/>
    <x v="0"/>
    <x v="2"/>
    <x v="0"/>
    <n v="0.25"/>
    <x v="810"/>
    <x v="703"/>
    <n v="814.5"/>
    <x v="1"/>
  </r>
  <r>
    <x v="903"/>
    <x v="905"/>
    <x v="136"/>
    <x v="98"/>
    <x v="4"/>
    <x v="308"/>
    <x v="10"/>
    <x v="0"/>
    <x v="1"/>
    <x v="4"/>
    <n v="0.25"/>
    <x v="811"/>
    <x v="704"/>
    <n v="336"/>
    <x v="2"/>
  </r>
  <r>
    <x v="904"/>
    <x v="906"/>
    <x v="201"/>
    <x v="320"/>
    <x v="1"/>
    <x v="309"/>
    <x v="10"/>
    <x v="0"/>
    <x v="2"/>
    <x v="2"/>
    <n v="0.1"/>
    <x v="812"/>
    <x v="578"/>
    <n v="930.6"/>
    <x v="3"/>
  </r>
  <r>
    <x v="905"/>
    <x v="907"/>
    <x v="269"/>
    <x v="575"/>
    <x v="5"/>
    <x v="309"/>
    <x v="10"/>
    <x v="1"/>
    <x v="0"/>
    <x v="6"/>
    <n v="0.2"/>
    <x v="356"/>
    <x v="705"/>
    <n v="316"/>
    <x v="1"/>
  </r>
  <r>
    <x v="906"/>
    <x v="908"/>
    <x v="560"/>
    <x v="385"/>
    <x v="1"/>
    <x v="309"/>
    <x v="10"/>
    <x v="1"/>
    <x v="0"/>
    <x v="1"/>
    <n v="0.1"/>
    <x v="813"/>
    <x v="5"/>
    <n v="1288.8"/>
    <x v="2"/>
  </r>
  <r>
    <x v="907"/>
    <x v="909"/>
    <x v="260"/>
    <x v="41"/>
    <x v="2"/>
    <x v="309"/>
    <x v="10"/>
    <x v="1"/>
    <x v="0"/>
    <x v="3"/>
    <n v="0.3"/>
    <x v="814"/>
    <x v="173"/>
    <n v="16.100000000000001"/>
    <x v="1"/>
  </r>
  <r>
    <x v="908"/>
    <x v="910"/>
    <x v="594"/>
    <x v="326"/>
    <x v="4"/>
    <x v="309"/>
    <x v="10"/>
    <x v="2"/>
    <x v="0"/>
    <x v="2"/>
    <n v="0.25"/>
    <x v="815"/>
    <x v="706"/>
    <n v="1389"/>
    <x v="4"/>
  </r>
  <r>
    <x v="909"/>
    <x v="911"/>
    <x v="595"/>
    <x v="576"/>
    <x v="0"/>
    <x v="310"/>
    <x v="10"/>
    <x v="2"/>
    <x v="1"/>
    <x v="7"/>
    <n v="0.25"/>
    <x v="222"/>
    <x v="208"/>
    <n v="905.25"/>
    <x v="4"/>
  </r>
  <r>
    <x v="910"/>
    <x v="912"/>
    <x v="367"/>
    <x v="577"/>
    <x v="5"/>
    <x v="311"/>
    <x v="10"/>
    <x v="2"/>
    <x v="0"/>
    <x v="2"/>
    <n v="0.2"/>
    <x v="816"/>
    <x v="707"/>
    <n v="1084"/>
    <x v="3"/>
  </r>
  <r>
    <x v="911"/>
    <x v="913"/>
    <x v="260"/>
    <x v="539"/>
    <x v="2"/>
    <x v="312"/>
    <x v="10"/>
    <x v="2"/>
    <x v="0"/>
    <x v="4"/>
    <n v="0.3"/>
    <x v="817"/>
    <x v="708"/>
    <n v="864.5"/>
    <x v="2"/>
  </r>
  <r>
    <x v="912"/>
    <x v="914"/>
    <x v="222"/>
    <x v="578"/>
    <x v="1"/>
    <x v="312"/>
    <x v="10"/>
    <x v="1"/>
    <x v="3"/>
    <x v="7"/>
    <n v="0.1"/>
    <x v="818"/>
    <x v="709"/>
    <n v="1196.0999999999999"/>
    <x v="3"/>
  </r>
  <r>
    <x v="913"/>
    <x v="915"/>
    <x v="596"/>
    <x v="67"/>
    <x v="0"/>
    <x v="312"/>
    <x v="10"/>
    <x v="1"/>
    <x v="2"/>
    <x v="3"/>
    <n v="0.25"/>
    <x v="819"/>
    <x v="710"/>
    <n v="959.25"/>
    <x v="0"/>
  </r>
  <r>
    <x v="914"/>
    <x v="916"/>
    <x v="597"/>
    <x v="116"/>
    <x v="1"/>
    <x v="313"/>
    <x v="10"/>
    <x v="1"/>
    <x v="0"/>
    <x v="5"/>
    <n v="0.1"/>
    <x v="820"/>
    <x v="711"/>
    <n v="558"/>
    <x v="1"/>
  </r>
  <r>
    <x v="915"/>
    <x v="917"/>
    <x v="525"/>
    <x v="532"/>
    <x v="4"/>
    <x v="313"/>
    <x v="10"/>
    <x v="2"/>
    <x v="1"/>
    <x v="3"/>
    <n v="0.25"/>
    <x v="821"/>
    <x v="262"/>
    <n v="1068.75"/>
    <x v="2"/>
  </r>
  <r>
    <x v="916"/>
    <x v="918"/>
    <x v="598"/>
    <x v="103"/>
    <x v="4"/>
    <x v="314"/>
    <x v="11"/>
    <x v="1"/>
    <x v="0"/>
    <x v="6"/>
    <n v="0.25"/>
    <x v="115"/>
    <x v="712"/>
    <n v="36"/>
    <x v="1"/>
  </r>
  <r>
    <x v="917"/>
    <x v="919"/>
    <x v="599"/>
    <x v="579"/>
    <x v="3"/>
    <x v="315"/>
    <x v="11"/>
    <x v="2"/>
    <x v="1"/>
    <x v="3"/>
    <n v="0.3"/>
    <x v="822"/>
    <x v="30"/>
    <n v="136.5"/>
    <x v="2"/>
  </r>
  <r>
    <x v="918"/>
    <x v="920"/>
    <x v="600"/>
    <x v="218"/>
    <x v="0"/>
    <x v="315"/>
    <x v="11"/>
    <x v="0"/>
    <x v="0"/>
    <x v="3"/>
    <n v="0.25"/>
    <x v="823"/>
    <x v="713"/>
    <n v="363.75"/>
    <x v="3"/>
  </r>
  <r>
    <x v="919"/>
    <x v="921"/>
    <x v="394"/>
    <x v="254"/>
    <x v="1"/>
    <x v="316"/>
    <x v="11"/>
    <x v="1"/>
    <x v="0"/>
    <x v="5"/>
    <n v="0.1"/>
    <x v="824"/>
    <x v="714"/>
    <n v="269.10000000000002"/>
    <x v="0"/>
  </r>
  <r>
    <x v="920"/>
    <x v="922"/>
    <x v="108"/>
    <x v="34"/>
    <x v="0"/>
    <x v="317"/>
    <x v="11"/>
    <x v="1"/>
    <x v="1"/>
    <x v="4"/>
    <n v="0.25"/>
    <x v="825"/>
    <x v="715"/>
    <n v="1259.25"/>
    <x v="3"/>
  </r>
  <r>
    <x v="921"/>
    <x v="923"/>
    <x v="601"/>
    <x v="580"/>
    <x v="3"/>
    <x v="317"/>
    <x v="11"/>
    <x v="2"/>
    <x v="0"/>
    <x v="4"/>
    <n v="0.3"/>
    <x v="826"/>
    <x v="716"/>
    <n v="559.29999999999995"/>
    <x v="2"/>
  </r>
  <r>
    <x v="922"/>
    <x v="924"/>
    <x v="274"/>
    <x v="38"/>
    <x v="4"/>
    <x v="318"/>
    <x v="11"/>
    <x v="2"/>
    <x v="1"/>
    <x v="5"/>
    <n v="0.25"/>
    <x v="827"/>
    <x v="717"/>
    <n v="1262.25"/>
    <x v="3"/>
  </r>
  <r>
    <x v="923"/>
    <x v="925"/>
    <x v="602"/>
    <x v="581"/>
    <x v="2"/>
    <x v="318"/>
    <x v="11"/>
    <x v="1"/>
    <x v="0"/>
    <x v="2"/>
    <n v="0.3"/>
    <x v="828"/>
    <x v="718"/>
    <n v="1165.5"/>
    <x v="1"/>
  </r>
  <r>
    <x v="924"/>
    <x v="926"/>
    <x v="231"/>
    <x v="582"/>
    <x v="0"/>
    <x v="318"/>
    <x v="11"/>
    <x v="2"/>
    <x v="1"/>
    <x v="3"/>
    <n v="0.25"/>
    <x v="829"/>
    <x v="719"/>
    <n v="255"/>
    <x v="0"/>
  </r>
  <r>
    <x v="925"/>
    <x v="927"/>
    <x v="15"/>
    <x v="483"/>
    <x v="5"/>
    <x v="318"/>
    <x v="11"/>
    <x v="2"/>
    <x v="3"/>
    <x v="5"/>
    <n v="0.2"/>
    <x v="830"/>
    <x v="720"/>
    <n v="1046.4000000000001"/>
    <x v="3"/>
  </r>
  <r>
    <x v="926"/>
    <x v="928"/>
    <x v="309"/>
    <x v="164"/>
    <x v="4"/>
    <x v="319"/>
    <x v="11"/>
    <x v="2"/>
    <x v="0"/>
    <x v="4"/>
    <n v="0.25"/>
    <x v="72"/>
    <x v="71"/>
    <n v="506.25"/>
    <x v="0"/>
  </r>
  <r>
    <x v="927"/>
    <x v="929"/>
    <x v="469"/>
    <x v="583"/>
    <x v="3"/>
    <x v="320"/>
    <x v="11"/>
    <x v="1"/>
    <x v="1"/>
    <x v="5"/>
    <n v="0.3"/>
    <x v="831"/>
    <x v="354"/>
    <n v="1064.7"/>
    <x v="1"/>
  </r>
  <r>
    <x v="928"/>
    <x v="930"/>
    <x v="603"/>
    <x v="584"/>
    <x v="2"/>
    <x v="320"/>
    <x v="11"/>
    <x v="2"/>
    <x v="2"/>
    <x v="5"/>
    <n v="0.3"/>
    <x v="832"/>
    <x v="721"/>
    <n v="549.5"/>
    <x v="2"/>
  </r>
  <r>
    <x v="929"/>
    <x v="931"/>
    <x v="604"/>
    <x v="368"/>
    <x v="0"/>
    <x v="320"/>
    <x v="11"/>
    <x v="1"/>
    <x v="0"/>
    <x v="7"/>
    <n v="0.25"/>
    <x v="833"/>
    <x v="722"/>
    <n v="348.75"/>
    <x v="0"/>
  </r>
  <r>
    <x v="930"/>
    <x v="932"/>
    <x v="605"/>
    <x v="461"/>
    <x v="1"/>
    <x v="320"/>
    <x v="11"/>
    <x v="2"/>
    <x v="1"/>
    <x v="4"/>
    <n v="0.1"/>
    <x v="834"/>
    <x v="723"/>
    <n v="1532.7"/>
    <x v="0"/>
  </r>
  <r>
    <x v="931"/>
    <x v="933"/>
    <x v="283"/>
    <x v="411"/>
    <x v="0"/>
    <x v="321"/>
    <x v="11"/>
    <x v="1"/>
    <x v="1"/>
    <x v="6"/>
    <n v="0.25"/>
    <x v="835"/>
    <x v="724"/>
    <n v="574.5"/>
    <x v="4"/>
  </r>
  <r>
    <x v="932"/>
    <x v="934"/>
    <x v="417"/>
    <x v="301"/>
    <x v="2"/>
    <x v="322"/>
    <x v="11"/>
    <x v="0"/>
    <x v="0"/>
    <x v="6"/>
    <n v="0.3"/>
    <x v="836"/>
    <x v="725"/>
    <n v="746.2"/>
    <x v="2"/>
  </r>
  <r>
    <x v="933"/>
    <x v="935"/>
    <x v="606"/>
    <x v="198"/>
    <x v="0"/>
    <x v="323"/>
    <x v="11"/>
    <x v="1"/>
    <x v="0"/>
    <x v="7"/>
    <n v="0.25"/>
    <x v="559"/>
    <x v="694"/>
    <n v="828"/>
    <x v="4"/>
  </r>
  <r>
    <x v="934"/>
    <x v="936"/>
    <x v="301"/>
    <x v="297"/>
    <x v="5"/>
    <x v="323"/>
    <x v="11"/>
    <x v="2"/>
    <x v="2"/>
    <x v="3"/>
    <n v="0.2"/>
    <x v="837"/>
    <x v="726"/>
    <n v="922.4"/>
    <x v="4"/>
  </r>
  <r>
    <x v="935"/>
    <x v="937"/>
    <x v="607"/>
    <x v="355"/>
    <x v="1"/>
    <x v="323"/>
    <x v="11"/>
    <x v="2"/>
    <x v="1"/>
    <x v="2"/>
    <n v="0.1"/>
    <x v="838"/>
    <x v="727"/>
    <n v="1660.5"/>
    <x v="2"/>
  </r>
  <r>
    <x v="936"/>
    <x v="938"/>
    <x v="459"/>
    <x v="325"/>
    <x v="0"/>
    <x v="324"/>
    <x v="11"/>
    <x v="2"/>
    <x v="1"/>
    <x v="0"/>
    <n v="0.25"/>
    <x v="57"/>
    <x v="56"/>
    <n v="1220.25"/>
    <x v="0"/>
  </r>
  <r>
    <x v="937"/>
    <x v="939"/>
    <x v="403"/>
    <x v="585"/>
    <x v="5"/>
    <x v="324"/>
    <x v="11"/>
    <x v="0"/>
    <x v="2"/>
    <x v="0"/>
    <n v="0.2"/>
    <x v="839"/>
    <x v="314"/>
    <n v="460.8"/>
    <x v="2"/>
  </r>
  <r>
    <x v="938"/>
    <x v="940"/>
    <x v="198"/>
    <x v="294"/>
    <x v="0"/>
    <x v="324"/>
    <x v="11"/>
    <x v="0"/>
    <x v="0"/>
    <x v="6"/>
    <n v="0.25"/>
    <x v="840"/>
    <x v="728"/>
    <n v="329.25"/>
    <x v="1"/>
  </r>
  <r>
    <x v="939"/>
    <x v="941"/>
    <x v="608"/>
    <x v="63"/>
    <x v="5"/>
    <x v="324"/>
    <x v="11"/>
    <x v="2"/>
    <x v="2"/>
    <x v="3"/>
    <n v="0.2"/>
    <x v="841"/>
    <x v="729"/>
    <n v="570.4"/>
    <x v="1"/>
  </r>
  <r>
    <x v="940"/>
    <x v="942"/>
    <x v="429"/>
    <x v="586"/>
    <x v="0"/>
    <x v="325"/>
    <x v="11"/>
    <x v="1"/>
    <x v="0"/>
    <x v="3"/>
    <n v="0.25"/>
    <x v="842"/>
    <x v="730"/>
    <n v="13.5"/>
    <x v="1"/>
  </r>
  <r>
    <x v="941"/>
    <x v="943"/>
    <x v="166"/>
    <x v="444"/>
    <x v="3"/>
    <x v="325"/>
    <x v="11"/>
    <x v="1"/>
    <x v="0"/>
    <x v="7"/>
    <n v="0.3"/>
    <x v="776"/>
    <x v="681"/>
    <n v="562.1"/>
    <x v="4"/>
  </r>
  <r>
    <x v="942"/>
    <x v="944"/>
    <x v="347"/>
    <x v="210"/>
    <x v="4"/>
    <x v="325"/>
    <x v="11"/>
    <x v="2"/>
    <x v="0"/>
    <x v="2"/>
    <n v="0.25"/>
    <x v="843"/>
    <x v="731"/>
    <n v="455.25"/>
    <x v="2"/>
  </r>
  <r>
    <x v="943"/>
    <x v="945"/>
    <x v="609"/>
    <x v="587"/>
    <x v="0"/>
    <x v="325"/>
    <x v="11"/>
    <x v="2"/>
    <x v="1"/>
    <x v="4"/>
    <n v="0.25"/>
    <x v="646"/>
    <x v="445"/>
    <n v="239.25"/>
    <x v="3"/>
  </r>
  <r>
    <x v="944"/>
    <x v="946"/>
    <x v="513"/>
    <x v="225"/>
    <x v="4"/>
    <x v="326"/>
    <x v="11"/>
    <x v="2"/>
    <x v="2"/>
    <x v="5"/>
    <n v="0.25"/>
    <x v="844"/>
    <x v="732"/>
    <n v="58.5"/>
    <x v="1"/>
  </r>
  <r>
    <x v="945"/>
    <x v="947"/>
    <x v="418"/>
    <x v="91"/>
    <x v="3"/>
    <x v="326"/>
    <x v="11"/>
    <x v="0"/>
    <x v="0"/>
    <x v="0"/>
    <n v="0.3"/>
    <x v="472"/>
    <x v="427"/>
    <n v="917.7"/>
    <x v="4"/>
  </r>
  <r>
    <x v="946"/>
    <x v="948"/>
    <x v="412"/>
    <x v="588"/>
    <x v="0"/>
    <x v="326"/>
    <x v="11"/>
    <x v="1"/>
    <x v="0"/>
    <x v="1"/>
    <n v="0.25"/>
    <x v="193"/>
    <x v="733"/>
    <n v="1192.5"/>
    <x v="2"/>
  </r>
  <r>
    <x v="947"/>
    <x v="949"/>
    <x v="323"/>
    <x v="521"/>
    <x v="1"/>
    <x v="326"/>
    <x v="11"/>
    <x v="1"/>
    <x v="3"/>
    <x v="5"/>
    <n v="0.1"/>
    <x v="845"/>
    <x v="588"/>
    <n v="1385.1"/>
    <x v="4"/>
  </r>
  <r>
    <x v="948"/>
    <x v="950"/>
    <x v="610"/>
    <x v="79"/>
    <x v="5"/>
    <x v="326"/>
    <x v="11"/>
    <x v="2"/>
    <x v="0"/>
    <x v="4"/>
    <n v="0.2"/>
    <x v="837"/>
    <x v="726"/>
    <n v="922.4"/>
    <x v="3"/>
  </r>
  <r>
    <x v="949"/>
    <x v="951"/>
    <x v="297"/>
    <x v="589"/>
    <x v="0"/>
    <x v="326"/>
    <x v="11"/>
    <x v="1"/>
    <x v="0"/>
    <x v="2"/>
    <n v="0.25"/>
    <x v="846"/>
    <x v="734"/>
    <n v="1398.75"/>
    <x v="4"/>
  </r>
  <r>
    <x v="950"/>
    <x v="952"/>
    <x v="575"/>
    <x v="82"/>
    <x v="0"/>
    <x v="327"/>
    <x v="11"/>
    <x v="2"/>
    <x v="1"/>
    <x v="6"/>
    <n v="0.25"/>
    <x v="847"/>
    <x v="735"/>
    <n v="498.75"/>
    <x v="0"/>
  </r>
  <r>
    <x v="951"/>
    <x v="953"/>
    <x v="221"/>
    <x v="355"/>
    <x v="5"/>
    <x v="328"/>
    <x v="11"/>
    <x v="0"/>
    <x v="0"/>
    <x v="5"/>
    <n v="0.2"/>
    <x v="848"/>
    <x v="736"/>
    <n v="152.80000000000001"/>
    <x v="1"/>
  </r>
  <r>
    <x v="952"/>
    <x v="954"/>
    <x v="611"/>
    <x v="590"/>
    <x v="2"/>
    <x v="328"/>
    <x v="11"/>
    <x v="1"/>
    <x v="1"/>
    <x v="0"/>
    <n v="0.3"/>
    <x v="849"/>
    <x v="737"/>
    <n v="256.2"/>
    <x v="3"/>
  </r>
  <r>
    <x v="953"/>
    <x v="955"/>
    <x v="612"/>
    <x v="591"/>
    <x v="3"/>
    <x v="328"/>
    <x v="11"/>
    <x v="1"/>
    <x v="0"/>
    <x v="4"/>
    <n v="0.3"/>
    <x v="850"/>
    <x v="408"/>
    <n v="88.9"/>
    <x v="2"/>
  </r>
  <r>
    <x v="954"/>
    <x v="956"/>
    <x v="613"/>
    <x v="592"/>
    <x v="0"/>
    <x v="328"/>
    <x v="11"/>
    <x v="0"/>
    <x v="1"/>
    <x v="7"/>
    <n v="0.25"/>
    <x v="460"/>
    <x v="414"/>
    <n v="661.5"/>
    <x v="0"/>
  </r>
  <r>
    <x v="955"/>
    <x v="957"/>
    <x v="614"/>
    <x v="593"/>
    <x v="3"/>
    <x v="328"/>
    <x v="11"/>
    <x v="1"/>
    <x v="1"/>
    <x v="5"/>
    <n v="0.3"/>
    <x v="851"/>
    <x v="738"/>
    <n v="1012.9"/>
    <x v="0"/>
  </r>
  <r>
    <x v="956"/>
    <x v="958"/>
    <x v="615"/>
    <x v="594"/>
    <x v="2"/>
    <x v="328"/>
    <x v="11"/>
    <x v="0"/>
    <x v="2"/>
    <x v="2"/>
    <n v="0.3"/>
    <x v="852"/>
    <x v="739"/>
    <n v="718.2"/>
    <x v="4"/>
  </r>
  <r>
    <x v="957"/>
    <x v="959"/>
    <x v="612"/>
    <x v="365"/>
    <x v="1"/>
    <x v="328"/>
    <x v="11"/>
    <x v="1"/>
    <x v="0"/>
    <x v="1"/>
    <n v="0.1"/>
    <x v="98"/>
    <x v="49"/>
    <n v="1436.4"/>
    <x v="3"/>
  </r>
  <r>
    <x v="958"/>
    <x v="960"/>
    <x v="616"/>
    <x v="201"/>
    <x v="5"/>
    <x v="328"/>
    <x v="11"/>
    <x v="0"/>
    <x v="1"/>
    <x v="1"/>
    <n v="0.2"/>
    <x v="853"/>
    <x v="740"/>
    <n v="1073.5999999999999"/>
    <x v="4"/>
  </r>
  <r>
    <x v="959"/>
    <x v="961"/>
    <x v="497"/>
    <x v="481"/>
    <x v="3"/>
    <x v="329"/>
    <x v="11"/>
    <x v="1"/>
    <x v="3"/>
    <x v="2"/>
    <n v="0.3"/>
    <x v="854"/>
    <x v="741"/>
    <n v="659.4"/>
    <x v="1"/>
  </r>
  <r>
    <x v="960"/>
    <x v="962"/>
    <x v="617"/>
    <x v="438"/>
    <x v="0"/>
    <x v="330"/>
    <x v="11"/>
    <x v="0"/>
    <x v="2"/>
    <x v="0"/>
    <n v="0.25"/>
    <x v="855"/>
    <x v="742"/>
    <n v="405.75"/>
    <x v="3"/>
  </r>
  <r>
    <x v="961"/>
    <x v="963"/>
    <x v="88"/>
    <x v="14"/>
    <x v="5"/>
    <x v="330"/>
    <x v="11"/>
    <x v="2"/>
    <x v="1"/>
    <x v="0"/>
    <n v="0.2"/>
    <x v="856"/>
    <x v="585"/>
    <n v="899.2"/>
    <x v="4"/>
  </r>
  <r>
    <x v="962"/>
    <x v="964"/>
    <x v="618"/>
    <x v="595"/>
    <x v="1"/>
    <x v="331"/>
    <x v="11"/>
    <x v="0"/>
    <x v="1"/>
    <x v="1"/>
    <n v="0.1"/>
    <x v="316"/>
    <x v="292"/>
    <n v="507.6"/>
    <x v="4"/>
  </r>
  <r>
    <x v="963"/>
    <x v="965"/>
    <x v="193"/>
    <x v="490"/>
    <x v="0"/>
    <x v="331"/>
    <x v="11"/>
    <x v="0"/>
    <x v="0"/>
    <x v="1"/>
    <n v="0.25"/>
    <x v="857"/>
    <x v="743"/>
    <n v="1308.75"/>
    <x v="4"/>
  </r>
  <r>
    <x v="964"/>
    <x v="966"/>
    <x v="159"/>
    <x v="596"/>
    <x v="4"/>
    <x v="331"/>
    <x v="11"/>
    <x v="1"/>
    <x v="0"/>
    <x v="3"/>
    <n v="0.25"/>
    <x v="858"/>
    <x v="744"/>
    <n v="1137"/>
    <x v="0"/>
  </r>
  <r>
    <x v="965"/>
    <x v="967"/>
    <x v="303"/>
    <x v="597"/>
    <x v="2"/>
    <x v="332"/>
    <x v="11"/>
    <x v="1"/>
    <x v="0"/>
    <x v="2"/>
    <n v="0.3"/>
    <x v="859"/>
    <x v="745"/>
    <n v="654.5"/>
    <x v="3"/>
  </r>
  <r>
    <x v="966"/>
    <x v="968"/>
    <x v="364"/>
    <x v="137"/>
    <x v="4"/>
    <x v="332"/>
    <x v="11"/>
    <x v="0"/>
    <x v="1"/>
    <x v="0"/>
    <n v="0.25"/>
    <x v="860"/>
    <x v="746"/>
    <n v="1018.5"/>
    <x v="4"/>
  </r>
  <r>
    <x v="967"/>
    <x v="969"/>
    <x v="84"/>
    <x v="598"/>
    <x v="0"/>
    <x v="332"/>
    <x v="11"/>
    <x v="1"/>
    <x v="0"/>
    <x v="6"/>
    <n v="0.25"/>
    <x v="861"/>
    <x v="747"/>
    <n v="1394.25"/>
    <x v="3"/>
  </r>
  <r>
    <x v="968"/>
    <x v="970"/>
    <x v="252"/>
    <x v="2"/>
    <x v="0"/>
    <x v="332"/>
    <x v="11"/>
    <x v="2"/>
    <x v="0"/>
    <x v="4"/>
    <n v="0.25"/>
    <x v="862"/>
    <x v="748"/>
    <n v="743.25"/>
    <x v="4"/>
  </r>
  <r>
    <x v="969"/>
    <x v="971"/>
    <x v="514"/>
    <x v="434"/>
    <x v="4"/>
    <x v="333"/>
    <x v="11"/>
    <x v="1"/>
    <x v="1"/>
    <x v="5"/>
    <n v="0.25"/>
    <x v="863"/>
    <x v="749"/>
    <n v="1091.25"/>
    <x v="2"/>
  </r>
  <r>
    <x v="970"/>
    <x v="972"/>
    <x v="474"/>
    <x v="431"/>
    <x v="3"/>
    <x v="333"/>
    <x v="11"/>
    <x v="0"/>
    <x v="0"/>
    <x v="1"/>
    <n v="0.3"/>
    <x v="864"/>
    <x v="268"/>
    <n v="426.3"/>
    <x v="1"/>
  </r>
  <r>
    <x v="971"/>
    <x v="973"/>
    <x v="239"/>
    <x v="599"/>
    <x v="1"/>
    <x v="333"/>
    <x v="11"/>
    <x v="1"/>
    <x v="0"/>
    <x v="2"/>
    <n v="0.1"/>
    <x v="865"/>
    <x v="750"/>
    <n v="333"/>
    <x v="2"/>
  </r>
  <r>
    <x v="972"/>
    <x v="974"/>
    <x v="189"/>
    <x v="373"/>
    <x v="0"/>
    <x v="334"/>
    <x v="11"/>
    <x v="1"/>
    <x v="2"/>
    <x v="0"/>
    <n v="0.25"/>
    <x v="866"/>
    <x v="751"/>
    <n v="585.75"/>
    <x v="3"/>
  </r>
  <r>
    <x v="973"/>
    <x v="975"/>
    <x v="551"/>
    <x v="600"/>
    <x v="4"/>
    <x v="334"/>
    <x v="11"/>
    <x v="0"/>
    <x v="1"/>
    <x v="2"/>
    <n v="0.25"/>
    <x v="867"/>
    <x v="752"/>
    <n v="659.25"/>
    <x v="3"/>
  </r>
  <r>
    <x v="974"/>
    <x v="976"/>
    <x v="511"/>
    <x v="524"/>
    <x v="0"/>
    <x v="334"/>
    <x v="11"/>
    <x v="0"/>
    <x v="1"/>
    <x v="0"/>
    <n v="0.25"/>
    <x v="868"/>
    <x v="753"/>
    <n v="1089"/>
    <x v="2"/>
  </r>
  <r>
    <x v="975"/>
    <x v="977"/>
    <x v="619"/>
    <x v="14"/>
    <x v="2"/>
    <x v="334"/>
    <x v="11"/>
    <x v="1"/>
    <x v="1"/>
    <x v="7"/>
    <n v="0.3"/>
    <x v="869"/>
    <x v="754"/>
    <n v="1035.3"/>
    <x v="3"/>
  </r>
  <r>
    <x v="976"/>
    <x v="978"/>
    <x v="574"/>
    <x v="554"/>
    <x v="1"/>
    <x v="334"/>
    <x v="11"/>
    <x v="0"/>
    <x v="2"/>
    <x v="5"/>
    <n v="0.1"/>
    <x v="870"/>
    <x v="755"/>
    <n v="1017.9"/>
    <x v="3"/>
  </r>
  <r>
    <x v="977"/>
    <x v="979"/>
    <x v="620"/>
    <x v="252"/>
    <x v="3"/>
    <x v="335"/>
    <x v="11"/>
    <x v="1"/>
    <x v="0"/>
    <x v="3"/>
    <n v="0.3"/>
    <x v="871"/>
    <x v="756"/>
    <n v="851.2"/>
    <x v="2"/>
  </r>
  <r>
    <x v="978"/>
    <x v="980"/>
    <x v="621"/>
    <x v="601"/>
    <x v="3"/>
    <x v="336"/>
    <x v="11"/>
    <x v="0"/>
    <x v="0"/>
    <x v="7"/>
    <n v="0.3"/>
    <x v="872"/>
    <x v="757"/>
    <n v="1033.9000000000001"/>
    <x v="3"/>
  </r>
  <r>
    <x v="979"/>
    <x v="981"/>
    <x v="423"/>
    <x v="602"/>
    <x v="0"/>
    <x v="336"/>
    <x v="11"/>
    <x v="0"/>
    <x v="0"/>
    <x v="3"/>
    <n v="0.25"/>
    <x v="873"/>
    <x v="758"/>
    <n v="51.75"/>
    <x v="1"/>
  </r>
  <r>
    <x v="980"/>
    <x v="982"/>
    <x v="622"/>
    <x v="469"/>
    <x v="3"/>
    <x v="337"/>
    <x v="11"/>
    <x v="1"/>
    <x v="0"/>
    <x v="0"/>
    <n v="0.3"/>
    <x v="874"/>
    <x v="350"/>
    <n v="756"/>
    <x v="2"/>
  </r>
  <r>
    <x v="981"/>
    <x v="983"/>
    <x v="623"/>
    <x v="243"/>
    <x v="5"/>
    <x v="337"/>
    <x v="11"/>
    <x v="2"/>
    <x v="2"/>
    <x v="2"/>
    <n v="0.2"/>
    <x v="875"/>
    <x v="269"/>
    <n v="338.4"/>
    <x v="3"/>
  </r>
  <r>
    <x v="982"/>
    <x v="984"/>
    <x v="624"/>
    <x v="129"/>
    <x v="5"/>
    <x v="337"/>
    <x v="11"/>
    <x v="1"/>
    <x v="0"/>
    <x v="7"/>
    <n v="0.2"/>
    <x v="12"/>
    <x v="759"/>
    <n v="548"/>
    <x v="4"/>
  </r>
  <r>
    <x v="983"/>
    <x v="985"/>
    <x v="235"/>
    <x v="603"/>
    <x v="2"/>
    <x v="337"/>
    <x v="11"/>
    <x v="0"/>
    <x v="0"/>
    <x v="1"/>
    <n v="0.3"/>
    <x v="876"/>
    <x v="498"/>
    <n v="644.70000000000005"/>
    <x v="2"/>
  </r>
  <r>
    <x v="984"/>
    <x v="986"/>
    <x v="625"/>
    <x v="324"/>
    <x v="0"/>
    <x v="338"/>
    <x v="11"/>
    <x v="0"/>
    <x v="1"/>
    <x v="2"/>
    <n v="0.25"/>
    <x v="838"/>
    <x v="760"/>
    <n v="553.5"/>
    <x v="1"/>
  </r>
  <r>
    <x v="985"/>
    <x v="987"/>
    <x v="626"/>
    <x v="352"/>
    <x v="2"/>
    <x v="339"/>
    <x v="11"/>
    <x v="0"/>
    <x v="0"/>
    <x v="2"/>
    <n v="0.3"/>
    <x v="877"/>
    <x v="761"/>
    <n v="333.9"/>
    <x v="3"/>
  </r>
  <r>
    <x v="986"/>
    <x v="988"/>
    <x v="18"/>
    <x v="15"/>
    <x v="1"/>
    <x v="339"/>
    <x v="11"/>
    <x v="1"/>
    <x v="0"/>
    <x v="0"/>
    <n v="0.1"/>
    <x v="878"/>
    <x v="762"/>
    <n v="221.4"/>
    <x v="4"/>
  </r>
  <r>
    <x v="987"/>
    <x v="989"/>
    <x v="590"/>
    <x v="514"/>
    <x v="0"/>
    <x v="339"/>
    <x v="11"/>
    <x v="0"/>
    <x v="0"/>
    <x v="3"/>
    <n v="0.25"/>
    <x v="843"/>
    <x v="731"/>
    <n v="455.25"/>
    <x v="1"/>
  </r>
  <r>
    <x v="988"/>
    <x v="990"/>
    <x v="504"/>
    <x v="604"/>
    <x v="4"/>
    <x v="340"/>
    <x v="11"/>
    <x v="0"/>
    <x v="1"/>
    <x v="0"/>
    <n v="0.25"/>
    <x v="879"/>
    <x v="763"/>
    <n v="168"/>
    <x v="2"/>
  </r>
  <r>
    <x v="989"/>
    <x v="991"/>
    <x v="627"/>
    <x v="488"/>
    <x v="3"/>
    <x v="340"/>
    <x v="11"/>
    <x v="1"/>
    <x v="0"/>
    <x v="7"/>
    <n v="0.3"/>
    <x v="43"/>
    <x v="42"/>
    <n v="491.4"/>
    <x v="3"/>
  </r>
  <r>
    <x v="990"/>
    <x v="992"/>
    <x v="118"/>
    <x v="605"/>
    <x v="4"/>
    <x v="341"/>
    <x v="11"/>
    <x v="2"/>
    <x v="0"/>
    <x v="2"/>
    <n v="0.25"/>
    <x v="682"/>
    <x v="612"/>
    <n v="360"/>
    <x v="2"/>
  </r>
  <r>
    <x v="991"/>
    <x v="993"/>
    <x v="394"/>
    <x v="67"/>
    <x v="3"/>
    <x v="342"/>
    <x v="11"/>
    <x v="1"/>
    <x v="2"/>
    <x v="6"/>
    <n v="0.3"/>
    <x v="261"/>
    <x v="246"/>
    <n v="697.9"/>
    <x v="3"/>
  </r>
  <r>
    <x v="992"/>
    <x v="994"/>
    <x v="433"/>
    <x v="162"/>
    <x v="4"/>
    <x v="342"/>
    <x v="11"/>
    <x v="2"/>
    <x v="0"/>
    <x v="3"/>
    <n v="0.25"/>
    <x v="880"/>
    <x v="764"/>
    <n v="784.5"/>
    <x v="3"/>
  </r>
  <r>
    <x v="993"/>
    <x v="995"/>
    <x v="494"/>
    <x v="606"/>
    <x v="3"/>
    <x v="343"/>
    <x v="11"/>
    <x v="1"/>
    <x v="1"/>
    <x v="7"/>
    <n v="0.3"/>
    <x v="881"/>
    <x v="765"/>
    <n v="581"/>
    <x v="2"/>
  </r>
  <r>
    <x v="994"/>
    <x v="996"/>
    <x v="71"/>
    <x v="178"/>
    <x v="2"/>
    <x v="343"/>
    <x v="11"/>
    <x v="2"/>
    <x v="0"/>
    <x v="0"/>
    <n v="0.3"/>
    <x v="882"/>
    <x v="121"/>
    <n v="811.3"/>
    <x v="1"/>
  </r>
  <r>
    <x v="995"/>
    <x v="997"/>
    <x v="93"/>
    <x v="102"/>
    <x v="5"/>
    <x v="343"/>
    <x v="11"/>
    <x v="1"/>
    <x v="2"/>
    <x v="1"/>
    <n v="0.2"/>
    <x v="771"/>
    <x v="365"/>
    <n v="254.4"/>
    <x v="1"/>
  </r>
  <r>
    <x v="996"/>
    <x v="998"/>
    <x v="628"/>
    <x v="56"/>
    <x v="2"/>
    <x v="343"/>
    <x v="11"/>
    <x v="0"/>
    <x v="1"/>
    <x v="3"/>
    <n v="0.3"/>
    <x v="883"/>
    <x v="766"/>
    <n v="145.6"/>
    <x v="3"/>
  </r>
  <r>
    <x v="997"/>
    <x v="999"/>
    <x v="595"/>
    <x v="60"/>
    <x v="5"/>
    <x v="343"/>
    <x v="11"/>
    <x v="1"/>
    <x v="1"/>
    <x v="5"/>
    <n v="0.2"/>
    <x v="884"/>
    <x v="93"/>
    <n v="1107.2"/>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2AAAAE4-5FB1-4A71-B679-871495F33827}" name="PivotTable2" cacheId="13"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rowHeaderCaption="Months ( 2024)" colHeaderCaption="Service Category ">
  <location ref="B59:J74" firstHeaderRow="1" firstDataRow="2" firstDataCol="1"/>
  <pivotFields count="5">
    <pivotField axis="axisCol" showAll="0">
      <items count="8">
        <item x="1"/>
        <item x="4"/>
        <item x="0"/>
        <item x="5"/>
        <item x="3"/>
        <item x="2"/>
        <item x="6"/>
        <item t="default"/>
      </items>
    </pivotField>
    <pivotField showAll="0">
      <items count="3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t="default"/>
      </items>
    </pivotField>
    <pivotField axis="axisRow" showAll="0">
      <items count="14">
        <item x="0"/>
        <item x="1"/>
        <item x="2"/>
        <item x="3"/>
        <item x="4"/>
        <item x="5"/>
        <item x="6"/>
        <item x="7"/>
        <item x="8"/>
        <item x="9"/>
        <item x="10"/>
        <item x="11"/>
        <item x="12"/>
        <item t="default"/>
      </items>
    </pivotField>
    <pivotField showAll="0">
      <items count="14">
        <item x="0"/>
        <item x="1"/>
        <item x="2"/>
        <item x="3"/>
        <item x="4"/>
        <item x="5"/>
        <item x="6"/>
        <item x="7"/>
        <item x="8"/>
        <item x="9"/>
        <item x="10"/>
        <item x="11"/>
        <item x="12"/>
        <item t="default"/>
      </items>
    </pivotField>
    <pivotField dataField="1" showAll="0"/>
  </pivotFields>
  <rowFields count="1">
    <field x="2"/>
  </rowFields>
  <rowItems count="14">
    <i>
      <x/>
    </i>
    <i>
      <x v="1"/>
    </i>
    <i>
      <x v="2"/>
    </i>
    <i>
      <x v="3"/>
    </i>
    <i>
      <x v="4"/>
    </i>
    <i>
      <x v="5"/>
    </i>
    <i>
      <x v="6"/>
    </i>
    <i>
      <x v="7"/>
    </i>
    <i>
      <x v="8"/>
    </i>
    <i>
      <x v="9"/>
    </i>
    <i>
      <x v="10"/>
    </i>
    <i>
      <x v="11"/>
    </i>
    <i>
      <x v="12"/>
    </i>
    <i t="grand">
      <x/>
    </i>
  </rowItems>
  <colFields count="1">
    <field x="0"/>
  </colFields>
  <colItems count="8">
    <i>
      <x/>
    </i>
    <i>
      <x v="1"/>
    </i>
    <i>
      <x v="2"/>
    </i>
    <i>
      <x v="3"/>
    </i>
    <i>
      <x v="4"/>
    </i>
    <i>
      <x v="5"/>
    </i>
    <i>
      <x v="6"/>
    </i>
    <i t="grand">
      <x/>
    </i>
  </colItems>
  <dataFields count="1">
    <dataField name="Sum of Quantity Ordered" fld="4" baseField="0" baseItem="0"/>
  </dataFields>
  <formats count="10">
    <format dxfId="47">
      <pivotArea type="all" dataOnly="0" outline="0" fieldPosition="0"/>
    </format>
    <format dxfId="46">
      <pivotArea outline="0" collapsedLevelsAreSubtotals="1" fieldPosition="0"/>
    </format>
    <format dxfId="45">
      <pivotArea type="origin" dataOnly="0" labelOnly="1" outline="0" fieldPosition="0"/>
    </format>
    <format dxfId="44">
      <pivotArea field="0" type="button" dataOnly="0" labelOnly="1" outline="0" axis="axisCol" fieldPosition="0"/>
    </format>
    <format dxfId="43">
      <pivotArea type="topRight" dataOnly="0" labelOnly="1" outline="0" fieldPosition="0"/>
    </format>
    <format dxfId="42">
      <pivotArea field="2" type="button" dataOnly="0" labelOnly="1" outline="0" axis="axisRow" fieldPosition="0"/>
    </format>
    <format dxfId="41">
      <pivotArea dataOnly="0" labelOnly="1" fieldPosition="0">
        <references count="1">
          <reference field="2" count="0"/>
        </references>
      </pivotArea>
    </format>
    <format dxfId="40">
      <pivotArea dataOnly="0" labelOnly="1" grandRow="1" outline="0" fieldPosition="0"/>
    </format>
    <format dxfId="39">
      <pivotArea dataOnly="0" labelOnly="1" fieldPosition="0">
        <references count="1">
          <reference field="0" count="0"/>
        </references>
      </pivotArea>
    </format>
    <format dxfId="38">
      <pivotArea dataOnly="0" labelOnly="1" grandCol="1" outline="0" fieldPosition="0"/>
    </format>
  </formats>
  <conditionalFormats count="14">
    <conditionalFormat type="all" priority="14">
      <pivotAreas count="1">
        <pivotArea type="data" collapsedLevelsAreSubtotals="1" fieldPosition="0">
          <references count="3">
            <reference field="4294967294" count="1" selected="0">
              <x v="0"/>
            </reference>
            <reference field="0" count="1" selected="0">
              <x v="0"/>
            </reference>
            <reference field="2" count="12">
              <x v="0"/>
              <x v="1"/>
              <x v="2"/>
              <x v="3"/>
              <x v="4"/>
              <x v="5"/>
              <x v="6"/>
              <x v="7"/>
              <x v="8"/>
              <x v="9"/>
              <x v="10"/>
              <x v="11"/>
            </reference>
          </references>
        </pivotArea>
      </pivotAreas>
    </conditionalFormat>
    <conditionalFormat type="all" priority="13">
      <pivotAreas count="1">
        <pivotArea type="data" collapsedLevelsAreSubtotals="1" fieldPosition="0">
          <references count="3">
            <reference field="4294967294" count="1" selected="0">
              <x v="0"/>
            </reference>
            <reference field="0" count="1" selected="0">
              <x v="1"/>
            </reference>
            <reference field="2" count="12">
              <x v="0"/>
              <x v="1"/>
              <x v="2"/>
              <x v="3"/>
              <x v="4"/>
              <x v="5"/>
              <x v="6"/>
              <x v="7"/>
              <x v="8"/>
              <x v="9"/>
              <x v="10"/>
              <x v="11"/>
            </reference>
          </references>
        </pivotArea>
      </pivotAreas>
    </conditionalFormat>
    <conditionalFormat type="all" priority="12">
      <pivotAreas count="1">
        <pivotArea type="data" collapsedLevelsAreSubtotals="1" fieldPosition="0">
          <references count="3">
            <reference field="4294967294" count="1" selected="0">
              <x v="0"/>
            </reference>
            <reference field="0" count="1" selected="0">
              <x v="2"/>
            </reference>
            <reference field="2" count="12">
              <x v="0"/>
              <x v="1"/>
              <x v="2"/>
              <x v="3"/>
              <x v="4"/>
              <x v="5"/>
              <x v="6"/>
              <x v="7"/>
              <x v="8"/>
              <x v="9"/>
              <x v="10"/>
              <x v="11"/>
            </reference>
          </references>
        </pivotArea>
      </pivotAreas>
    </conditionalFormat>
    <conditionalFormat type="all" priority="11">
      <pivotAreas count="1">
        <pivotArea type="data" collapsedLevelsAreSubtotals="1" fieldPosition="0">
          <references count="3">
            <reference field="4294967294" count="1" selected="0">
              <x v="0"/>
            </reference>
            <reference field="0" count="1" selected="0">
              <x v="3"/>
            </reference>
            <reference field="2" count="12">
              <x v="0"/>
              <x v="1"/>
              <x v="2"/>
              <x v="3"/>
              <x v="4"/>
              <x v="5"/>
              <x v="6"/>
              <x v="7"/>
              <x v="8"/>
              <x v="9"/>
              <x v="10"/>
              <x v="11"/>
            </reference>
          </references>
        </pivotArea>
      </pivotAreas>
    </conditionalFormat>
    <conditionalFormat type="all" priority="10">
      <pivotAreas count="1">
        <pivotArea type="data" collapsedLevelsAreSubtotals="1" fieldPosition="0">
          <references count="3">
            <reference field="4294967294" count="1" selected="0">
              <x v="0"/>
            </reference>
            <reference field="0" count="1" selected="0">
              <x v="4"/>
            </reference>
            <reference field="2" count="12">
              <x v="0"/>
              <x v="1"/>
              <x v="2"/>
              <x v="3"/>
              <x v="4"/>
              <x v="5"/>
              <x v="6"/>
              <x v="7"/>
              <x v="8"/>
              <x v="9"/>
              <x v="10"/>
              <x v="11"/>
            </reference>
          </references>
        </pivotArea>
      </pivotAreas>
    </conditionalFormat>
    <conditionalFormat type="all" priority="9">
      <pivotAreas count="1">
        <pivotArea type="data" collapsedLevelsAreSubtotals="1" fieldPosition="0">
          <references count="3">
            <reference field="4294967294" count="1" selected="0">
              <x v="0"/>
            </reference>
            <reference field="0" count="1" selected="0">
              <x v="5"/>
            </reference>
            <reference field="2" count="12">
              <x v="0"/>
              <x v="1"/>
              <x v="2"/>
              <x v="3"/>
              <x v="4"/>
              <x v="5"/>
              <x v="6"/>
              <x v="7"/>
              <x v="8"/>
              <x v="9"/>
              <x v="10"/>
              <x v="11"/>
            </reference>
          </references>
        </pivotArea>
      </pivotAreas>
    </conditionalFormat>
    <conditionalFormat type="all" priority="8">
      <pivotAreas count="1">
        <pivotArea type="data" grandCol="1" collapsedLevelsAreSubtotals="1" fieldPosition="0">
          <references count="2">
            <reference field="4294967294" count="1" selected="0">
              <x v="0"/>
            </reference>
            <reference field="2" count="12">
              <x v="0"/>
              <x v="1"/>
              <x v="2"/>
              <x v="3"/>
              <x v="4"/>
              <x v="5"/>
              <x v="6"/>
              <x v="7"/>
              <x v="8"/>
              <x v="9"/>
              <x v="10"/>
              <x v="11"/>
            </reference>
          </references>
        </pivotArea>
      </pivotAreas>
    </conditionalFormat>
    <conditionalFormat type="all" priority="7">
      <pivotAreas count="1">
        <pivotArea type="data" collapsedLevelsAreSubtotals="1" fieldPosition="0">
          <references count="3">
            <reference field="4294967294" count="1" selected="0">
              <x v="0"/>
            </reference>
            <reference field="0" count="1" selected="0">
              <x v="0"/>
            </reference>
            <reference field="2" count="12">
              <x v="0"/>
              <x v="1"/>
              <x v="2"/>
              <x v="3"/>
              <x v="4"/>
              <x v="5"/>
              <x v="6"/>
              <x v="7"/>
              <x v="8"/>
              <x v="9"/>
              <x v="10"/>
              <x v="11"/>
            </reference>
          </references>
        </pivotArea>
      </pivotAreas>
    </conditionalFormat>
    <conditionalFormat type="all" priority="6">
      <pivotAreas count="1">
        <pivotArea type="data" collapsedLevelsAreSubtotals="1" fieldPosition="0">
          <references count="3">
            <reference field="4294967294" count="1" selected="0">
              <x v="0"/>
            </reference>
            <reference field="0" count="1" selected="0">
              <x v="1"/>
            </reference>
            <reference field="2" count="12">
              <x v="0"/>
              <x v="1"/>
              <x v="2"/>
              <x v="3"/>
              <x v="4"/>
              <x v="5"/>
              <x v="6"/>
              <x v="7"/>
              <x v="8"/>
              <x v="9"/>
              <x v="10"/>
              <x v="11"/>
            </reference>
          </references>
        </pivotArea>
      </pivotAreas>
    </conditionalFormat>
    <conditionalFormat type="all" priority="5">
      <pivotAreas count="1">
        <pivotArea type="data" collapsedLevelsAreSubtotals="1" fieldPosition="0">
          <references count="3">
            <reference field="4294967294" count="1" selected="0">
              <x v="0"/>
            </reference>
            <reference field="0" count="1" selected="0">
              <x v="2"/>
            </reference>
            <reference field="2" count="12">
              <x v="0"/>
              <x v="1"/>
              <x v="2"/>
              <x v="3"/>
              <x v="4"/>
              <x v="5"/>
              <x v="6"/>
              <x v="7"/>
              <x v="8"/>
              <x v="9"/>
              <x v="10"/>
              <x v="11"/>
            </reference>
          </references>
        </pivotArea>
      </pivotAreas>
    </conditionalFormat>
    <conditionalFormat type="all" priority="4">
      <pivotAreas count="1">
        <pivotArea type="data" collapsedLevelsAreSubtotals="1" fieldPosition="0">
          <references count="3">
            <reference field="4294967294" count="1" selected="0">
              <x v="0"/>
            </reference>
            <reference field="0" count="1" selected="0">
              <x v="3"/>
            </reference>
            <reference field="2" count="12">
              <x v="0"/>
              <x v="1"/>
              <x v="2"/>
              <x v="3"/>
              <x v="4"/>
              <x v="5"/>
              <x v="6"/>
              <x v="7"/>
              <x v="8"/>
              <x v="9"/>
              <x v="10"/>
              <x v="11"/>
            </reference>
          </references>
        </pivotArea>
      </pivotAreas>
    </conditionalFormat>
    <conditionalFormat type="all" priority="3">
      <pivotAreas count="1">
        <pivotArea type="data" collapsedLevelsAreSubtotals="1" fieldPosition="0">
          <references count="3">
            <reference field="4294967294" count="1" selected="0">
              <x v="0"/>
            </reference>
            <reference field="0" count="1" selected="0">
              <x v="4"/>
            </reference>
            <reference field="2" count="12">
              <x v="0"/>
              <x v="1"/>
              <x v="2"/>
              <x v="3"/>
              <x v="4"/>
              <x v="5"/>
              <x v="6"/>
              <x v="7"/>
              <x v="8"/>
              <x v="9"/>
              <x v="10"/>
              <x v="11"/>
            </reference>
          </references>
        </pivotArea>
      </pivotAreas>
    </conditionalFormat>
    <conditionalFormat type="all" priority="2">
      <pivotAreas count="1">
        <pivotArea type="data" collapsedLevelsAreSubtotals="1" fieldPosition="0">
          <references count="3">
            <reference field="4294967294" count="1" selected="0">
              <x v="0"/>
            </reference>
            <reference field="0" count="1" selected="0">
              <x v="5"/>
            </reference>
            <reference field="2" count="12">
              <x v="0"/>
              <x v="1"/>
              <x v="2"/>
              <x v="3"/>
              <x v="4"/>
              <x v="5"/>
              <x v="6"/>
              <x v="7"/>
              <x v="8"/>
              <x v="9"/>
              <x v="10"/>
              <x v="11"/>
            </reference>
          </references>
        </pivotArea>
      </pivotAreas>
    </conditionalFormat>
    <conditionalFormat type="all" priority="1">
      <pivotAreas count="1">
        <pivotArea type="data" grandCol="1" collapsedLevelsAreSubtotals="1" fieldPosition="0">
          <references count="2">
            <reference field="4294967294" count="1" selected="0">
              <x v="0"/>
            </reference>
            <reference field="2" count="12">
              <x v="0"/>
              <x v="1"/>
              <x v="2"/>
              <x v="3"/>
              <x v="4"/>
              <x v="5"/>
              <x v="6"/>
              <x v="7"/>
              <x v="8"/>
              <x v="9"/>
              <x v="10"/>
              <x v="11"/>
            </reference>
          </references>
        </pivotArea>
      </pivotAreas>
    </conditionalFormat>
  </conditionalFormats>
  <chartFormats count="7">
    <chartFormat chart="6" format="0" series="1">
      <pivotArea type="data" outline="0" fieldPosition="0">
        <references count="2">
          <reference field="4294967294" count="1" selected="0">
            <x v="0"/>
          </reference>
          <reference field="0" count="1" selected="0">
            <x v="0"/>
          </reference>
        </references>
      </pivotArea>
    </chartFormat>
    <chartFormat chart="6" format="1" series="1">
      <pivotArea type="data" outline="0" fieldPosition="0">
        <references count="2">
          <reference field="4294967294" count="1" selected="0">
            <x v="0"/>
          </reference>
          <reference field="0" count="1" selected="0">
            <x v="1"/>
          </reference>
        </references>
      </pivotArea>
    </chartFormat>
    <chartFormat chart="6" format="2" series="1">
      <pivotArea type="data" outline="0" fieldPosition="0">
        <references count="2">
          <reference field="4294967294" count="1" selected="0">
            <x v="0"/>
          </reference>
          <reference field="0" count="1" selected="0">
            <x v="2"/>
          </reference>
        </references>
      </pivotArea>
    </chartFormat>
    <chartFormat chart="6" format="3" series="1">
      <pivotArea type="data" outline="0" fieldPosition="0">
        <references count="2">
          <reference field="4294967294" count="1" selected="0">
            <x v="0"/>
          </reference>
          <reference field="0" count="1" selected="0">
            <x v="3"/>
          </reference>
        </references>
      </pivotArea>
    </chartFormat>
    <chartFormat chart="6" format="4" series="1">
      <pivotArea type="data" outline="0" fieldPosition="0">
        <references count="2">
          <reference field="4294967294" count="1" selected="0">
            <x v="0"/>
          </reference>
          <reference field="0" count="1" selected="0">
            <x v="4"/>
          </reference>
        </references>
      </pivotArea>
    </chartFormat>
    <chartFormat chart="6" format="5" series="1">
      <pivotArea type="data" outline="0" fieldPosition="0">
        <references count="2">
          <reference field="4294967294" count="1" selected="0">
            <x v="0"/>
          </reference>
          <reference field="0" count="1" selected="0">
            <x v="5"/>
          </reference>
        </references>
      </pivotArea>
    </chartFormat>
    <chartFormat chart="6" format="6" series="1">
      <pivotArea type="data" outline="0" fieldPosition="0">
        <references count="2">
          <reference field="4294967294" count="1" selected="0">
            <x v="0"/>
          </reference>
          <reference field="0"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F38BA30-E820-4F7E-B8D3-813D87E9BF62}" name="Top Customers " cacheId="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C32:D53" firstHeaderRow="1" firstDataRow="1" firstDataCol="1"/>
  <pivotFields count="3">
    <pivotField axis="axisRow" allDrilled="1" subtotalTop="0" showAll="0" measureFilter="1" sortType="ascending" defaultSubtotal="0" defaultAttributeDrillState="1">
      <items count="10">
        <item x="0"/>
        <item x="1"/>
        <item x="2"/>
        <item x="3"/>
        <item x="4"/>
        <item x="5"/>
        <item x="6"/>
        <item x="7"/>
        <item x="8"/>
        <item x="9"/>
      </items>
    </pivotField>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s>
  <rowFields count="2">
    <field x="0"/>
    <field x="1"/>
  </rowFields>
  <rowItems count="21">
    <i>
      <x/>
    </i>
    <i r="1">
      <x/>
    </i>
    <i>
      <x v="1"/>
    </i>
    <i r="1">
      <x v="1"/>
    </i>
    <i>
      <x v="2"/>
    </i>
    <i r="1">
      <x v="2"/>
    </i>
    <i>
      <x v="3"/>
    </i>
    <i r="1">
      <x v="3"/>
    </i>
    <i>
      <x v="4"/>
    </i>
    <i r="1">
      <x v="4"/>
    </i>
    <i>
      <x v="5"/>
    </i>
    <i r="1">
      <x v="5"/>
    </i>
    <i>
      <x v="6"/>
    </i>
    <i r="1">
      <x v="6"/>
    </i>
    <i>
      <x v="7"/>
    </i>
    <i r="1">
      <x v="7"/>
    </i>
    <i>
      <x v="8"/>
    </i>
    <i r="1">
      <x v="8"/>
    </i>
    <i>
      <x v="9"/>
    </i>
    <i r="1">
      <x v="9"/>
    </i>
    <i t="grand">
      <x/>
    </i>
  </rowItems>
  <colItems count="1">
    <i/>
  </colItems>
  <dataFields count="1">
    <dataField name="Sum of Sale Price" fld="2" baseField="0" baseItem="0"/>
  </dataFields>
  <formats count="51">
    <format dxfId="56">
      <pivotArea outline="0" collapsedLevelsAreSubtotals="1" fieldPosition="0"/>
    </format>
    <format dxfId="57">
      <pivotArea dataOnly="0" labelOnly="1" outline="0" axis="axisValues" fieldPosition="0"/>
    </format>
    <format dxfId="58">
      <pivotArea collapsedLevelsAreSubtotals="1" fieldPosition="0">
        <references count="1">
          <reference field="0" count="1">
            <x v="0"/>
          </reference>
        </references>
      </pivotArea>
    </format>
    <format dxfId="59">
      <pivotArea collapsedLevelsAreSubtotals="1" fieldPosition="0">
        <references count="2">
          <reference field="0" count="1" selected="0">
            <x v="0"/>
          </reference>
          <reference field="1" count="1">
            <x v="0"/>
          </reference>
        </references>
      </pivotArea>
    </format>
    <format dxfId="60">
      <pivotArea collapsedLevelsAreSubtotals="1" fieldPosition="0">
        <references count="1">
          <reference field="0" count="1">
            <x v="1"/>
          </reference>
        </references>
      </pivotArea>
    </format>
    <format dxfId="61">
      <pivotArea collapsedLevelsAreSubtotals="1" fieldPosition="0">
        <references count="2">
          <reference field="0" count="1" selected="0">
            <x v="1"/>
          </reference>
          <reference field="1" count="1">
            <x v="1"/>
          </reference>
        </references>
      </pivotArea>
    </format>
    <format dxfId="62">
      <pivotArea collapsedLevelsAreSubtotals="1" fieldPosition="0">
        <references count="1">
          <reference field="0" count="1">
            <x v="2"/>
          </reference>
        </references>
      </pivotArea>
    </format>
    <format dxfId="63">
      <pivotArea collapsedLevelsAreSubtotals="1" fieldPosition="0">
        <references count="2">
          <reference field="0" count="1" selected="0">
            <x v="2"/>
          </reference>
          <reference field="1" count="1">
            <x v="2"/>
          </reference>
        </references>
      </pivotArea>
    </format>
    <format dxfId="64">
      <pivotArea collapsedLevelsAreSubtotals="1" fieldPosition="0">
        <references count="1">
          <reference field="0" count="1">
            <x v="3"/>
          </reference>
        </references>
      </pivotArea>
    </format>
    <format dxfId="65">
      <pivotArea collapsedLevelsAreSubtotals="1" fieldPosition="0">
        <references count="2">
          <reference field="0" count="1" selected="0">
            <x v="3"/>
          </reference>
          <reference field="1" count="1">
            <x v="3"/>
          </reference>
        </references>
      </pivotArea>
    </format>
    <format dxfId="66">
      <pivotArea collapsedLevelsAreSubtotals="1" fieldPosition="0">
        <references count="1">
          <reference field="0" count="1">
            <x v="4"/>
          </reference>
        </references>
      </pivotArea>
    </format>
    <format dxfId="67">
      <pivotArea collapsedLevelsAreSubtotals="1" fieldPosition="0">
        <references count="2">
          <reference field="0" count="1" selected="0">
            <x v="4"/>
          </reference>
          <reference field="1" count="1">
            <x v="4"/>
          </reference>
        </references>
      </pivotArea>
    </format>
    <format dxfId="68">
      <pivotArea collapsedLevelsAreSubtotals="1" fieldPosition="0">
        <references count="1">
          <reference field="0" count="1">
            <x v="5"/>
          </reference>
        </references>
      </pivotArea>
    </format>
    <format dxfId="69">
      <pivotArea collapsedLevelsAreSubtotals="1" fieldPosition="0">
        <references count="2">
          <reference field="0" count="1" selected="0">
            <x v="5"/>
          </reference>
          <reference field="1" count="1">
            <x v="5"/>
          </reference>
        </references>
      </pivotArea>
    </format>
    <format dxfId="70">
      <pivotArea collapsedLevelsAreSubtotals="1" fieldPosition="0">
        <references count="1">
          <reference field="0" count="1">
            <x v="6"/>
          </reference>
        </references>
      </pivotArea>
    </format>
    <format dxfId="71">
      <pivotArea collapsedLevelsAreSubtotals="1" fieldPosition="0">
        <references count="2">
          <reference field="0" count="1" selected="0">
            <x v="6"/>
          </reference>
          <reference field="1" count="1">
            <x v="6"/>
          </reference>
        </references>
      </pivotArea>
    </format>
    <format dxfId="72">
      <pivotArea collapsedLevelsAreSubtotals="1" fieldPosition="0">
        <references count="1">
          <reference field="0" count="1">
            <x v="7"/>
          </reference>
        </references>
      </pivotArea>
    </format>
    <format dxfId="73">
      <pivotArea collapsedLevelsAreSubtotals="1" fieldPosition="0">
        <references count="2">
          <reference field="0" count="1" selected="0">
            <x v="7"/>
          </reference>
          <reference field="1" count="1">
            <x v="7"/>
          </reference>
        </references>
      </pivotArea>
    </format>
    <format dxfId="74">
      <pivotArea collapsedLevelsAreSubtotals="1" fieldPosition="0">
        <references count="1">
          <reference field="0" count="1">
            <x v="8"/>
          </reference>
        </references>
      </pivotArea>
    </format>
    <format dxfId="75">
      <pivotArea collapsedLevelsAreSubtotals="1" fieldPosition="0">
        <references count="2">
          <reference field="0" count="1" selected="0">
            <x v="8"/>
          </reference>
          <reference field="1" count="1">
            <x v="8"/>
          </reference>
        </references>
      </pivotArea>
    </format>
    <format dxfId="76">
      <pivotArea collapsedLevelsAreSubtotals="1" fieldPosition="0">
        <references count="1">
          <reference field="0" count="1">
            <x v="9"/>
          </reference>
        </references>
      </pivotArea>
    </format>
    <format dxfId="77">
      <pivotArea collapsedLevelsAreSubtotals="1" fieldPosition="0">
        <references count="2">
          <reference field="0" count="1" selected="0">
            <x v="9"/>
          </reference>
          <reference field="1" count="1">
            <x v="9"/>
          </reference>
        </references>
      </pivotArea>
    </format>
    <format dxfId="78">
      <pivotArea field="0" type="button" dataOnly="0" labelOnly="1" outline="0" axis="axisRow" fieldPosition="0"/>
    </format>
    <format dxfId="79">
      <pivotArea dataOnly="0" labelOnly="1" fieldPosition="0">
        <references count="1">
          <reference field="0" count="0"/>
        </references>
      </pivotArea>
    </format>
    <format dxfId="80">
      <pivotArea dataOnly="0" labelOnly="1" fieldPosition="0">
        <references count="2">
          <reference field="0" count="1" selected="0">
            <x v="0"/>
          </reference>
          <reference field="1" count="1">
            <x v="0"/>
          </reference>
        </references>
      </pivotArea>
    </format>
    <format dxfId="81">
      <pivotArea dataOnly="0" labelOnly="1" fieldPosition="0">
        <references count="2">
          <reference field="0" count="1" selected="0">
            <x v="1"/>
          </reference>
          <reference field="1" count="1">
            <x v="1"/>
          </reference>
        </references>
      </pivotArea>
    </format>
    <format dxfId="82">
      <pivotArea dataOnly="0" labelOnly="1" fieldPosition="0">
        <references count="2">
          <reference field="0" count="1" selected="0">
            <x v="2"/>
          </reference>
          <reference field="1" count="1">
            <x v="2"/>
          </reference>
        </references>
      </pivotArea>
    </format>
    <format dxfId="83">
      <pivotArea dataOnly="0" labelOnly="1" fieldPosition="0">
        <references count="2">
          <reference field="0" count="1" selected="0">
            <x v="3"/>
          </reference>
          <reference field="1" count="1">
            <x v="3"/>
          </reference>
        </references>
      </pivotArea>
    </format>
    <format dxfId="84">
      <pivotArea dataOnly="0" labelOnly="1" fieldPosition="0">
        <references count="2">
          <reference field="0" count="1" selected="0">
            <x v="4"/>
          </reference>
          <reference field="1" count="1">
            <x v="4"/>
          </reference>
        </references>
      </pivotArea>
    </format>
    <format dxfId="85">
      <pivotArea dataOnly="0" labelOnly="1" fieldPosition="0">
        <references count="2">
          <reference field="0" count="1" selected="0">
            <x v="5"/>
          </reference>
          <reference field="1" count="1">
            <x v="5"/>
          </reference>
        </references>
      </pivotArea>
    </format>
    <format dxfId="86">
      <pivotArea dataOnly="0" labelOnly="1" fieldPosition="0">
        <references count="2">
          <reference field="0" count="1" selected="0">
            <x v="6"/>
          </reference>
          <reference field="1" count="1">
            <x v="6"/>
          </reference>
        </references>
      </pivotArea>
    </format>
    <format dxfId="87">
      <pivotArea dataOnly="0" labelOnly="1" fieldPosition="0">
        <references count="2">
          <reference field="0" count="1" selected="0">
            <x v="7"/>
          </reference>
          <reference field="1" count="1">
            <x v="7"/>
          </reference>
        </references>
      </pivotArea>
    </format>
    <format dxfId="88">
      <pivotArea dataOnly="0" labelOnly="1" fieldPosition="0">
        <references count="2">
          <reference field="0" count="1" selected="0">
            <x v="8"/>
          </reference>
          <reference field="1" count="1">
            <x v="8"/>
          </reference>
        </references>
      </pivotArea>
    </format>
    <format dxfId="89">
      <pivotArea dataOnly="0" labelOnly="1" fieldPosition="0">
        <references count="2">
          <reference field="0" count="1" selected="0">
            <x v="9"/>
          </reference>
          <reference field="1" count="1">
            <x v="9"/>
          </reference>
        </references>
      </pivotArea>
    </format>
    <format dxfId="90">
      <pivotArea dataOnly="0" labelOnly="1" outline="0" axis="axisValues" fieldPosition="0"/>
    </format>
    <format dxfId="91">
      <pivotArea type="all" dataOnly="0" outline="0" fieldPosition="0"/>
    </format>
    <format dxfId="92">
      <pivotArea outline="0" collapsedLevelsAreSubtotals="1" fieldPosition="0"/>
    </format>
    <format dxfId="93">
      <pivotArea field="0" type="button" dataOnly="0" labelOnly="1" outline="0" axis="axisRow" fieldPosition="0"/>
    </format>
    <format dxfId="94">
      <pivotArea dataOnly="0" labelOnly="1" fieldPosition="0">
        <references count="1">
          <reference field="0" count="0"/>
        </references>
      </pivotArea>
    </format>
    <format dxfId="95">
      <pivotArea dataOnly="0" labelOnly="1" grandRow="1" outline="0" fieldPosition="0"/>
    </format>
    <format dxfId="96">
      <pivotArea dataOnly="0" labelOnly="1" fieldPosition="0">
        <references count="2">
          <reference field="0" count="1" selected="0">
            <x v="0"/>
          </reference>
          <reference field="1" count="1">
            <x v="0"/>
          </reference>
        </references>
      </pivotArea>
    </format>
    <format dxfId="97">
      <pivotArea dataOnly="0" labelOnly="1" fieldPosition="0">
        <references count="2">
          <reference field="0" count="1" selected="0">
            <x v="1"/>
          </reference>
          <reference field="1" count="1">
            <x v="1"/>
          </reference>
        </references>
      </pivotArea>
    </format>
    <format dxfId="98">
      <pivotArea dataOnly="0" labelOnly="1" fieldPosition="0">
        <references count="2">
          <reference field="0" count="1" selected="0">
            <x v="2"/>
          </reference>
          <reference field="1" count="1">
            <x v="2"/>
          </reference>
        </references>
      </pivotArea>
    </format>
    <format dxfId="99">
      <pivotArea dataOnly="0" labelOnly="1" fieldPosition="0">
        <references count="2">
          <reference field="0" count="1" selected="0">
            <x v="3"/>
          </reference>
          <reference field="1" count="1">
            <x v="3"/>
          </reference>
        </references>
      </pivotArea>
    </format>
    <format dxfId="100">
      <pivotArea dataOnly="0" labelOnly="1" fieldPosition="0">
        <references count="2">
          <reference field="0" count="1" selected="0">
            <x v="4"/>
          </reference>
          <reference field="1" count="1">
            <x v="4"/>
          </reference>
        </references>
      </pivotArea>
    </format>
    <format dxfId="101">
      <pivotArea dataOnly="0" labelOnly="1" fieldPosition="0">
        <references count="2">
          <reference field="0" count="1" selected="0">
            <x v="5"/>
          </reference>
          <reference field="1" count="1">
            <x v="5"/>
          </reference>
        </references>
      </pivotArea>
    </format>
    <format dxfId="102">
      <pivotArea dataOnly="0" labelOnly="1" fieldPosition="0">
        <references count="2">
          <reference field="0" count="1" selected="0">
            <x v="6"/>
          </reference>
          <reference field="1" count="1">
            <x v="6"/>
          </reference>
        </references>
      </pivotArea>
    </format>
    <format dxfId="103">
      <pivotArea dataOnly="0" labelOnly="1" fieldPosition="0">
        <references count="2">
          <reference field="0" count="1" selected="0">
            <x v="7"/>
          </reference>
          <reference field="1" count="1">
            <x v="7"/>
          </reference>
        </references>
      </pivotArea>
    </format>
    <format dxfId="104">
      <pivotArea dataOnly="0" labelOnly="1" fieldPosition="0">
        <references count="2">
          <reference field="0" count="1" selected="0">
            <x v="8"/>
          </reference>
          <reference field="1" count="1">
            <x v="8"/>
          </reference>
        </references>
      </pivotArea>
    </format>
    <format dxfId="105">
      <pivotArea dataOnly="0" labelOnly="1" fieldPosition="0">
        <references count="2">
          <reference field="0" count="1" selected="0">
            <x v="9"/>
          </reference>
          <reference field="1" count="1">
            <x v="9"/>
          </reference>
        </references>
      </pivotArea>
    </format>
    <format dxfId="106">
      <pivotArea dataOnly="0" labelOnly="1" outline="0" axis="axisValues" fieldPosition="0"/>
    </format>
  </formats>
  <pivotHierarchies count="2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filters count="1">
    <filter fld="0" type="count" id="6" iMeasureHier="21">
      <autoFilter ref="A1">
        <filterColumn colId="0">
          <top10 val="10" filterVal="10"/>
        </filterColumn>
      </autoFilter>
    </filter>
  </filters>
  <rowHierarchiesUsage count="2">
    <rowHierarchyUsage hierarchyUsage="3"/>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Customers_]"/>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1F578D3-C84D-4F85-A654-B5BD354F9FBD}"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F32:G36" firstHeaderRow="1" firstDataRow="1" firstDataCol="1"/>
  <pivotFields count="1">
    <pivotField axis="axisRow" dataField="1" showAll="0">
      <items count="5">
        <item x="2"/>
        <item x="0"/>
        <item x="1"/>
        <item h="1" x="3"/>
        <item t="default"/>
      </items>
    </pivotField>
  </pivotFields>
  <rowFields count="1">
    <field x="0"/>
  </rowFields>
  <rowItems count="4">
    <i>
      <x/>
    </i>
    <i>
      <x v="1"/>
    </i>
    <i>
      <x v="2"/>
    </i>
    <i t="grand">
      <x/>
    </i>
  </rowItems>
  <colItems count="1">
    <i/>
  </colItems>
  <dataFields count="1">
    <dataField name="Count " fld="0" subtotal="count" baseField="0" baseItem="0"/>
  </dataFields>
  <formats count="8">
    <format dxfId="48">
      <pivotArea outline="0" collapsedLevelsAreSubtotals="1" fieldPosition="0"/>
    </format>
    <format dxfId="49">
      <pivotArea dataOnly="0" labelOnly="1" outline="0" axis="axisValues" fieldPosition="0"/>
    </format>
    <format dxfId="50">
      <pivotArea type="all" dataOnly="0" outline="0" fieldPosition="0"/>
    </format>
    <format dxfId="51">
      <pivotArea outline="0" collapsedLevelsAreSubtotals="1" fieldPosition="0"/>
    </format>
    <format dxfId="52">
      <pivotArea field="0" type="button" dataOnly="0" labelOnly="1" outline="0" axis="axisRow" fieldPosition="0"/>
    </format>
    <format dxfId="53">
      <pivotArea dataOnly="0" labelOnly="1" fieldPosition="0">
        <references count="1">
          <reference field="0" count="0"/>
        </references>
      </pivotArea>
    </format>
    <format dxfId="54">
      <pivotArea dataOnly="0" labelOnly="1" grandRow="1" outline="0" fieldPosition="0"/>
    </format>
    <format dxfId="55">
      <pivotArea dataOnly="0" labelOnly="1" outline="0" axis="axisValues" fieldPosition="0"/>
    </format>
  </formats>
  <chartFormats count="6">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11" format="8" series="1">
      <pivotArea type="data" outline="0" fieldPosition="0">
        <references count="1">
          <reference field="4294967294" count="1" selected="0">
            <x v="0"/>
          </reference>
        </references>
      </pivotArea>
    </chartFormat>
    <chartFormat chart="11" format="9">
      <pivotArea type="data" outline="0" fieldPosition="0">
        <references count="2">
          <reference field="4294967294" count="1" selected="0">
            <x v="0"/>
          </reference>
          <reference field="0" count="1" selected="0">
            <x v="0"/>
          </reference>
        </references>
      </pivotArea>
    </chartFormat>
    <chartFormat chart="11" format="10">
      <pivotArea type="data" outline="0" fieldPosition="0">
        <references count="2">
          <reference field="4294967294" count="1" selected="0">
            <x v="0"/>
          </reference>
          <reference field="0" count="1" selected="0">
            <x v="1"/>
          </reference>
        </references>
      </pivotArea>
    </chartFormat>
    <chartFormat chart="11" format="11">
      <pivotArea type="data" outline="0" fieldPosition="0">
        <references count="2">
          <reference field="4294967294" count="1" selected="0">
            <x v="0"/>
          </reference>
          <reference field="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FB43400-D8CD-4BF9-96DF-586B5A6A60C4}" name="PivotTable11"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State">
  <location ref="H11:J20" firstHeaderRow="0" firstDataRow="1" firstDataCol="1"/>
  <pivotFields count="14">
    <pivotField dataField="1" showAll="0"/>
    <pivotField showAll="0"/>
    <pivotField showAll="0"/>
    <pivotField showAll="0">
      <items count="14">
        <item x="0"/>
        <item x="1"/>
        <item x="2"/>
        <item x="3"/>
        <item x="4"/>
        <item x="5"/>
        <item x="6"/>
        <item x="7"/>
        <item x="8"/>
        <item x="9"/>
        <item x="10"/>
        <item x="11"/>
        <item x="12"/>
        <item t="default"/>
      </items>
    </pivotField>
    <pivotField showAll="0"/>
    <pivotField showAll="0"/>
    <pivotField showAll="0"/>
    <pivotField showAll="0"/>
    <pivotField axis="axisRow" showAll="0">
      <items count="10">
        <item x="4"/>
        <item x="1"/>
        <item x="7"/>
        <item x="2"/>
        <item x="0"/>
        <item x="6"/>
        <item x="5"/>
        <item x="3"/>
        <item h="1" x="8"/>
        <item t="default"/>
      </items>
    </pivotField>
    <pivotField showAll="0"/>
    <pivotField showAll="0"/>
    <pivotField showAll="0"/>
    <pivotField showAll="0"/>
    <pivotField dataField="1" showAll="0"/>
  </pivotFields>
  <rowFields count="1">
    <field x="8"/>
  </rowFields>
  <rowItems count="9">
    <i>
      <x/>
    </i>
    <i>
      <x v="1"/>
    </i>
    <i>
      <x v="2"/>
    </i>
    <i>
      <x v="3"/>
    </i>
    <i>
      <x v="4"/>
    </i>
    <i>
      <x v="5"/>
    </i>
    <i>
      <x v="6"/>
    </i>
    <i>
      <x v="7"/>
    </i>
    <i t="grand">
      <x/>
    </i>
  </rowItems>
  <colFields count="1">
    <field x="-2"/>
  </colFields>
  <colItems count="2">
    <i>
      <x/>
    </i>
    <i i="1">
      <x v="1"/>
    </i>
  </colItems>
  <dataFields count="2">
    <dataField name="Customer Count" fld="0" subtotal="count" baseField="8" baseItem="0"/>
    <dataField name="Total Sale Price " fld="13" baseField="8" baseItem="0"/>
  </dataFields>
  <formats count="6">
    <format dxfId="112">
      <pivotArea type="all" dataOnly="0" outline="0" fieldPosition="0"/>
    </format>
    <format dxfId="111">
      <pivotArea outline="0" collapsedLevelsAreSubtotals="1" fieldPosition="0"/>
    </format>
    <format dxfId="110">
      <pivotArea field="8" type="button" dataOnly="0" labelOnly="1" outline="0" axis="axisRow" fieldPosition="0"/>
    </format>
    <format dxfId="109">
      <pivotArea dataOnly="0" labelOnly="1" fieldPosition="0">
        <references count="1">
          <reference field="8" count="0"/>
        </references>
      </pivotArea>
    </format>
    <format dxfId="108">
      <pivotArea dataOnly="0" labelOnly="1" grandRow="1" outline="0" fieldPosition="0"/>
    </format>
    <format dxfId="107">
      <pivotArea dataOnly="0" labelOnly="1" outline="0" fieldPosition="0">
        <references count="1">
          <reference field="4294967294" count="2">
            <x v="0"/>
            <x v="1"/>
          </reference>
        </references>
      </pivotArea>
    </format>
  </formats>
  <conditionalFormats count="5">
    <conditionalFormat type="all" priority="21">
      <pivotAreas count="1">
        <pivotArea type="data" collapsedLevelsAreSubtotals="1" fieldPosition="0">
          <references count="2">
            <reference field="4294967294" count="1" selected="0">
              <x v="1"/>
            </reference>
            <reference field="8" count="8">
              <x v="0"/>
              <x v="1"/>
              <x v="2"/>
              <x v="3"/>
              <x v="4"/>
              <x v="5"/>
              <x v="6"/>
              <x v="7"/>
            </reference>
          </references>
        </pivotArea>
      </pivotAreas>
    </conditionalFormat>
    <conditionalFormat type="all" priority="20">
      <pivotAreas count="1">
        <pivotArea type="data" collapsedLevelsAreSubtotals="1" fieldPosition="0">
          <references count="2">
            <reference field="4294967294" count="1" selected="0">
              <x v="0"/>
            </reference>
            <reference field="8" count="8">
              <x v="0"/>
              <x v="1"/>
              <x v="2"/>
              <x v="3"/>
              <x v="4"/>
              <x v="5"/>
              <x v="6"/>
              <x v="7"/>
            </reference>
          </references>
        </pivotArea>
      </pivotAreas>
    </conditionalFormat>
    <conditionalFormat type="all" priority="19">
      <pivotAreas count="1">
        <pivotArea type="data" collapsedLevelsAreSubtotals="1" fieldPosition="0">
          <references count="2">
            <reference field="4294967294" count="1" selected="0">
              <x v="0"/>
            </reference>
            <reference field="8" count="8">
              <x v="0"/>
              <x v="1"/>
              <x v="2"/>
              <x v="3"/>
              <x v="4"/>
              <x v="5"/>
              <x v="6"/>
              <x v="7"/>
            </reference>
          </references>
        </pivotArea>
      </pivotAreas>
    </conditionalFormat>
    <conditionalFormat type="all" priority="18">
      <pivotAreas count="1">
        <pivotArea type="data" collapsedLevelsAreSubtotals="1" fieldPosition="0">
          <references count="2">
            <reference field="4294967294" count="1" selected="0">
              <x v="1"/>
            </reference>
            <reference field="8" count="8">
              <x v="0"/>
              <x v="1"/>
              <x v="2"/>
              <x v="3"/>
              <x v="4"/>
              <x v="5"/>
              <x v="6"/>
              <x v="7"/>
            </reference>
          </references>
        </pivotArea>
      </pivotAreas>
    </conditionalFormat>
    <conditionalFormat type="all" priority="17">
      <pivotAreas count="1">
        <pivotArea type="data" collapsedLevelsAreSubtotals="1" fieldPosition="0">
          <references count="2">
            <reference field="4294967294" count="1" selected="0">
              <x v="0"/>
            </reference>
            <reference field="8" count="8">
              <x v="0"/>
              <x v="1"/>
              <x v="2"/>
              <x v="3"/>
              <x v="4"/>
              <x v="5"/>
              <x v="6"/>
              <x v="7"/>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x14:conditionalFormats count="2">
          <x14:conditionalFormat priority="16" id="{30D83B54-EDAE-4A4E-8DA4-048CC1E4C8E0}">
            <x14:pivotAreas count="1">
              <pivotArea type="data" collapsedLevelsAreSubtotals="1" fieldPosition="0">
                <references count="2">
                  <reference field="4294967294" count="1" selected="0">
                    <x v="0"/>
                  </reference>
                  <reference field="8" count="8">
                    <x v="0"/>
                    <x v="1"/>
                    <x v="2"/>
                    <x v="3"/>
                    <x v="4"/>
                    <x v="5"/>
                    <x v="6"/>
                    <x v="7"/>
                  </reference>
                </references>
              </pivotArea>
            </x14:pivotAreas>
          </x14:conditionalFormat>
          <x14:conditionalFormat priority="15" id="{28254DC1-A18C-4D84-9AA9-2BF5D579ABDC}">
            <x14:pivotAreas count="1">
              <pivotArea type="data" collapsedLevelsAreSubtotals="1" fieldPosition="0">
                <references count="2">
                  <reference field="4294967294" count="1" selected="0">
                    <x v="1"/>
                  </reference>
                  <reference field="8" count="8">
                    <x v="0"/>
                    <x v="1"/>
                    <x v="2"/>
                    <x v="3"/>
                    <x v="4"/>
                    <x v="5"/>
                    <x v="6"/>
                    <x v="7"/>
                  </reference>
                </references>
              </pivotArea>
            </x14:pivotAreas>
          </x14:conditionalFormat>
        </x14:conditionalFormats>
      </x14:pivotTableDefinition>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891D14A-C759-46D9-951C-74E3B0FD95F8}" name="PivotTable2"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Months">
  <location ref="D52:F66" firstHeaderRow="0" firstDataRow="1" firstDataCol="1"/>
  <pivotFields count="8">
    <pivotField axis="axisRow" showAll="0">
      <items count="14">
        <item x="0"/>
        <item x="1"/>
        <item x="2"/>
        <item x="3"/>
        <item x="4"/>
        <item x="5"/>
        <item x="6"/>
        <item x="7"/>
        <item x="8"/>
        <item x="9"/>
        <item x="10"/>
        <item x="11"/>
        <item x="12"/>
        <item t="default"/>
      </items>
    </pivotField>
    <pivotField dataField="1" showAll="0">
      <items count="5">
        <item x="2"/>
        <item x="0"/>
        <item x="1"/>
        <item x="3"/>
        <item t="default"/>
      </items>
    </pivotField>
    <pivotField showAll="0"/>
    <pivotField showAll="0">
      <items count="10">
        <item x="4"/>
        <item x="1"/>
        <item x="7"/>
        <item x="2"/>
        <item x="0"/>
        <item x="6"/>
        <item x="5"/>
        <item x="3"/>
        <item x="8"/>
        <item t="default"/>
      </items>
    </pivotField>
    <pivotField showAll="0">
      <items count="6">
        <item x="1"/>
        <item x="3"/>
        <item x="0"/>
        <item x="2"/>
        <item x="4"/>
        <item t="default"/>
      </items>
    </pivotField>
    <pivotField showAll="0"/>
    <pivotField showAll="0"/>
    <pivotField dataField="1" showAll="0"/>
  </pivotFields>
  <rowFields count="1">
    <field x="0"/>
  </rowFields>
  <rowItems count="14">
    <i>
      <x/>
    </i>
    <i>
      <x v="1"/>
    </i>
    <i>
      <x v="2"/>
    </i>
    <i>
      <x v="3"/>
    </i>
    <i>
      <x v="4"/>
    </i>
    <i>
      <x v="5"/>
    </i>
    <i>
      <x v="6"/>
    </i>
    <i>
      <x v="7"/>
    </i>
    <i>
      <x v="8"/>
    </i>
    <i>
      <x v="9"/>
    </i>
    <i>
      <x v="10"/>
    </i>
    <i>
      <x v="11"/>
    </i>
    <i>
      <x v="12"/>
    </i>
    <i t="grand">
      <x/>
    </i>
  </rowItems>
  <colFields count="1">
    <field x="-2"/>
  </colFields>
  <colItems count="2">
    <i>
      <x/>
    </i>
    <i i="1">
      <x v="1"/>
    </i>
  </colItems>
  <dataFields count="2">
    <dataField name="Total Profit" fld="7" baseField="0" baseItem="0"/>
    <dataField name=" Quantity " fld="1" baseField="0" baseItem="0"/>
  </dataFields>
  <formats count="48">
    <format dxfId="205">
      <pivotArea type="all" dataOnly="0" outline="0" fieldPosition="0"/>
    </format>
    <format dxfId="204">
      <pivotArea outline="0" collapsedLevelsAreSubtotals="1" fieldPosition="0"/>
    </format>
    <format dxfId="203">
      <pivotArea field="0" type="button" dataOnly="0" labelOnly="1" outline="0" axis="axisRow" fieldPosition="0"/>
    </format>
    <format dxfId="202">
      <pivotArea dataOnly="0" labelOnly="1" fieldPosition="0">
        <references count="1">
          <reference field="0" count="0"/>
        </references>
      </pivotArea>
    </format>
    <format dxfId="201">
      <pivotArea dataOnly="0" labelOnly="1" grandRow="1" outline="0" fieldPosition="0"/>
    </format>
    <format dxfId="200">
      <pivotArea dataOnly="0" labelOnly="1" outline="0" fieldPosition="0">
        <references count="1">
          <reference field="4294967294" count="2">
            <x v="0"/>
            <x v="1"/>
          </reference>
        </references>
      </pivotArea>
    </format>
    <format dxfId="199">
      <pivotArea type="all" dataOnly="0" outline="0" fieldPosition="0"/>
    </format>
    <format dxfId="198">
      <pivotArea outline="0" collapsedLevelsAreSubtotals="1" fieldPosition="0"/>
    </format>
    <format dxfId="197">
      <pivotArea field="0" type="button" dataOnly="0" labelOnly="1" outline="0" axis="axisRow" fieldPosition="0"/>
    </format>
    <format dxfId="196">
      <pivotArea dataOnly="0" labelOnly="1" fieldPosition="0">
        <references count="1">
          <reference field="0" count="0"/>
        </references>
      </pivotArea>
    </format>
    <format dxfId="195">
      <pivotArea dataOnly="0" labelOnly="1" grandRow="1" outline="0" fieldPosition="0"/>
    </format>
    <format dxfId="194">
      <pivotArea dataOnly="0" labelOnly="1" outline="0" fieldPosition="0">
        <references count="1">
          <reference field="4294967294" count="2">
            <x v="0"/>
            <x v="1"/>
          </reference>
        </references>
      </pivotArea>
    </format>
    <format dxfId="193">
      <pivotArea type="all" dataOnly="0" outline="0" fieldPosition="0"/>
    </format>
    <format dxfId="192">
      <pivotArea outline="0" collapsedLevelsAreSubtotals="1" fieldPosition="0"/>
    </format>
    <format dxfId="191">
      <pivotArea field="0" type="button" dataOnly="0" labelOnly="1" outline="0" axis="axisRow" fieldPosition="0"/>
    </format>
    <format dxfId="190">
      <pivotArea dataOnly="0" labelOnly="1" fieldPosition="0">
        <references count="1">
          <reference field="0" count="0"/>
        </references>
      </pivotArea>
    </format>
    <format dxfId="189">
      <pivotArea dataOnly="0" labelOnly="1" grandRow="1" outline="0" fieldPosition="0"/>
    </format>
    <format dxfId="188">
      <pivotArea dataOnly="0" labelOnly="1" outline="0" fieldPosition="0">
        <references count="1">
          <reference field="4294967294" count="2">
            <x v="0"/>
            <x v="1"/>
          </reference>
        </references>
      </pivotArea>
    </format>
    <format dxfId="187">
      <pivotArea type="all" dataOnly="0" outline="0" fieldPosition="0"/>
    </format>
    <format dxfId="186">
      <pivotArea outline="0" collapsedLevelsAreSubtotals="1" fieldPosition="0"/>
    </format>
    <format dxfId="185">
      <pivotArea field="0" type="button" dataOnly="0" labelOnly="1" outline="0" axis="axisRow" fieldPosition="0"/>
    </format>
    <format dxfId="184">
      <pivotArea dataOnly="0" labelOnly="1" fieldPosition="0">
        <references count="1">
          <reference field="0" count="0"/>
        </references>
      </pivotArea>
    </format>
    <format dxfId="183">
      <pivotArea dataOnly="0" labelOnly="1" grandRow="1" outline="0" fieldPosition="0"/>
    </format>
    <format dxfId="182">
      <pivotArea dataOnly="0" labelOnly="1" outline="0" fieldPosition="0">
        <references count="1">
          <reference field="4294967294" count="2">
            <x v="0"/>
            <x v="1"/>
          </reference>
        </references>
      </pivotArea>
    </format>
    <format dxfId="181">
      <pivotArea type="all" dataOnly="0" outline="0" fieldPosition="0"/>
    </format>
    <format dxfId="180">
      <pivotArea outline="0" collapsedLevelsAreSubtotals="1" fieldPosition="0"/>
    </format>
    <format dxfId="179">
      <pivotArea field="0" type="button" dataOnly="0" labelOnly="1" outline="0" axis="axisRow" fieldPosition="0"/>
    </format>
    <format dxfId="178">
      <pivotArea dataOnly="0" labelOnly="1" fieldPosition="0">
        <references count="1">
          <reference field="0" count="0"/>
        </references>
      </pivotArea>
    </format>
    <format dxfId="177">
      <pivotArea dataOnly="0" labelOnly="1" grandRow="1" outline="0" fieldPosition="0"/>
    </format>
    <format dxfId="176">
      <pivotArea dataOnly="0" labelOnly="1" outline="0" fieldPosition="0">
        <references count="1">
          <reference field="4294967294" count="2">
            <x v="0"/>
            <x v="1"/>
          </reference>
        </references>
      </pivotArea>
    </format>
    <format dxfId="175">
      <pivotArea type="all" dataOnly="0" outline="0" fieldPosition="0"/>
    </format>
    <format dxfId="174">
      <pivotArea outline="0" collapsedLevelsAreSubtotals="1" fieldPosition="0"/>
    </format>
    <format dxfId="173">
      <pivotArea field="0" type="button" dataOnly="0" labelOnly="1" outline="0" axis="axisRow" fieldPosition="0"/>
    </format>
    <format dxfId="172">
      <pivotArea dataOnly="0" labelOnly="1" fieldPosition="0">
        <references count="1">
          <reference field="0" count="0"/>
        </references>
      </pivotArea>
    </format>
    <format dxfId="171">
      <pivotArea dataOnly="0" labelOnly="1" grandRow="1" outline="0" fieldPosition="0"/>
    </format>
    <format dxfId="170">
      <pivotArea dataOnly="0" labelOnly="1" outline="0" fieldPosition="0">
        <references count="1">
          <reference field="4294967294" count="2">
            <x v="0"/>
            <x v="1"/>
          </reference>
        </references>
      </pivotArea>
    </format>
    <format dxfId="169">
      <pivotArea type="all" dataOnly="0" outline="0" fieldPosition="0"/>
    </format>
    <format dxfId="168">
      <pivotArea outline="0" collapsedLevelsAreSubtotals="1" fieldPosition="0"/>
    </format>
    <format dxfId="167">
      <pivotArea field="0" type="button" dataOnly="0" labelOnly="1" outline="0" axis="axisRow" fieldPosition="0"/>
    </format>
    <format dxfId="166">
      <pivotArea dataOnly="0" labelOnly="1" fieldPosition="0">
        <references count="1">
          <reference field="0" count="0"/>
        </references>
      </pivotArea>
    </format>
    <format dxfId="165">
      <pivotArea dataOnly="0" labelOnly="1" grandRow="1" outline="0" fieldPosition="0"/>
    </format>
    <format dxfId="164">
      <pivotArea dataOnly="0" labelOnly="1" outline="0" fieldPosition="0">
        <references count="1">
          <reference field="4294967294" count="2">
            <x v="0"/>
            <x v="1"/>
          </reference>
        </references>
      </pivotArea>
    </format>
    <format dxfId="163">
      <pivotArea type="all" dataOnly="0" outline="0" fieldPosition="0"/>
    </format>
    <format dxfId="162">
      <pivotArea outline="0" collapsedLevelsAreSubtotals="1" fieldPosition="0"/>
    </format>
    <format dxfId="161">
      <pivotArea field="0" type="button" dataOnly="0" labelOnly="1" outline="0" axis="axisRow" fieldPosition="0"/>
    </format>
    <format dxfId="160">
      <pivotArea dataOnly="0" labelOnly="1" fieldPosition="0">
        <references count="1">
          <reference field="0" count="0"/>
        </references>
      </pivotArea>
    </format>
    <format dxfId="159">
      <pivotArea dataOnly="0" labelOnly="1" grandRow="1" outline="0" fieldPosition="0"/>
    </format>
    <format dxfId="158">
      <pivotArea dataOnly="0" labelOnly="1" outline="0" fieldPosition="0">
        <references count="1">
          <reference field="4294967294" count="2">
            <x v="0"/>
            <x v="1"/>
          </reference>
        </references>
      </pivotArea>
    </format>
  </formats>
  <conditionalFormats count="1">
    <conditionalFormat priority="6">
      <pivotAreas count="1">
        <pivotArea type="data" collapsedLevelsAreSubtotals="1" fieldPosition="0">
          <references count="2">
            <reference field="4294967294" count="1" selected="0">
              <x v="0"/>
            </reference>
            <reference field="0" count="12">
              <x v="0"/>
              <x v="1"/>
              <x v="2"/>
              <x v="3"/>
              <x v="4"/>
              <x v="5"/>
              <x v="6"/>
              <x v="7"/>
              <x v="8"/>
              <x v="9"/>
              <x v="10"/>
              <x v="11"/>
            </reference>
          </references>
        </pivotArea>
      </pivotAreas>
    </conditionalFormat>
  </conditionalFormats>
  <chartFormats count="2">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24F06E6-66D4-4F3B-8CB5-2941064E116E}" name="PivotTable12"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I9:K17" firstHeaderRow="0" firstDataRow="1" firstDataCol="1"/>
  <pivotFields count="9">
    <pivotField axis="axisRow" showAll="0" sortType="descending">
      <items count="8">
        <item x="1"/>
        <item x="4"/>
        <item x="0"/>
        <item x="5"/>
        <item x="3"/>
        <item x="2"/>
        <item x="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10">
        <item x="4"/>
        <item x="1"/>
        <item x="7"/>
        <item x="2"/>
        <item x="0"/>
        <item x="6"/>
        <item x="5"/>
        <item x="3"/>
        <item x="8"/>
        <item t="default"/>
      </items>
    </pivotField>
    <pivotField showAll="0"/>
    <pivotField showAll="0"/>
    <pivotField showAll="0"/>
    <pivotField dataField="1" showAll="0"/>
  </pivotFields>
  <rowFields count="1">
    <field x="0"/>
  </rowFields>
  <rowItems count="8">
    <i>
      <x v="2"/>
    </i>
    <i>
      <x/>
    </i>
    <i>
      <x v="3"/>
    </i>
    <i>
      <x v="1"/>
    </i>
    <i>
      <x v="4"/>
    </i>
    <i>
      <x v="5"/>
    </i>
    <i>
      <x v="6"/>
    </i>
    <i t="grand">
      <x/>
    </i>
  </rowItems>
  <colFields count="1">
    <field x="-2"/>
  </colFields>
  <colItems count="2">
    <i>
      <x/>
    </i>
    <i i="1">
      <x v="1"/>
    </i>
  </colItems>
  <dataFields count="2">
    <dataField name="Total Profit " fld="8" baseField="0" baseItem="2"/>
    <dataField name="Profit Percentage" fld="8" showDataAs="percentOfCol" baseField="0" baseItem="2" numFmtId="10"/>
  </dataFields>
  <formats count="24">
    <format dxfId="117">
      <pivotArea type="all" dataOnly="0" outline="0" fieldPosition="0"/>
    </format>
    <format dxfId="118">
      <pivotArea outline="0" collapsedLevelsAreSubtotals="1" fieldPosition="0"/>
    </format>
    <format dxfId="119">
      <pivotArea field="0" type="button" dataOnly="0" labelOnly="1" outline="0" axis="axisRow" fieldPosition="0"/>
    </format>
    <format dxfId="120">
      <pivotArea dataOnly="0" labelOnly="1" fieldPosition="0">
        <references count="1">
          <reference field="0" count="0"/>
        </references>
      </pivotArea>
    </format>
    <format dxfId="121">
      <pivotArea dataOnly="0" labelOnly="1" grandRow="1" outline="0" fieldPosition="0"/>
    </format>
    <format dxfId="122">
      <pivotArea dataOnly="0" labelOnly="1" outline="0" fieldPosition="0">
        <references count="1">
          <reference field="4294967294" count="2">
            <x v="0"/>
            <x v="1"/>
          </reference>
        </references>
      </pivotArea>
    </format>
    <format dxfId="123">
      <pivotArea type="all" dataOnly="0" outline="0" fieldPosition="0"/>
    </format>
    <format dxfId="124">
      <pivotArea outline="0" collapsedLevelsAreSubtotals="1" fieldPosition="0"/>
    </format>
    <format dxfId="125">
      <pivotArea field="0" type="button" dataOnly="0" labelOnly="1" outline="0" axis="axisRow" fieldPosition="0"/>
    </format>
    <format dxfId="126">
      <pivotArea dataOnly="0" labelOnly="1" fieldPosition="0">
        <references count="1">
          <reference field="0" count="0"/>
        </references>
      </pivotArea>
    </format>
    <format dxfId="127">
      <pivotArea dataOnly="0" labelOnly="1" grandRow="1" outline="0" fieldPosition="0"/>
    </format>
    <format dxfId="128">
      <pivotArea dataOnly="0" labelOnly="1" outline="0" fieldPosition="0">
        <references count="1">
          <reference field="4294967294" count="2">
            <x v="0"/>
            <x v="1"/>
          </reference>
        </references>
      </pivotArea>
    </format>
    <format dxfId="129">
      <pivotArea type="all" dataOnly="0" outline="0" fieldPosition="0"/>
    </format>
    <format dxfId="130">
      <pivotArea outline="0" collapsedLevelsAreSubtotals="1" fieldPosition="0"/>
    </format>
    <format dxfId="131">
      <pivotArea field="0" type="button" dataOnly="0" labelOnly="1" outline="0" axis="axisRow" fieldPosition="0"/>
    </format>
    <format dxfId="132">
      <pivotArea dataOnly="0" labelOnly="1" fieldPosition="0">
        <references count="1">
          <reference field="0" count="0"/>
        </references>
      </pivotArea>
    </format>
    <format dxfId="133">
      <pivotArea dataOnly="0" labelOnly="1" grandRow="1" outline="0" fieldPosition="0"/>
    </format>
    <format dxfId="134">
      <pivotArea dataOnly="0" labelOnly="1" outline="0" fieldPosition="0">
        <references count="1">
          <reference field="4294967294" count="2">
            <x v="0"/>
            <x v="1"/>
          </reference>
        </references>
      </pivotArea>
    </format>
    <format dxfId="135">
      <pivotArea type="all" dataOnly="0" outline="0" fieldPosition="0"/>
    </format>
    <format dxfId="136">
      <pivotArea outline="0" collapsedLevelsAreSubtotals="1" fieldPosition="0"/>
    </format>
    <format dxfId="137">
      <pivotArea field="0" type="button" dataOnly="0" labelOnly="1" outline="0" axis="axisRow" fieldPosition="0"/>
    </format>
    <format dxfId="138">
      <pivotArea dataOnly="0" labelOnly="1" fieldPosition="0">
        <references count="1">
          <reference field="0" count="0"/>
        </references>
      </pivotArea>
    </format>
    <format dxfId="139">
      <pivotArea dataOnly="0" labelOnly="1" grandRow="1" outline="0" fieldPosition="0"/>
    </format>
    <format dxfId="140">
      <pivotArea dataOnly="0" labelOnly="1" outline="0" fieldPosition="0">
        <references count="1">
          <reference field="4294967294" count="2">
            <x v="0"/>
            <x v="1"/>
          </reference>
        </references>
      </pivotArea>
    </format>
  </formats>
  <conditionalFormats count="2">
    <conditionalFormat type="all" priority="2">
      <pivotAreas count="1">
        <pivotArea type="data" collapsedLevelsAreSubtotals="1" fieldPosition="0">
          <references count="2">
            <reference field="4294967294" count="1" selected="0">
              <x v="1"/>
            </reference>
            <reference field="0" count="6">
              <x v="0"/>
              <x v="1"/>
              <x v="2"/>
              <x v="3"/>
              <x v="4"/>
              <x v="5"/>
            </reference>
          </references>
        </pivotArea>
      </pivotAreas>
    </conditionalFormat>
    <conditionalFormat type="all" priority="3">
      <pivotAreas count="1">
        <pivotArea type="data" collapsedLevelsAreSubtotals="1" fieldPosition="0">
          <references count="2">
            <reference field="4294967294" count="1" selected="0">
              <x v="1"/>
            </reference>
            <reference field="0" count="6">
              <x v="0"/>
              <x v="1"/>
              <x v="2"/>
              <x v="3"/>
              <x v="4"/>
              <x v="5"/>
            </reference>
          </references>
        </pivotArea>
      </pivotAreas>
    </conditionalFormat>
  </conditionalFormats>
  <chartFormats count="2">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89ED7B2-E6C2-41CB-9462-91458E451DE6}" name="PivotTable3"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Sales Agent">
  <location ref="C28:G34" firstHeaderRow="0" firstDataRow="1" firstDataCol="1"/>
  <pivotFields count="16">
    <pivotField showAll="0"/>
    <pivotField dataField="1" showAll="0"/>
    <pivotField showAll="0"/>
    <pivotField showAll="0"/>
    <pivotField showAll="0">
      <items count="7">
        <item x="1"/>
        <item x="4"/>
        <item x="0"/>
        <item x="5"/>
        <item x="3"/>
        <item x="2"/>
        <item t="default"/>
      </items>
    </pivotField>
    <pivotField numFmtId="14" showAll="0"/>
    <pivotField showAll="0"/>
    <pivotField showAll="0"/>
    <pivotField showAll="0"/>
    <pivotField showAll="0"/>
    <pivotField showAll="0"/>
    <pivotField showAll="0"/>
    <pivotField dataField="1" showAll="0"/>
    <pivotField dataField="1" showAll="0"/>
    <pivotField axis="axisRow" showAll="0" sortType="descending">
      <items count="6">
        <item x="3"/>
        <item x="4"/>
        <item x="1"/>
        <item x="2"/>
        <item x="0"/>
        <item t="default"/>
      </items>
      <autoSortScope>
        <pivotArea dataOnly="0" outline="0" fieldPosition="0">
          <references count="1">
            <reference field="4294967294" count="1" selected="0">
              <x v="0"/>
            </reference>
          </references>
        </pivotArea>
      </autoSortScope>
    </pivotField>
    <pivotField dataField="1" dragToRow="0" dragToCol="0" dragToPage="0" showAll="0" defaultSubtotal="0"/>
  </pivotFields>
  <rowFields count="1">
    <field x="14"/>
  </rowFields>
  <rowItems count="6">
    <i>
      <x v="3"/>
    </i>
    <i>
      <x v="2"/>
    </i>
    <i>
      <x v="1"/>
    </i>
    <i>
      <x/>
    </i>
    <i>
      <x v="4"/>
    </i>
    <i t="grand">
      <x/>
    </i>
  </rowItems>
  <colFields count="1">
    <field x="-2"/>
  </colFields>
  <colItems count="4">
    <i>
      <x/>
    </i>
    <i i="1">
      <x v="1"/>
    </i>
    <i i="2">
      <x v="2"/>
    </i>
    <i i="3">
      <x v="3"/>
    </i>
  </colItems>
  <dataFields count="4">
    <dataField name="Total Profit" fld="13" baseField="14" baseItem="3"/>
    <dataField name="Sales Price " fld="12" baseField="14" baseItem="3"/>
    <dataField name="Profit Margin" fld="15" baseField="14" baseItem="0" numFmtId="165"/>
    <dataField name="Count of Order ID" fld="1" subtotal="count" baseField="14" baseItem="0"/>
  </dataFields>
  <formats count="18">
    <format dxfId="223">
      <pivotArea type="all" dataOnly="0" outline="0" fieldPosition="0"/>
    </format>
    <format dxfId="222">
      <pivotArea outline="0" collapsedLevelsAreSubtotals="1" fieldPosition="0"/>
    </format>
    <format dxfId="221">
      <pivotArea field="14" type="button" dataOnly="0" labelOnly="1" outline="0" axis="axisRow" fieldPosition="0"/>
    </format>
    <format dxfId="220">
      <pivotArea dataOnly="0" labelOnly="1" fieldPosition="0">
        <references count="1">
          <reference field="14" count="0"/>
        </references>
      </pivotArea>
    </format>
    <format dxfId="219">
      <pivotArea dataOnly="0" labelOnly="1" grandRow="1" outline="0" fieldPosition="0"/>
    </format>
    <format dxfId="218">
      <pivotArea dataOnly="0" labelOnly="1" outline="0" fieldPosition="0">
        <references count="1">
          <reference field="4294967294" count="4">
            <x v="0"/>
            <x v="1"/>
            <x v="2"/>
            <x v="3"/>
          </reference>
        </references>
      </pivotArea>
    </format>
    <format dxfId="217">
      <pivotArea type="all" dataOnly="0" outline="0" fieldPosition="0"/>
    </format>
    <format dxfId="216">
      <pivotArea outline="0" collapsedLevelsAreSubtotals="1" fieldPosition="0"/>
    </format>
    <format dxfId="215">
      <pivotArea field="14" type="button" dataOnly="0" labelOnly="1" outline="0" axis="axisRow" fieldPosition="0"/>
    </format>
    <format dxfId="214">
      <pivotArea dataOnly="0" labelOnly="1" fieldPosition="0">
        <references count="1">
          <reference field="14" count="0"/>
        </references>
      </pivotArea>
    </format>
    <format dxfId="213">
      <pivotArea dataOnly="0" labelOnly="1" grandRow="1" outline="0" fieldPosition="0"/>
    </format>
    <format dxfId="212">
      <pivotArea dataOnly="0" labelOnly="1" outline="0" fieldPosition="0">
        <references count="1">
          <reference field="4294967294" count="4">
            <x v="0"/>
            <x v="1"/>
            <x v="2"/>
            <x v="3"/>
          </reference>
        </references>
      </pivotArea>
    </format>
    <format dxfId="211">
      <pivotArea type="all" dataOnly="0" outline="0" fieldPosition="0"/>
    </format>
    <format dxfId="210">
      <pivotArea outline="0" collapsedLevelsAreSubtotals="1" fieldPosition="0"/>
    </format>
    <format dxfId="209">
      <pivotArea field="14" type="button" dataOnly="0" labelOnly="1" outline="0" axis="axisRow" fieldPosition="0"/>
    </format>
    <format dxfId="208">
      <pivotArea dataOnly="0" labelOnly="1" fieldPosition="0">
        <references count="1">
          <reference field="14" count="0"/>
        </references>
      </pivotArea>
    </format>
    <format dxfId="207">
      <pivotArea dataOnly="0" labelOnly="1" grandRow="1" outline="0" fieldPosition="0"/>
    </format>
    <format dxfId="206">
      <pivotArea dataOnly="0" labelOnly="1" outline="0" fieldPosition="0">
        <references count="1">
          <reference field="4294967294" count="4">
            <x v="0"/>
            <x v="1"/>
            <x v="2"/>
            <x v="3"/>
          </reference>
        </references>
      </pivotArea>
    </format>
  </formats>
  <conditionalFormats count="2">
    <conditionalFormat type="all" priority="4">
      <pivotAreas count="1">
        <pivotArea type="data" collapsedLevelsAreSubtotals="1" fieldPosition="0">
          <references count="2">
            <reference field="4294967294" count="1" selected="0">
              <x v="0"/>
            </reference>
            <reference field="14" count="5">
              <x v="0"/>
              <x v="1"/>
              <x v="2"/>
              <x v="3"/>
              <x v="4"/>
            </reference>
          </references>
        </pivotArea>
      </pivotAreas>
    </conditionalFormat>
    <conditionalFormat type="all" priority="5">
      <pivotAreas count="1">
        <pivotArea type="data" collapsedLevelsAreSubtotals="1" fieldPosition="0">
          <references count="2">
            <reference field="4294967294" count="1" selected="0">
              <x v="2"/>
            </reference>
            <reference field="14" count="5">
              <x v="0"/>
              <x v="1"/>
              <x v="2"/>
              <x v="3"/>
              <x v="4"/>
            </reference>
          </references>
        </pivotArea>
      </pivotAreas>
    </conditionalFormat>
  </conditionalFormats>
  <chartFormats count="4">
    <chartFormat chart="2" format="8" series="1">
      <pivotArea type="data" outline="0" fieldPosition="0">
        <references count="1">
          <reference field="4294967294" count="1" selected="0">
            <x v="0"/>
          </reference>
        </references>
      </pivotArea>
    </chartFormat>
    <chartFormat chart="2" format="9" series="1">
      <pivotArea type="data" outline="0" fieldPosition="0">
        <references count="1">
          <reference field="4294967294" count="1" selected="0">
            <x v="1"/>
          </reference>
        </references>
      </pivotArea>
    </chartFormat>
    <chartFormat chart="2" format="10" series="1">
      <pivotArea type="data" outline="0" fieldPosition="0">
        <references count="1">
          <reference field="4294967294" count="1" selected="0">
            <x v="2"/>
          </reference>
        </references>
      </pivotArea>
    </chartFormat>
    <chartFormat chart="2" format="11" series="1">
      <pivotArea type="data" outline="0" fieldPosition="0">
        <references count="1">
          <reference field="429496729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21AB16B-6124-4DDD-AC5F-691EEE45403E}" autoFormatId="16" applyNumberFormats="0" applyBorderFormats="0" applyFontFormats="0" applyPatternFormats="0" applyAlignmentFormats="0" applyWidthHeightFormats="0">
  <queryTableRefresh nextId="22">
    <queryTableFields count="18">
      <queryTableField id="1" name="Customer ID" tableColumnId="1"/>
      <queryTableField id="2" name="Customer Last Name" tableColumnId="2"/>
      <queryTableField id="3" name="Customer First Name" tableColumnId="3"/>
      <queryTableField id="18" dataBound="0" tableColumnId="19"/>
      <queryTableField id="4" name="Service Category" tableColumnId="4"/>
      <queryTableField id="5" name="Order Date" tableColumnId="5"/>
      <queryTableField id="19" dataBound="0" tableColumnId="16"/>
      <queryTableField id="6" name="Quantity Ordered" tableColumnId="6"/>
      <queryTableField id="16" dataBound="0" tableColumnId="17"/>
      <queryTableField id="7" name="Order Status" tableColumnId="7"/>
      <queryTableField id="9" name="Street Number" tableColumnId="9"/>
      <queryTableField id="8" name="State" tableColumnId="8"/>
      <queryTableField id="10" name="Street Name" tableColumnId="10"/>
      <queryTableField id="11" name="City" tableColumnId="11"/>
      <queryTableField id="12" name="Postal Code" tableColumnId="12"/>
      <queryTableField id="13" name="Sales Price (Per unit)" tableColumnId="13"/>
      <queryTableField id="14" name="Sale Price " tableColumnId="14"/>
      <queryTableField id="15" name="Phone" tableColumnId="15"/>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2A558C50-A805-4371-B226-B6E2A940475E}" autoFormatId="16" applyNumberFormats="0" applyBorderFormats="0" applyFontFormats="0" applyPatternFormats="0" applyAlignmentFormats="0" applyWidthHeightFormats="0">
  <queryTableRefresh nextId="16">
    <queryTableFields count="15">
      <queryTableField id="1" name="Customer ID" tableColumnId="1"/>
      <queryTableField id="2" name="Order ID" tableColumnId="2"/>
      <queryTableField id="3" name="Customer Last Name" tableColumnId="3"/>
      <queryTableField id="4" name="Customer First Name" tableColumnId="4"/>
      <queryTableField id="5" name="Service Category" tableColumnId="5"/>
      <queryTableField id="6" name="Order Date" tableColumnId="6"/>
      <queryTableField id="15" dataBound="0" tableColumnId="15"/>
      <queryTableField id="7" name="Quantity Ordered" tableColumnId="7"/>
      <queryTableField id="8" name="Order Status" tableColumnId="8"/>
      <queryTableField id="9" name="State" tableColumnId="9"/>
      <queryTableField id="10" name="Margins" tableColumnId="10"/>
      <queryTableField id="11" name="Service Provider Expense" tableColumnId="11"/>
      <queryTableField id="12" name="Sale Price " tableColumnId="12"/>
      <queryTableField id="13" name="Total Profit (GMROI)" tableColumnId="13"/>
      <queryTableField id="14" name="Sales Agent" tableColumnId="1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F4AA93E5-0843-473E-B772-28F8F4B43AE7}" sourceName="Month">
  <pivotTables>
    <pivotTable tabId="24" name="PivotTable2"/>
  </pivotTables>
  <data>
    <tabular pivotCacheId="1438108839">
      <items count="13">
        <i x="0" s="1"/>
        <i x="1" s="1"/>
        <i x="2" s="1"/>
        <i x="3" s="1"/>
        <i x="4" s="1"/>
        <i x="5" s="1"/>
        <i x="6" s="1"/>
        <i x="7" s="1"/>
        <i x="8" s="1"/>
        <i x="9" s="1"/>
        <i x="10" s="1"/>
        <i x="11" s="1"/>
        <i x="12"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FA425A13-6A0B-4516-AEDB-C1EA9512D730}" sourceName="State">
  <pivotTables>
    <pivotTable tabId="24" name="PivotTable2"/>
  </pivotTables>
  <data>
    <tabular pivotCacheId="1438108839">
      <items count="9">
        <i x="4" s="1"/>
        <i x="1" s="1"/>
        <i x="7" s="1"/>
        <i x="2" s="1"/>
        <i x="0" s="1"/>
        <i x="6" s="1"/>
        <i x="5" s="1"/>
        <i x="3" s="1"/>
        <i x="8"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rvice_Category" xr10:uid="{66FD0969-09C2-46C6-B795-D209DCDFE6DF}" sourceName="Service Category">
  <pivotTables>
    <pivotTable tabId="24" name="PivotTable3"/>
  </pivotTables>
  <data>
    <tabular pivotCacheId="558515111">
      <items count="6">
        <i x="1" s="1"/>
        <i x="4" s="1"/>
        <i x="0" s="1"/>
        <i x="5" s="1"/>
        <i x="3"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Agent" xr10:uid="{A4C8455C-C413-4F82-85CF-504B8482C9A7}" sourceName="Sales Agent">
  <pivotTables>
    <pivotTable tabId="24" name="PivotTable3"/>
  </pivotTables>
  <data>
    <tabular pivotCacheId="558515111">
      <items count="5">
        <i x="3" s="1"/>
        <i x="4" s="1"/>
        <i x="1" s="1"/>
        <i x="2" s="1"/>
        <i x="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rvice_Category1" xr10:uid="{FD6A28C8-0382-43FB-9412-723BBB5F7DE3}" sourceName="Service Category">
  <pivotTables>
    <pivotTable tabId="24" name="PivotTable12"/>
  </pivotTables>
  <data>
    <tabular pivotCacheId="2140671458">
      <items count="7">
        <i x="1" s="1"/>
        <i x="4" s="1"/>
        <i x="0" s="1"/>
        <i x="5" s="1"/>
        <i x="3" s="1"/>
        <i x="2" s="1"/>
        <i x="6" s="1"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1" xr10:uid="{8658B51B-4963-46F8-92C3-50B10A0F31DF}" sourceName="State">
  <pivotTables>
    <pivotTable tabId="24" name="PivotTable12"/>
  </pivotTables>
  <data>
    <tabular pivotCacheId="2140671458">
      <items count="9">
        <i x="4" s="1"/>
        <i x="1" s="1"/>
        <i x="7" s="1"/>
        <i x="2" s="1"/>
        <i x="0" s="1"/>
        <i x="6" s="1"/>
        <i x="5" s="1"/>
        <i x="3" s="1"/>
        <i x="8" s="1" nd="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1" xr10:uid="{27288963-759B-4E40-9FE1-3DA94AABF6C7}" sourceName="Month ">
  <pivotTables>
    <pivotTable tabId="25" name="PivotTable11"/>
  </pivotTables>
  <data>
    <tabular pivotCacheId="1955480015">
      <items count="13">
        <i x="0" s="1"/>
        <i x="1" s="1"/>
        <i x="2" s="1"/>
        <i x="3" s="1"/>
        <i x="4" s="1"/>
        <i x="5" s="1"/>
        <i x="6" s="1"/>
        <i x="7" s="1"/>
        <i x="8" s="1"/>
        <i x="9" s="1"/>
        <i x="10" s="1"/>
        <i x="11" s="1"/>
        <i x="12" s="1" nd="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2" xr10:uid="{6921E51F-AE38-4822-B37B-2F39FC01AB92}" sourceName="State">
  <pivotTables>
    <pivotTable tabId="25" name="PivotTable11"/>
  </pivotTables>
  <data>
    <tabular pivotCacheId="1955480015">
      <items count="9">
        <i x="4" s="1"/>
        <i x="1" s="1"/>
        <i x="7" s="1"/>
        <i x="2" s="1"/>
        <i x="0" s="1"/>
        <i x="6" s="1"/>
        <i x="5" s="1"/>
        <i x="3" s="1"/>
        <i x="8" nd="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rvice_Category2" xr10:uid="{9A522E76-F129-4C96-8A78-49423191586F}" sourceName="Service Category">
  <pivotTables>
    <pivotTable tabId="25" name="PivotTable2"/>
  </pivotTables>
  <data>
    <tabular pivotCacheId="456827406">
      <items count="7">
        <i x="1" s="1"/>
        <i x="4" s="1"/>
        <i x="0" s="1"/>
        <i x="5" s="1"/>
        <i x="3" s="1"/>
        <i x="2" s="1"/>
        <i x="6"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 xr10:uid="{B9DD38D9-90F8-4A8A-9425-E898DB9C8EC4}" cache="Slicer_Month1" caption="Month " rowHeight="241300"/>
  <slicer name="State 2" xr10:uid="{10C8A332-500E-45B7-B6A5-E19E88956935}" cache="Slicer_State2" caption="State" columnCount="4" rowHeight="241300"/>
  <slicer name="Service Category 2" xr10:uid="{F86844D9-5AD9-447D-B5C8-17289295DD61}" cache="Slicer_Service_Category2" caption="Service Category"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6243B7DB-35C0-4779-B7C8-9456B6B2CAA1}" cache="Slicer_Month" caption="Month" columnCount="3" rowHeight="241300"/>
  <slicer name="State" xr10:uid="{A506FC91-25AB-49C8-867D-BF8DA07877CE}" cache="Slicer_State" caption="State" columnCount="3" rowHeight="241300"/>
  <slicer name="Service Category" xr10:uid="{750ADA57-102C-48AF-985B-611D27DA1FF5}" cache="Slicer_Service_Category" caption="Service Category" columnCount="3" rowHeight="241300"/>
  <slicer name="Sales Agent" xr10:uid="{6FA94493-17DF-4660-940B-A6BE230EF42B}" cache="Slicer_Sales_Agent" caption="Sales Agent" columnCount="5" rowHeight="241300"/>
  <slicer name="Service Category 1" xr10:uid="{D4A89D78-0C89-42F2-A308-324B6DCAFA98}" cache="Slicer_Service_Category1" caption="Service Category" rowHeight="241300"/>
  <slicer name="State 1" xr10:uid="{72B480DF-3C07-4054-BBBC-DC8B4D72F0E7}" cache="Slicer_State1" caption="State" columnCount="4"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DF0EE23-DAE8-4B4F-8D7A-3DE5A04C72E9}" name="Customers_" displayName="Customers_" ref="A1:R1001" tableType="queryTable" totalsRowShown="0">
  <tableColumns count="18">
    <tableColumn id="1" xr3:uid="{2545F45B-28EE-460B-91EC-ABFF7009319A}" uniqueName="1" name="Customer ID" queryTableFieldId="1"/>
    <tableColumn id="2" xr3:uid="{EE666A41-7372-4062-9CB9-04FD4238FE99}" uniqueName="2" name="Customer Last Name" queryTableFieldId="2" dataDxfId="244"/>
    <tableColumn id="3" xr3:uid="{FD008DE3-E2B4-41AC-A86A-D9C685D43909}" uniqueName="3" name="Customer First Name" queryTableFieldId="3" dataDxfId="243"/>
    <tableColumn id="19" xr3:uid="{018EE8DD-87C7-4532-9E1F-B0C43DE1A4AB}" uniqueName="19" name="Customer Full Name " queryTableFieldId="18" dataDxfId="242"/>
    <tableColumn id="4" xr3:uid="{E19C8F5C-E522-4A20-9919-CE1E90A0C66B}" uniqueName="4" name="Service Category" queryTableFieldId="4" dataDxfId="241"/>
    <tableColumn id="5" xr3:uid="{759A9D50-C536-4AEB-8074-AA0E5EAE2C2F}" uniqueName="5" name="Order Date" queryTableFieldId="5" dataDxfId="240"/>
    <tableColumn id="16" xr3:uid="{C978DADE-7E19-4BDF-B9E0-D6538ECEA7E3}" uniqueName="16" name="Month " queryTableFieldId="19" dataDxfId="239">
      <calculatedColumnFormula>TEXT(F2, "MMM")</calculatedColumnFormula>
    </tableColumn>
    <tableColumn id="6" xr3:uid="{DE99244F-BB77-47E1-AAB6-17F66E7B0B1A}" uniqueName="6" name="Quantity Ordered" queryTableFieldId="6"/>
    <tableColumn id="17" xr3:uid="{22199643-8EF6-4410-9B24-4F62C09E1D4F}" uniqueName="17" name="Customer Segment" queryTableFieldId="16" dataDxfId="238"/>
    <tableColumn id="7" xr3:uid="{08DAA35B-178C-4B27-BCBF-6A8A4EF2130C}" uniqueName="7" name="Order Status" queryTableFieldId="7" dataDxfId="237"/>
    <tableColumn id="9" xr3:uid="{FE205FA8-AAAC-44C4-B7D6-C2AD74F05D7A}" uniqueName="9" name="Street Number" queryTableFieldId="9" dataDxfId="236"/>
    <tableColumn id="8" xr3:uid="{C55BF175-0969-44B9-9DA0-EEEED311B092}" uniqueName="8" name="State" queryTableFieldId="8" dataDxfId="235"/>
    <tableColumn id="10" xr3:uid="{CC3F46BB-7D52-4863-9FAB-8C97E1D9ED7F}" uniqueName="10" name="Street Name" queryTableFieldId="10" dataDxfId="234"/>
    <tableColumn id="11" xr3:uid="{BE12B086-5FD6-47D0-8B10-859092AC5A3A}" uniqueName="11" name="City" queryTableFieldId="11" dataDxfId="233"/>
    <tableColumn id="12" xr3:uid="{712C2490-5F91-4831-AE09-1E9891352DC1}" uniqueName="12" name="Postal Code" queryTableFieldId="12"/>
    <tableColumn id="13" xr3:uid="{CCB059AF-1B61-4047-BD3F-F80F16B71647}" uniqueName="13" name="Sales Price (Per unit)" queryTableFieldId="13"/>
    <tableColumn id="14" xr3:uid="{7177F49D-4AD6-42C1-8BCC-84A93C550104}" uniqueName="14" name="Sale Price " queryTableFieldId="14"/>
    <tableColumn id="15" xr3:uid="{D89CA782-4CFC-46E4-91AB-B9BCC3F2080C}" uniqueName="15" name="Phone" queryTableFieldId="15" dataDxfId="232"/>
  </tableColumns>
  <tableStyleInfo name="TableStyleLight1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3AB7AF4-9B71-4485-89CE-55862A917059}" name="Sales_1" displayName="Sales_1" ref="A1:O1001" tableType="queryTable" totalsRowShown="0">
  <tableColumns count="15">
    <tableColumn id="1" xr3:uid="{C69B4BEF-F4A2-46E8-B7B3-2D856658F479}" uniqueName="1" name="Customer ID" queryTableFieldId="1"/>
    <tableColumn id="2" xr3:uid="{0E37E4C1-07D4-4E77-8E11-C1BBAA49DFBB}" uniqueName="2" name="Order ID" queryTableFieldId="2"/>
    <tableColumn id="3" xr3:uid="{9659FAAA-0A62-4D65-8334-5DC762F8E15B}" uniqueName="3" name="Customer Last Name" queryTableFieldId="3" dataDxfId="231"/>
    <tableColumn id="4" xr3:uid="{131EAB65-8FCF-43B3-9E09-3744B6B816ED}" uniqueName="4" name="Customer First Name" queryTableFieldId="4" dataDxfId="230"/>
    <tableColumn id="5" xr3:uid="{096C2FDC-3675-4041-9551-2ED812A9D301}" uniqueName="5" name="Service Category" queryTableFieldId="5" dataDxfId="229"/>
    <tableColumn id="6" xr3:uid="{8C3C1750-88A5-4372-8A5F-00773BE8BA58}" uniqueName="6" name="Order Date" queryTableFieldId="6" dataDxfId="228"/>
    <tableColumn id="15" xr3:uid="{D0BD4724-7A6E-4421-9B6F-1E512B6ED3B2}" uniqueName="15" name="Month" queryTableFieldId="15" dataDxfId="227">
      <calculatedColumnFormula>TEXT(F2, "MMM")</calculatedColumnFormula>
    </tableColumn>
    <tableColumn id="7" xr3:uid="{CB054F83-B088-449B-9847-A1421BF8EF17}" uniqueName="7" name="Quantity Ordered" queryTableFieldId="7"/>
    <tableColumn id="8" xr3:uid="{0127DECC-540C-4695-B298-36AF5AA68D96}" uniqueName="8" name="Order Status" queryTableFieldId="8" dataDxfId="226"/>
    <tableColumn id="9" xr3:uid="{9A3C50E1-D3BF-4A5C-827B-B8A0E3AF5C0B}" uniqueName="9" name="State" queryTableFieldId="9" dataDxfId="225"/>
    <tableColumn id="10" xr3:uid="{F3A5288D-991F-472D-BE06-99B29CABF67B}" uniqueName="10" name="Margins" queryTableFieldId="10"/>
    <tableColumn id="11" xr3:uid="{C291873A-1021-42A8-8DE5-D0F7A651540A}" uniqueName="11" name="Service Provider Expense" queryTableFieldId="11"/>
    <tableColumn id="12" xr3:uid="{CC02B9B1-0DA2-4095-90B7-A31C2DBB143F}" uniqueName="12" name="Sale Price " queryTableFieldId="12"/>
    <tableColumn id="13" xr3:uid="{F04A9FD5-6D5E-4CCF-88DF-0FAD54746C2A}" uniqueName="13" name="Total Profit (GMROI)" queryTableFieldId="13"/>
    <tableColumn id="14" xr3:uid="{043E75C3-D8A5-4D71-8E64-EDD8E2A5E68C}" uniqueName="14" name="Sales Agent" queryTableFieldId="14" dataDxfId="224"/>
  </tableColumns>
  <tableStyleInfo name="TableStyleMedium6"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CFD81AEF-652F-4FAF-B921-4828BC4A21CF}" name="Table410" displayName="Table410" ref="C9:F22" totalsRowShown="0" headerRowDxfId="144" dataDxfId="143" headerRowBorderDxfId="141" tableBorderDxfId="142">
  <autoFilter ref="C9:F22" xr:uid="{CFD81AEF-652F-4FAF-B921-4828BC4A21CF}"/>
  <tableColumns count="4">
    <tableColumn id="1" xr3:uid="{54EFBE53-D3A4-4B6E-9072-45D2A3F18478}" name="Measure" dataDxfId="116"/>
    <tableColumn id="2" xr3:uid="{88909CAD-2924-45B5-A394-4B25C8D0DBB6}" name="Unit Sales Price" dataDxfId="115"/>
    <tableColumn id="3" xr3:uid="{A11C8A46-4E4E-477D-8D81-279807ECB869}" name="Sale Price " dataDxfId="114"/>
    <tableColumn id="4" xr3:uid="{B1731C5D-DBF4-4D49-8301-09913B5F8EAE}" name="Quantity Ordered" dataDxfId="113"/>
  </tableColumns>
  <tableStyleInfo name="TableStyleLight1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849D70D-A105-4C0D-A746-D013F1C1BA7F}" name="Table3" displayName="Table3" ref="C9:G22" totalsRowShown="0" headerRowDxfId="157" dataDxfId="156" tableBorderDxfId="155">
  <autoFilter ref="C9:G22" xr:uid="{3849D70D-A105-4C0D-A746-D013F1C1BA7F}"/>
  <tableColumns count="5">
    <tableColumn id="1" xr3:uid="{F2C285BC-4A7D-4C20-B381-E3EDB469CF75}" name="Measure" dataDxfId="154"/>
    <tableColumn id="2" xr3:uid="{3F59176D-3E1B-461F-92E5-918815B66CD5}" name="SPE" dataDxfId="153"/>
    <tableColumn id="3" xr3:uid="{C0441774-F0CA-4B0D-81F5-66EDD8CA59AF}" name="Sale Price " dataDxfId="152"/>
    <tableColumn id="4" xr3:uid="{EC05ED4D-07B3-441C-8348-2CA45FD300BA}" name="  Total Profit " dataDxfId="151"/>
    <tableColumn id="5" xr3:uid="{BE9F55B0-4FE4-4D99-B320-5726409AFD76}" name="Quantity Ordered" dataDxfId="150"/>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5D2C554C-69C3-4AA3-A828-CBB2CCF84BFD}" name="Table7" displayName="Table7" ref="A1:C7" totalsRowShown="0" headerRowDxfId="149" dataDxfId="148">
  <autoFilter ref="A1:C7" xr:uid="{5D2C554C-69C3-4AA3-A828-CBB2CCF84BFD}"/>
  <tableColumns count="3">
    <tableColumn id="1" xr3:uid="{14A2F35F-0858-4BDE-BCD5-2054BC818A68}" name="Service" dataDxfId="147"/>
    <tableColumn id="2" xr3:uid="{087AA21A-FB72-4E6C-9F83-FC5B5E1177E6}" name="Price (USD)" dataDxfId="146"/>
    <tableColumn id="3" xr3:uid="{116C629D-DA96-4B5E-8197-BAEA0246C784}" name="Margin (in %)" dataDxfId="145"/>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7EC1B2A1-C7F8-4C20-8CE2-BB2ABCF6A947}" sourceName="Order Date">
  <pivotTables>
    <pivotTable tabId="25" name="PivotTable2"/>
  </pivotTables>
  <state minimalRefreshVersion="6" lastRefreshVersion="6" pivotCacheId="456827406" filterType="unknown">
    <bounds startDate="2024-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9BCB3BF2-9A2E-4E88-A2AB-BBA96E5C2DEF}" cache="NativeTimeline_Order_Date" caption="Order Date" level="1" selectionLevel="1" scrollPosition="2024-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microsoft.com/office/2011/relationships/timeline" Target="../timelines/timeline1.xml"/><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table" Target="../tables/table3.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7.xml"/><Relationship Id="rId2" Type="http://schemas.openxmlformats.org/officeDocument/2006/relationships/pivotTable" Target="../pivotTables/pivotTable6.xml"/><Relationship Id="rId1" Type="http://schemas.openxmlformats.org/officeDocument/2006/relationships/pivotTable" Target="../pivotTables/pivotTable5.xml"/><Relationship Id="rId6" Type="http://schemas.microsoft.com/office/2007/relationships/slicer" Target="../slicers/slicer2.xml"/><Relationship Id="rId5" Type="http://schemas.openxmlformats.org/officeDocument/2006/relationships/table" Target="../tables/table4.xml"/><Relationship Id="rId4"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22AA36-7DD1-4600-A402-B55B1AABCB82}">
  <dimension ref="A1:R1001"/>
  <sheetViews>
    <sheetView tabSelected="1" zoomScale="92" workbookViewId="0">
      <pane ySplit="1" topLeftCell="A2" activePane="bottomLeft" state="frozen"/>
      <selection pane="bottomLeft" activeCell="G2" sqref="G2"/>
    </sheetView>
  </sheetViews>
  <sheetFormatPr defaultRowHeight="15" x14ac:dyDescent="0.25"/>
  <cols>
    <col min="1" max="1" width="14.140625" bestFit="1" customWidth="1"/>
    <col min="2" max="2" width="21.7109375" hidden="1" customWidth="1"/>
    <col min="3" max="3" width="22.140625" hidden="1" customWidth="1"/>
    <col min="4" max="4" width="22.140625" customWidth="1"/>
    <col min="5" max="5" width="24.85546875" customWidth="1"/>
    <col min="6" max="6" width="13" bestFit="1" customWidth="1"/>
    <col min="7" max="7" width="18" style="17" customWidth="1"/>
    <col min="8" max="8" width="19" bestFit="1" customWidth="1"/>
    <col min="9" max="9" width="19" customWidth="1"/>
    <col min="10" max="10" width="14.7109375" customWidth="1"/>
    <col min="11" max="11" width="0.140625" style="17" hidden="1" customWidth="1"/>
    <col min="12" max="12" width="16.5703125" style="17" customWidth="1"/>
    <col min="13" max="13" width="15.140625" hidden="1" customWidth="1"/>
    <col min="14" max="14" width="15" bestFit="1" customWidth="1"/>
    <col min="15" max="15" width="13.7109375" bestFit="1" customWidth="1"/>
    <col min="16" max="16" width="21.85546875" bestFit="1" customWidth="1"/>
    <col min="17" max="17" width="12.28515625" bestFit="1" customWidth="1"/>
    <col min="18" max="18" width="14.42578125" bestFit="1" customWidth="1"/>
  </cols>
  <sheetData>
    <row r="1" spans="1:18" x14ac:dyDescent="0.25">
      <c r="A1" s="30" t="s">
        <v>3</v>
      </c>
      <c r="B1" s="30" t="s">
        <v>1</v>
      </c>
      <c r="C1" s="30" t="s">
        <v>2</v>
      </c>
      <c r="D1" s="29" t="s">
        <v>2317</v>
      </c>
      <c r="E1" s="30" t="s">
        <v>1247</v>
      </c>
      <c r="F1" s="30" t="s">
        <v>4</v>
      </c>
      <c r="G1" s="33" t="s">
        <v>2332</v>
      </c>
      <c r="H1" s="30" t="s">
        <v>5</v>
      </c>
      <c r="I1" s="29" t="s">
        <v>2316</v>
      </c>
      <c r="J1" s="30" t="s">
        <v>6</v>
      </c>
      <c r="K1" s="31" t="s">
        <v>2250</v>
      </c>
      <c r="L1" s="31" t="s">
        <v>7</v>
      </c>
      <c r="M1" s="30" t="s">
        <v>2251</v>
      </c>
      <c r="N1" s="30" t="s">
        <v>23</v>
      </c>
      <c r="O1" s="30" t="s">
        <v>24</v>
      </c>
      <c r="P1" s="30" t="s">
        <v>1241</v>
      </c>
      <c r="Q1" s="30" t="s">
        <v>8</v>
      </c>
      <c r="R1" s="30" t="s">
        <v>25</v>
      </c>
    </row>
    <row r="2" spans="1:18" x14ac:dyDescent="0.25">
      <c r="A2">
        <v>1364</v>
      </c>
      <c r="B2" t="s">
        <v>263</v>
      </c>
      <c r="C2" t="s">
        <v>264</v>
      </c>
      <c r="D2" t="str">
        <f t="shared" ref="D2:D65" si="0">CONCATENATE(B2, " ", C2)</f>
        <v>Holloway Raven</v>
      </c>
      <c r="E2" t="s">
        <v>1249</v>
      </c>
      <c r="F2" s="1">
        <v>45292</v>
      </c>
      <c r="G2" s="32" t="str">
        <f t="shared" ref="G2:G65" si="1">TEXT(F2, "MMM")</f>
        <v>Jan</v>
      </c>
      <c r="H2">
        <v>3</v>
      </c>
      <c r="I2" t="str">
        <f t="shared" ref="I2:I65" si="2">IF(H2=1,"Bronze",IF(H2=2,"Silver",IF(H2=3,"Gold")))</f>
        <v>Gold</v>
      </c>
      <c r="J2" t="s">
        <v>1242</v>
      </c>
      <c r="K2" s="17">
        <v>75058</v>
      </c>
      <c r="L2" s="17" t="s">
        <v>1224</v>
      </c>
      <c r="M2" t="s">
        <v>2253</v>
      </c>
      <c r="N2" t="s">
        <v>1238</v>
      </c>
      <c r="O2">
        <v>5600</v>
      </c>
      <c r="P2">
        <v>1200</v>
      </c>
      <c r="Q2">
        <v>3600</v>
      </c>
      <c r="R2" t="s">
        <v>1380</v>
      </c>
    </row>
    <row r="3" spans="1:18" x14ac:dyDescent="0.25">
      <c r="A3">
        <v>1475</v>
      </c>
      <c r="B3" t="s">
        <v>439</v>
      </c>
      <c r="C3" t="s">
        <v>440</v>
      </c>
      <c r="D3" t="str">
        <f t="shared" si="0"/>
        <v>Sexton Meadow</v>
      </c>
      <c r="E3" t="s">
        <v>1205</v>
      </c>
      <c r="F3" s="1">
        <v>45292</v>
      </c>
      <c r="G3" s="32" t="str">
        <f t="shared" si="1"/>
        <v>Jan</v>
      </c>
      <c r="H3">
        <v>3</v>
      </c>
      <c r="I3" t="str">
        <f t="shared" si="2"/>
        <v>Gold</v>
      </c>
      <c r="J3" t="s">
        <v>14</v>
      </c>
      <c r="K3" s="17">
        <v>46175</v>
      </c>
      <c r="L3" s="17" t="s">
        <v>1218</v>
      </c>
      <c r="M3" t="s">
        <v>2254</v>
      </c>
      <c r="N3" t="s">
        <v>1219</v>
      </c>
      <c r="O3">
        <v>2300</v>
      </c>
      <c r="P3">
        <v>250</v>
      </c>
      <c r="Q3">
        <v>750</v>
      </c>
      <c r="R3" t="s">
        <v>1491</v>
      </c>
    </row>
    <row r="4" spans="1:18" x14ac:dyDescent="0.25">
      <c r="A4">
        <v>1778</v>
      </c>
      <c r="B4" t="s">
        <v>801</v>
      </c>
      <c r="C4" t="s">
        <v>802</v>
      </c>
      <c r="D4" t="str">
        <f t="shared" si="0"/>
        <v>Delacruz Zayne</v>
      </c>
      <c r="E4" t="s">
        <v>1208</v>
      </c>
      <c r="F4" s="1">
        <v>45292</v>
      </c>
      <c r="G4" s="32" t="str">
        <f t="shared" si="1"/>
        <v>Jan</v>
      </c>
      <c r="H4">
        <v>3</v>
      </c>
      <c r="I4" t="str">
        <f t="shared" si="2"/>
        <v>Gold</v>
      </c>
      <c r="J4" t="s">
        <v>14</v>
      </c>
      <c r="K4" s="17">
        <v>20166</v>
      </c>
      <c r="L4" s="17" t="s">
        <v>1222</v>
      </c>
      <c r="M4" t="s">
        <v>2254</v>
      </c>
      <c r="N4" t="s">
        <v>1237</v>
      </c>
      <c r="O4">
        <v>4000</v>
      </c>
      <c r="P4">
        <v>800</v>
      </c>
      <c r="Q4">
        <v>2400</v>
      </c>
      <c r="R4" t="s">
        <v>1795</v>
      </c>
    </row>
    <row r="5" spans="1:18" x14ac:dyDescent="0.25">
      <c r="A5">
        <v>1850</v>
      </c>
      <c r="B5" t="s">
        <v>425</v>
      </c>
      <c r="C5" t="s">
        <v>782</v>
      </c>
      <c r="D5" t="str">
        <f t="shared" si="0"/>
        <v>Ellison Frederick</v>
      </c>
      <c r="E5" t="s">
        <v>1205</v>
      </c>
      <c r="F5" s="1">
        <v>45292</v>
      </c>
      <c r="G5" s="32" t="str">
        <f t="shared" si="1"/>
        <v>Jan</v>
      </c>
      <c r="H5">
        <v>2</v>
      </c>
      <c r="I5" t="str">
        <f t="shared" si="2"/>
        <v>Silver</v>
      </c>
      <c r="J5" t="s">
        <v>14</v>
      </c>
      <c r="K5" s="17">
        <v>88100</v>
      </c>
      <c r="L5" s="17" t="s">
        <v>1214</v>
      </c>
      <c r="M5" t="s">
        <v>2254</v>
      </c>
      <c r="N5" t="s">
        <v>1215</v>
      </c>
      <c r="O5">
        <v>6725</v>
      </c>
      <c r="P5">
        <v>250</v>
      </c>
      <c r="Q5">
        <v>500</v>
      </c>
      <c r="R5" t="s">
        <v>1867</v>
      </c>
    </row>
    <row r="6" spans="1:18" x14ac:dyDescent="0.25">
      <c r="A6">
        <v>2084</v>
      </c>
      <c r="B6" t="s">
        <v>1086</v>
      </c>
      <c r="C6" t="s">
        <v>471</v>
      </c>
      <c r="D6" t="str">
        <f t="shared" si="0"/>
        <v>Savage Marlee</v>
      </c>
      <c r="E6" t="s">
        <v>1205</v>
      </c>
      <c r="F6" s="1">
        <v>45292</v>
      </c>
      <c r="G6" s="32" t="str">
        <f t="shared" si="1"/>
        <v>Jan</v>
      </c>
      <c r="H6">
        <v>3</v>
      </c>
      <c r="I6" t="str">
        <f t="shared" si="2"/>
        <v>Gold</v>
      </c>
      <c r="J6" t="s">
        <v>14</v>
      </c>
      <c r="K6" s="17">
        <v>34956</v>
      </c>
      <c r="L6" s="17" t="s">
        <v>1222</v>
      </c>
      <c r="M6" t="s">
        <v>2252</v>
      </c>
      <c r="N6" t="s">
        <v>1231</v>
      </c>
      <c r="O6">
        <v>4870</v>
      </c>
      <c r="P6">
        <v>250</v>
      </c>
      <c r="Q6">
        <v>750</v>
      </c>
      <c r="R6" t="s">
        <v>2101</v>
      </c>
    </row>
    <row r="7" spans="1:18" x14ac:dyDescent="0.25">
      <c r="A7">
        <v>2009</v>
      </c>
      <c r="B7" t="s">
        <v>27</v>
      </c>
      <c r="C7" t="s">
        <v>71</v>
      </c>
      <c r="D7" t="str">
        <f t="shared" si="0"/>
        <v>Lewis Frank</v>
      </c>
      <c r="E7" t="s">
        <v>1203</v>
      </c>
      <c r="F7" s="1">
        <v>45293</v>
      </c>
      <c r="G7" s="32" t="str">
        <f t="shared" si="1"/>
        <v>Jan</v>
      </c>
      <c r="H7">
        <v>3</v>
      </c>
      <c r="I7" t="str">
        <f t="shared" si="2"/>
        <v>Gold</v>
      </c>
      <c r="J7" t="s">
        <v>1243</v>
      </c>
      <c r="K7" s="17">
        <v>94598</v>
      </c>
      <c r="L7" s="17" t="s">
        <v>1224</v>
      </c>
      <c r="M7" t="s">
        <v>2252</v>
      </c>
      <c r="N7" t="s">
        <v>1225</v>
      </c>
      <c r="O7">
        <v>5290</v>
      </c>
      <c r="P7">
        <v>600</v>
      </c>
      <c r="Q7">
        <v>1800</v>
      </c>
      <c r="R7" t="s">
        <v>2026</v>
      </c>
    </row>
    <row r="8" spans="1:18" x14ac:dyDescent="0.25">
      <c r="A8">
        <v>2100</v>
      </c>
      <c r="B8" t="s">
        <v>665</v>
      </c>
      <c r="C8" t="s">
        <v>613</v>
      </c>
      <c r="D8" t="str">
        <f t="shared" si="0"/>
        <v>Serrano Laura</v>
      </c>
      <c r="E8" t="s">
        <v>1249</v>
      </c>
      <c r="F8" s="1">
        <v>45293</v>
      </c>
      <c r="G8" s="32" t="str">
        <f t="shared" si="1"/>
        <v>Jan</v>
      </c>
      <c r="H8">
        <v>3</v>
      </c>
      <c r="I8" t="str">
        <f t="shared" si="2"/>
        <v>Gold</v>
      </c>
      <c r="J8" t="s">
        <v>1243</v>
      </c>
      <c r="K8" s="17">
        <v>12802</v>
      </c>
      <c r="L8" s="17" t="s">
        <v>1224</v>
      </c>
      <c r="M8" t="s">
        <v>2255</v>
      </c>
      <c r="N8" t="s">
        <v>1064</v>
      </c>
      <c r="O8">
        <v>5000</v>
      </c>
      <c r="P8">
        <v>1200</v>
      </c>
      <c r="Q8">
        <v>3600</v>
      </c>
      <c r="R8" t="s">
        <v>2118</v>
      </c>
    </row>
    <row r="9" spans="1:18" x14ac:dyDescent="0.25">
      <c r="A9">
        <v>1766</v>
      </c>
      <c r="B9" t="s">
        <v>790</v>
      </c>
      <c r="C9" t="s">
        <v>791</v>
      </c>
      <c r="D9" t="str">
        <f t="shared" si="0"/>
        <v>Jimenez Kamila</v>
      </c>
      <c r="E9" t="s">
        <v>1205</v>
      </c>
      <c r="F9" s="1">
        <v>45294</v>
      </c>
      <c r="G9" s="32" t="str">
        <f t="shared" si="1"/>
        <v>Jan</v>
      </c>
      <c r="H9">
        <v>3</v>
      </c>
      <c r="I9" t="str">
        <f t="shared" si="2"/>
        <v>Gold</v>
      </c>
      <c r="J9" t="s">
        <v>1242</v>
      </c>
      <c r="K9" s="17">
        <v>26641</v>
      </c>
      <c r="L9" s="17" t="s">
        <v>1216</v>
      </c>
      <c r="M9" t="s">
        <v>2255</v>
      </c>
      <c r="N9" t="s">
        <v>1217</v>
      </c>
      <c r="O9">
        <v>2600</v>
      </c>
      <c r="P9">
        <v>250</v>
      </c>
      <c r="Q9">
        <v>750</v>
      </c>
      <c r="R9" t="s">
        <v>1783</v>
      </c>
    </row>
    <row r="10" spans="1:18" x14ac:dyDescent="0.25">
      <c r="A10">
        <v>1945</v>
      </c>
      <c r="B10" t="s">
        <v>657</v>
      </c>
      <c r="C10" t="s">
        <v>904</v>
      </c>
      <c r="D10" t="str">
        <f t="shared" si="0"/>
        <v>Daugherty Samara</v>
      </c>
      <c r="E10" t="s">
        <v>1208</v>
      </c>
      <c r="F10" s="1">
        <v>45294</v>
      </c>
      <c r="G10" s="32" t="str">
        <f t="shared" si="1"/>
        <v>Jan</v>
      </c>
      <c r="H10">
        <v>2</v>
      </c>
      <c r="I10" t="str">
        <f t="shared" si="2"/>
        <v>Silver</v>
      </c>
      <c r="J10" t="s">
        <v>1243</v>
      </c>
      <c r="K10" s="17">
        <v>43305</v>
      </c>
      <c r="L10" s="17" t="s">
        <v>1220</v>
      </c>
      <c r="M10" t="s">
        <v>2252</v>
      </c>
      <c r="N10" t="s">
        <v>1221</v>
      </c>
      <c r="O10">
        <v>3350</v>
      </c>
      <c r="P10">
        <v>800</v>
      </c>
      <c r="Q10">
        <v>1600</v>
      </c>
      <c r="R10" t="s">
        <v>1962</v>
      </c>
    </row>
    <row r="11" spans="1:18" x14ac:dyDescent="0.25">
      <c r="A11">
        <v>2131</v>
      </c>
      <c r="B11" t="s">
        <v>1129</v>
      </c>
      <c r="C11" t="s">
        <v>1130</v>
      </c>
      <c r="D11" t="str">
        <f t="shared" si="0"/>
        <v>Chung Remi</v>
      </c>
      <c r="E11" t="s">
        <v>1208</v>
      </c>
      <c r="F11" s="1">
        <v>45294</v>
      </c>
      <c r="G11" s="32" t="str">
        <f t="shared" si="1"/>
        <v>Jan</v>
      </c>
      <c r="H11">
        <v>2</v>
      </c>
      <c r="I11" t="str">
        <f t="shared" si="2"/>
        <v>Silver</v>
      </c>
      <c r="J11" t="s">
        <v>1242</v>
      </c>
      <c r="K11" s="17">
        <v>17812</v>
      </c>
      <c r="L11" s="17" t="s">
        <v>1222</v>
      </c>
      <c r="M11" t="s">
        <v>2253</v>
      </c>
      <c r="N11" t="s">
        <v>1223</v>
      </c>
      <c r="O11">
        <v>4217</v>
      </c>
      <c r="P11">
        <v>800</v>
      </c>
      <c r="Q11">
        <v>1600</v>
      </c>
      <c r="R11" t="s">
        <v>2149</v>
      </c>
    </row>
    <row r="12" spans="1:18" x14ac:dyDescent="0.25">
      <c r="A12">
        <v>1762</v>
      </c>
      <c r="B12" t="s">
        <v>145</v>
      </c>
      <c r="C12" t="s">
        <v>788</v>
      </c>
      <c r="D12" t="str">
        <f t="shared" si="0"/>
        <v>Russell Elle</v>
      </c>
      <c r="E12" t="s">
        <v>1249</v>
      </c>
      <c r="F12" s="1">
        <v>45295</v>
      </c>
      <c r="G12" s="32" t="str">
        <f t="shared" si="1"/>
        <v>Jan</v>
      </c>
      <c r="H12">
        <v>3</v>
      </c>
      <c r="I12" t="str">
        <f t="shared" si="2"/>
        <v>Gold</v>
      </c>
      <c r="J12" t="s">
        <v>14</v>
      </c>
      <c r="K12" s="17">
        <v>86925</v>
      </c>
      <c r="L12" s="17" t="s">
        <v>1222</v>
      </c>
      <c r="M12" t="s">
        <v>2255</v>
      </c>
      <c r="N12" t="s">
        <v>1223</v>
      </c>
      <c r="O12">
        <v>4217</v>
      </c>
      <c r="P12">
        <v>1200</v>
      </c>
      <c r="Q12">
        <v>3600</v>
      </c>
      <c r="R12" t="s">
        <v>1779</v>
      </c>
    </row>
    <row r="13" spans="1:18" x14ac:dyDescent="0.25">
      <c r="A13">
        <v>2045</v>
      </c>
      <c r="B13" t="s">
        <v>1050</v>
      </c>
      <c r="C13" t="s">
        <v>507</v>
      </c>
      <c r="D13" t="str">
        <f t="shared" si="0"/>
        <v>O’Brien Donovan</v>
      </c>
      <c r="E13" t="s">
        <v>1208</v>
      </c>
      <c r="F13" s="1">
        <v>45295</v>
      </c>
      <c r="G13" s="32" t="str">
        <f t="shared" si="1"/>
        <v>Jan</v>
      </c>
      <c r="H13">
        <v>3</v>
      </c>
      <c r="I13" t="str">
        <f t="shared" si="2"/>
        <v>Gold</v>
      </c>
      <c r="J13" t="s">
        <v>14</v>
      </c>
      <c r="K13" s="17">
        <v>83346</v>
      </c>
      <c r="L13" s="17" t="s">
        <v>1218</v>
      </c>
      <c r="M13" t="s">
        <v>2253</v>
      </c>
      <c r="N13" t="s">
        <v>1235</v>
      </c>
      <c r="O13">
        <v>2500</v>
      </c>
      <c r="P13">
        <v>800</v>
      </c>
      <c r="Q13">
        <v>2400</v>
      </c>
      <c r="R13" t="s">
        <v>2062</v>
      </c>
    </row>
    <row r="14" spans="1:18" x14ac:dyDescent="0.25">
      <c r="A14">
        <v>2202</v>
      </c>
      <c r="B14" t="s">
        <v>821</v>
      </c>
      <c r="C14" t="s">
        <v>20</v>
      </c>
      <c r="D14" t="str">
        <f t="shared" si="0"/>
        <v>Palacios Vivian</v>
      </c>
      <c r="E14" t="s">
        <v>1249</v>
      </c>
      <c r="F14" s="1">
        <v>45295</v>
      </c>
      <c r="G14" s="32" t="str">
        <f t="shared" si="1"/>
        <v>Jan</v>
      </c>
      <c r="H14">
        <v>2</v>
      </c>
      <c r="I14" t="str">
        <f t="shared" si="2"/>
        <v>Silver</v>
      </c>
      <c r="J14" t="s">
        <v>14</v>
      </c>
      <c r="K14" s="17">
        <v>97105</v>
      </c>
      <c r="L14" s="17" t="s">
        <v>1228</v>
      </c>
      <c r="M14" t="s">
        <v>2254</v>
      </c>
      <c r="N14" t="s">
        <v>1229</v>
      </c>
      <c r="O14">
        <v>7250</v>
      </c>
      <c r="P14">
        <v>1200</v>
      </c>
      <c r="Q14">
        <v>2400</v>
      </c>
      <c r="R14" t="s">
        <v>2220</v>
      </c>
    </row>
    <row r="15" spans="1:18" x14ac:dyDescent="0.25">
      <c r="A15">
        <v>1671</v>
      </c>
      <c r="B15" t="s">
        <v>685</v>
      </c>
      <c r="C15" t="s">
        <v>686</v>
      </c>
      <c r="D15" t="str">
        <f t="shared" si="0"/>
        <v>Harrison Alison</v>
      </c>
      <c r="E15" t="s">
        <v>1205</v>
      </c>
      <c r="F15" s="1">
        <v>45296</v>
      </c>
      <c r="G15" s="32" t="str">
        <f t="shared" si="1"/>
        <v>Jan</v>
      </c>
      <c r="H15">
        <v>1</v>
      </c>
      <c r="I15" t="str">
        <f t="shared" si="2"/>
        <v>Bronze</v>
      </c>
      <c r="J15" t="s">
        <v>1242</v>
      </c>
      <c r="K15" s="17">
        <v>15952</v>
      </c>
      <c r="L15" s="17" t="s">
        <v>1222</v>
      </c>
      <c r="M15" t="s">
        <v>2256</v>
      </c>
      <c r="N15" t="s">
        <v>1237</v>
      </c>
      <c r="O15">
        <v>4000</v>
      </c>
      <c r="P15">
        <v>250</v>
      </c>
      <c r="Q15">
        <v>250</v>
      </c>
      <c r="R15" t="s">
        <v>1688</v>
      </c>
    </row>
    <row r="16" spans="1:18" x14ac:dyDescent="0.25">
      <c r="A16">
        <v>1270</v>
      </c>
      <c r="B16" t="s">
        <v>97</v>
      </c>
      <c r="C16" t="s">
        <v>98</v>
      </c>
      <c r="D16" t="str">
        <f t="shared" si="0"/>
        <v>Avery Aspen</v>
      </c>
      <c r="E16" t="s">
        <v>1249</v>
      </c>
      <c r="F16" s="1">
        <v>45297</v>
      </c>
      <c r="G16" s="32" t="str">
        <f t="shared" si="1"/>
        <v>Jan</v>
      </c>
      <c r="H16">
        <v>2</v>
      </c>
      <c r="I16" t="str">
        <f t="shared" si="2"/>
        <v>Silver</v>
      </c>
      <c r="J16" t="s">
        <v>1242</v>
      </c>
      <c r="K16" s="17">
        <v>40586</v>
      </c>
      <c r="L16" s="17" t="s">
        <v>1218</v>
      </c>
      <c r="M16" t="s">
        <v>2254</v>
      </c>
      <c r="N16" t="s">
        <v>1235</v>
      </c>
      <c r="O16">
        <v>2500</v>
      </c>
      <c r="P16">
        <v>1200</v>
      </c>
      <c r="Q16">
        <v>2400</v>
      </c>
      <c r="R16" t="s">
        <v>1286</v>
      </c>
    </row>
    <row r="17" spans="1:18" x14ac:dyDescent="0.25">
      <c r="A17">
        <v>1535</v>
      </c>
      <c r="B17" t="s">
        <v>519</v>
      </c>
      <c r="C17" t="s">
        <v>37</v>
      </c>
      <c r="D17" t="str">
        <f t="shared" si="0"/>
        <v>Nash Hayden</v>
      </c>
      <c r="E17" t="s">
        <v>1203</v>
      </c>
      <c r="F17" s="1">
        <v>45297</v>
      </c>
      <c r="G17" s="32" t="str">
        <f t="shared" si="1"/>
        <v>Jan</v>
      </c>
      <c r="H17">
        <v>1</v>
      </c>
      <c r="I17" t="str">
        <f t="shared" si="2"/>
        <v>Bronze</v>
      </c>
      <c r="J17" t="s">
        <v>14</v>
      </c>
      <c r="K17" s="17">
        <v>65163</v>
      </c>
      <c r="L17" s="17" t="s">
        <v>1220</v>
      </c>
      <c r="M17" t="s">
        <v>2253</v>
      </c>
      <c r="N17" t="s">
        <v>1226</v>
      </c>
      <c r="O17">
        <v>3220</v>
      </c>
      <c r="P17">
        <v>600</v>
      </c>
      <c r="Q17">
        <v>600</v>
      </c>
      <c r="R17" t="s">
        <v>1551</v>
      </c>
    </row>
    <row r="18" spans="1:18" x14ac:dyDescent="0.25">
      <c r="A18">
        <v>1761</v>
      </c>
      <c r="B18" t="s">
        <v>275</v>
      </c>
      <c r="C18" t="s">
        <v>689</v>
      </c>
      <c r="D18" t="str">
        <f t="shared" si="0"/>
        <v>Velazquez Dawson</v>
      </c>
      <c r="E18" t="s">
        <v>1205</v>
      </c>
      <c r="F18" s="1">
        <v>45297</v>
      </c>
      <c r="G18" s="32" t="str">
        <f t="shared" si="1"/>
        <v>Jan</v>
      </c>
      <c r="H18">
        <v>3</v>
      </c>
      <c r="I18" t="str">
        <f t="shared" si="2"/>
        <v>Gold</v>
      </c>
      <c r="J18" t="s">
        <v>14</v>
      </c>
      <c r="K18" s="17">
        <v>4389</v>
      </c>
      <c r="L18" s="17" t="s">
        <v>1220</v>
      </c>
      <c r="M18" t="s">
        <v>2252</v>
      </c>
      <c r="N18" t="s">
        <v>1226</v>
      </c>
      <c r="O18">
        <v>3220</v>
      </c>
      <c r="P18">
        <v>250</v>
      </c>
      <c r="Q18">
        <v>750</v>
      </c>
      <c r="R18" t="s">
        <v>1778</v>
      </c>
    </row>
    <row r="19" spans="1:18" x14ac:dyDescent="0.25">
      <c r="A19">
        <v>1771</v>
      </c>
      <c r="B19" t="s">
        <v>480</v>
      </c>
      <c r="C19" t="s">
        <v>797</v>
      </c>
      <c r="D19" t="str">
        <f t="shared" si="0"/>
        <v>Crosby Alayna</v>
      </c>
      <c r="E19" t="s">
        <v>1208</v>
      </c>
      <c r="F19" s="1">
        <v>45297</v>
      </c>
      <c r="G19" s="32" t="str">
        <f t="shared" si="1"/>
        <v>Jan</v>
      </c>
      <c r="H19">
        <v>1</v>
      </c>
      <c r="I19" t="str">
        <f t="shared" si="2"/>
        <v>Bronze</v>
      </c>
      <c r="J19" t="s">
        <v>1242</v>
      </c>
      <c r="K19" s="17">
        <v>70394</v>
      </c>
      <c r="L19" s="17" t="s">
        <v>1220</v>
      </c>
      <c r="M19" t="s">
        <v>2256</v>
      </c>
      <c r="N19" t="s">
        <v>1226</v>
      </c>
      <c r="O19">
        <v>3220</v>
      </c>
      <c r="P19">
        <v>800</v>
      </c>
      <c r="Q19">
        <v>800</v>
      </c>
      <c r="R19" t="s">
        <v>1788</v>
      </c>
    </row>
    <row r="20" spans="1:18" x14ac:dyDescent="0.25">
      <c r="A20">
        <v>2163</v>
      </c>
      <c r="B20" t="s">
        <v>835</v>
      </c>
      <c r="C20" t="s">
        <v>618</v>
      </c>
      <c r="D20" t="str">
        <f t="shared" si="0"/>
        <v>Greer Armani</v>
      </c>
      <c r="E20" t="s">
        <v>1208</v>
      </c>
      <c r="F20" s="1">
        <v>45297</v>
      </c>
      <c r="G20" s="32" t="str">
        <f t="shared" si="1"/>
        <v>Jan</v>
      </c>
      <c r="H20">
        <v>3</v>
      </c>
      <c r="I20" t="str">
        <f t="shared" si="2"/>
        <v>Gold</v>
      </c>
      <c r="J20" t="s">
        <v>1242</v>
      </c>
      <c r="K20" s="17">
        <v>12472</v>
      </c>
      <c r="L20" s="17" t="s">
        <v>1216</v>
      </c>
      <c r="M20" t="s">
        <v>2254</v>
      </c>
      <c r="N20" t="s">
        <v>1217</v>
      </c>
      <c r="O20">
        <v>2600</v>
      </c>
      <c r="P20">
        <v>800</v>
      </c>
      <c r="Q20">
        <v>2400</v>
      </c>
      <c r="R20" t="s">
        <v>2181</v>
      </c>
    </row>
    <row r="21" spans="1:18" x14ac:dyDescent="0.25">
      <c r="A21">
        <v>1400</v>
      </c>
      <c r="B21" t="s">
        <v>320</v>
      </c>
      <c r="C21" t="s">
        <v>321</v>
      </c>
      <c r="D21" t="str">
        <f t="shared" si="0"/>
        <v>Carpenter Jordan</v>
      </c>
      <c r="E21" t="s">
        <v>1205</v>
      </c>
      <c r="F21" s="1">
        <v>45298</v>
      </c>
      <c r="G21" s="32" t="str">
        <f t="shared" si="1"/>
        <v>Jan</v>
      </c>
      <c r="H21">
        <v>2</v>
      </c>
      <c r="I21" t="str">
        <f t="shared" si="2"/>
        <v>Silver</v>
      </c>
      <c r="J21" t="s">
        <v>18</v>
      </c>
      <c r="K21" s="17">
        <v>82683</v>
      </c>
      <c r="L21" s="17" t="s">
        <v>1216</v>
      </c>
      <c r="M21" t="s">
        <v>2253</v>
      </c>
      <c r="N21" t="s">
        <v>1217</v>
      </c>
      <c r="O21">
        <v>2600</v>
      </c>
      <c r="P21">
        <v>250</v>
      </c>
      <c r="Q21">
        <v>500</v>
      </c>
      <c r="R21" t="s">
        <v>1416</v>
      </c>
    </row>
    <row r="22" spans="1:18" x14ac:dyDescent="0.25">
      <c r="A22">
        <v>1460</v>
      </c>
      <c r="B22" t="s">
        <v>416</v>
      </c>
      <c r="C22" t="s">
        <v>417</v>
      </c>
      <c r="D22" t="str">
        <f t="shared" si="0"/>
        <v>Sanders Lukas</v>
      </c>
      <c r="E22" t="s">
        <v>1203</v>
      </c>
      <c r="F22" s="1">
        <v>45298</v>
      </c>
      <c r="G22" s="32" t="str">
        <f t="shared" si="1"/>
        <v>Jan</v>
      </c>
      <c r="H22">
        <v>1</v>
      </c>
      <c r="I22" t="str">
        <f t="shared" si="2"/>
        <v>Bronze</v>
      </c>
      <c r="J22" t="s">
        <v>1242</v>
      </c>
      <c r="K22" s="17">
        <v>14286</v>
      </c>
      <c r="L22" s="17" t="s">
        <v>1222</v>
      </c>
      <c r="M22" t="s">
        <v>2256</v>
      </c>
      <c r="N22" t="s">
        <v>1237</v>
      </c>
      <c r="O22">
        <v>4000</v>
      </c>
      <c r="P22">
        <v>600</v>
      </c>
      <c r="Q22">
        <v>600</v>
      </c>
      <c r="R22" t="s">
        <v>1476</v>
      </c>
    </row>
    <row r="23" spans="1:18" x14ac:dyDescent="0.25">
      <c r="A23">
        <v>1699</v>
      </c>
      <c r="B23" t="s">
        <v>724</v>
      </c>
      <c r="C23" t="s">
        <v>725</v>
      </c>
      <c r="D23" t="str">
        <f t="shared" si="0"/>
        <v>Strickland Stephanie</v>
      </c>
      <c r="E23" t="s">
        <v>1248</v>
      </c>
      <c r="F23" s="1">
        <v>45298</v>
      </c>
      <c r="G23" s="32" t="str">
        <f t="shared" si="1"/>
        <v>Jan</v>
      </c>
      <c r="H23">
        <v>3</v>
      </c>
      <c r="I23" t="str">
        <f t="shared" si="2"/>
        <v>Gold</v>
      </c>
      <c r="J23" t="s">
        <v>14</v>
      </c>
      <c r="K23" s="17">
        <v>62768</v>
      </c>
      <c r="L23" s="17" t="s">
        <v>1216</v>
      </c>
      <c r="M23" t="s">
        <v>2254</v>
      </c>
      <c r="N23" t="s">
        <v>1217</v>
      </c>
      <c r="O23">
        <v>2600</v>
      </c>
      <c r="P23">
        <v>300</v>
      </c>
      <c r="Q23">
        <v>900</v>
      </c>
      <c r="R23" t="s">
        <v>1716</v>
      </c>
    </row>
    <row r="24" spans="1:18" x14ac:dyDescent="0.25">
      <c r="A24">
        <v>1876</v>
      </c>
      <c r="B24" t="s">
        <v>457</v>
      </c>
      <c r="C24" t="s">
        <v>344</v>
      </c>
      <c r="D24" t="str">
        <f t="shared" si="0"/>
        <v>Tucker Patrick</v>
      </c>
      <c r="E24" t="s">
        <v>1207</v>
      </c>
      <c r="F24" s="1">
        <v>45298</v>
      </c>
      <c r="G24" s="32" t="str">
        <f t="shared" si="1"/>
        <v>Jan</v>
      </c>
      <c r="H24">
        <v>2</v>
      </c>
      <c r="I24" t="str">
        <f t="shared" si="2"/>
        <v>Silver</v>
      </c>
      <c r="J24" t="s">
        <v>1242</v>
      </c>
      <c r="K24" s="17">
        <v>7676</v>
      </c>
      <c r="L24" s="17" t="s">
        <v>1233</v>
      </c>
      <c r="M24" t="s">
        <v>2255</v>
      </c>
      <c r="N24" t="s">
        <v>1234</v>
      </c>
      <c r="O24">
        <v>800</v>
      </c>
      <c r="P24">
        <v>250</v>
      </c>
      <c r="Q24">
        <v>500</v>
      </c>
      <c r="R24" t="s">
        <v>1893</v>
      </c>
    </row>
    <row r="25" spans="1:18" x14ac:dyDescent="0.25">
      <c r="A25">
        <v>1897</v>
      </c>
      <c r="B25" t="s">
        <v>482</v>
      </c>
      <c r="C25" t="s">
        <v>816</v>
      </c>
      <c r="D25" t="str">
        <f t="shared" si="0"/>
        <v>Carson Sullivan</v>
      </c>
      <c r="E25" t="s">
        <v>1249</v>
      </c>
      <c r="F25" s="1">
        <v>45299</v>
      </c>
      <c r="G25" s="32" t="str">
        <f t="shared" si="1"/>
        <v>Jan</v>
      </c>
      <c r="H25">
        <v>3</v>
      </c>
      <c r="I25" t="str">
        <f t="shared" si="2"/>
        <v>Gold</v>
      </c>
      <c r="J25" t="s">
        <v>18</v>
      </c>
      <c r="K25" s="17">
        <v>93002</v>
      </c>
      <c r="L25" s="17" t="s">
        <v>1214</v>
      </c>
      <c r="M25" t="s">
        <v>2254</v>
      </c>
      <c r="N25" t="s">
        <v>1227</v>
      </c>
      <c r="O25">
        <v>6160</v>
      </c>
      <c r="P25">
        <v>1200</v>
      </c>
      <c r="Q25">
        <v>3600</v>
      </c>
      <c r="R25" t="s">
        <v>1914</v>
      </c>
    </row>
    <row r="26" spans="1:18" x14ac:dyDescent="0.25">
      <c r="A26">
        <v>2059</v>
      </c>
      <c r="B26" t="s">
        <v>854</v>
      </c>
      <c r="C26" t="s">
        <v>1064</v>
      </c>
      <c r="D26" t="str">
        <f t="shared" si="0"/>
        <v>Kerr Adelaide</v>
      </c>
      <c r="E26" t="s">
        <v>1207</v>
      </c>
      <c r="F26" s="1">
        <v>45299</v>
      </c>
      <c r="G26" s="32" t="str">
        <f t="shared" si="1"/>
        <v>Jan</v>
      </c>
      <c r="H26">
        <v>2</v>
      </c>
      <c r="I26" t="str">
        <f t="shared" si="2"/>
        <v>Silver</v>
      </c>
      <c r="J26" t="s">
        <v>14</v>
      </c>
      <c r="K26" s="17">
        <v>11180</v>
      </c>
      <c r="L26" s="17" t="s">
        <v>1218</v>
      </c>
      <c r="M26" t="s">
        <v>2252</v>
      </c>
      <c r="N26" t="s">
        <v>1235</v>
      </c>
      <c r="O26">
        <v>2500</v>
      </c>
      <c r="P26">
        <v>250</v>
      </c>
      <c r="Q26">
        <v>500</v>
      </c>
      <c r="R26" t="s">
        <v>2076</v>
      </c>
    </row>
    <row r="27" spans="1:18" x14ac:dyDescent="0.25">
      <c r="A27">
        <v>1704</v>
      </c>
      <c r="B27" t="s">
        <v>730</v>
      </c>
      <c r="C27" t="s">
        <v>716</v>
      </c>
      <c r="D27" t="str">
        <f t="shared" si="0"/>
        <v>Brewer Aubrey</v>
      </c>
      <c r="E27" t="s">
        <v>1207</v>
      </c>
      <c r="F27" s="1">
        <v>45300</v>
      </c>
      <c r="G27" s="32" t="str">
        <f t="shared" si="1"/>
        <v>Jan</v>
      </c>
      <c r="H27">
        <v>1</v>
      </c>
      <c r="I27" t="str">
        <f t="shared" si="2"/>
        <v>Bronze</v>
      </c>
      <c r="J27" t="s">
        <v>18</v>
      </c>
      <c r="K27" s="17">
        <v>75427</v>
      </c>
      <c r="L27" s="17" t="s">
        <v>1218</v>
      </c>
      <c r="M27" t="s">
        <v>2255</v>
      </c>
      <c r="N27" t="s">
        <v>1235</v>
      </c>
      <c r="O27">
        <v>2500</v>
      </c>
      <c r="P27">
        <v>250</v>
      </c>
      <c r="Q27">
        <v>250</v>
      </c>
      <c r="R27" t="s">
        <v>1721</v>
      </c>
    </row>
    <row r="28" spans="1:18" x14ac:dyDescent="0.25">
      <c r="A28">
        <v>1731</v>
      </c>
      <c r="B28" t="s">
        <v>627</v>
      </c>
      <c r="C28" t="s">
        <v>758</v>
      </c>
      <c r="D28" t="str">
        <f t="shared" si="0"/>
        <v>Burgess Dominic</v>
      </c>
      <c r="E28" t="s">
        <v>1249</v>
      </c>
      <c r="F28" s="1">
        <v>45300</v>
      </c>
      <c r="G28" s="32" t="str">
        <f t="shared" si="1"/>
        <v>Jan</v>
      </c>
      <c r="H28">
        <v>1</v>
      </c>
      <c r="I28" t="str">
        <f t="shared" si="2"/>
        <v>Bronze</v>
      </c>
      <c r="J28" t="s">
        <v>14</v>
      </c>
      <c r="K28" s="17">
        <v>92618</v>
      </c>
      <c r="L28" s="17" t="s">
        <v>1228</v>
      </c>
      <c r="M28" t="s">
        <v>2253</v>
      </c>
      <c r="N28" t="s">
        <v>1229</v>
      </c>
      <c r="O28">
        <v>7250</v>
      </c>
      <c r="P28">
        <v>1200</v>
      </c>
      <c r="Q28">
        <v>1200</v>
      </c>
      <c r="R28" t="s">
        <v>1748</v>
      </c>
    </row>
    <row r="29" spans="1:18" x14ac:dyDescent="0.25">
      <c r="A29">
        <v>2041</v>
      </c>
      <c r="B29" t="s">
        <v>1045</v>
      </c>
      <c r="C29" t="s">
        <v>1046</v>
      </c>
      <c r="D29" t="str">
        <f t="shared" si="0"/>
        <v>Dominguez Justin</v>
      </c>
      <c r="E29" t="s">
        <v>1208</v>
      </c>
      <c r="F29" s="1">
        <v>45300</v>
      </c>
      <c r="G29" s="32" t="str">
        <f t="shared" si="1"/>
        <v>Jan</v>
      </c>
      <c r="H29">
        <v>1</v>
      </c>
      <c r="I29" t="str">
        <f t="shared" si="2"/>
        <v>Bronze</v>
      </c>
      <c r="J29" t="s">
        <v>14</v>
      </c>
      <c r="K29" s="17">
        <v>24147</v>
      </c>
      <c r="L29" s="17" t="s">
        <v>1224</v>
      </c>
      <c r="M29" t="s">
        <v>2255</v>
      </c>
      <c r="N29" t="s">
        <v>1225</v>
      </c>
      <c r="O29">
        <v>5290</v>
      </c>
      <c r="P29">
        <v>800</v>
      </c>
      <c r="Q29">
        <v>800</v>
      </c>
      <c r="R29" t="s">
        <v>2058</v>
      </c>
    </row>
    <row r="30" spans="1:18" x14ac:dyDescent="0.25">
      <c r="A30">
        <v>2231</v>
      </c>
      <c r="B30" t="s">
        <v>1199</v>
      </c>
      <c r="C30" t="s">
        <v>993</v>
      </c>
      <c r="D30" t="str">
        <f t="shared" si="0"/>
        <v>Compton Dallas</v>
      </c>
      <c r="E30" t="s">
        <v>1207</v>
      </c>
      <c r="F30" s="1">
        <v>45300</v>
      </c>
      <c r="G30" s="32" t="str">
        <f t="shared" si="1"/>
        <v>Jan</v>
      </c>
      <c r="H30">
        <v>1</v>
      </c>
      <c r="I30" t="str">
        <f t="shared" si="2"/>
        <v>Bronze</v>
      </c>
      <c r="J30" t="s">
        <v>14</v>
      </c>
      <c r="K30" s="17">
        <v>1339</v>
      </c>
      <c r="L30" s="17" t="s">
        <v>1224</v>
      </c>
      <c r="M30" t="s">
        <v>2255</v>
      </c>
      <c r="N30" t="s">
        <v>1225</v>
      </c>
      <c r="O30">
        <v>5290</v>
      </c>
      <c r="P30">
        <v>250</v>
      </c>
      <c r="Q30">
        <v>250</v>
      </c>
      <c r="R30" t="s">
        <v>2249</v>
      </c>
    </row>
    <row r="31" spans="1:18" x14ac:dyDescent="0.25">
      <c r="A31">
        <v>1260</v>
      </c>
      <c r="B31" t="s">
        <v>78</v>
      </c>
      <c r="C31" t="s">
        <v>79</v>
      </c>
      <c r="D31" t="str">
        <f t="shared" si="0"/>
        <v>Thompson Kane</v>
      </c>
      <c r="E31" t="s">
        <v>1249</v>
      </c>
      <c r="F31" s="1">
        <v>45301</v>
      </c>
      <c r="G31" s="32" t="str">
        <f t="shared" si="1"/>
        <v>Jan</v>
      </c>
      <c r="H31">
        <v>3</v>
      </c>
      <c r="I31" t="str">
        <f t="shared" si="2"/>
        <v>Gold</v>
      </c>
      <c r="J31" t="s">
        <v>14</v>
      </c>
      <c r="K31" s="17">
        <v>91039</v>
      </c>
      <c r="L31" s="17" t="s">
        <v>1222</v>
      </c>
      <c r="M31" t="s">
        <v>2254</v>
      </c>
      <c r="N31" t="s">
        <v>1237</v>
      </c>
      <c r="O31">
        <v>4000</v>
      </c>
      <c r="P31">
        <v>1200</v>
      </c>
      <c r="Q31">
        <v>3600</v>
      </c>
      <c r="R31" t="s">
        <v>1276</v>
      </c>
    </row>
    <row r="32" spans="1:18" x14ac:dyDescent="0.25">
      <c r="A32">
        <v>1554</v>
      </c>
      <c r="B32" t="s">
        <v>214</v>
      </c>
      <c r="C32" t="s">
        <v>542</v>
      </c>
      <c r="D32" t="str">
        <f t="shared" si="0"/>
        <v>Singh Paxton</v>
      </c>
      <c r="E32" t="s">
        <v>1207</v>
      </c>
      <c r="F32" s="1">
        <v>45301</v>
      </c>
      <c r="G32" s="32" t="str">
        <f t="shared" si="1"/>
        <v>Jan</v>
      </c>
      <c r="H32">
        <v>1</v>
      </c>
      <c r="I32" t="str">
        <f t="shared" si="2"/>
        <v>Bronze</v>
      </c>
      <c r="J32" t="s">
        <v>14</v>
      </c>
      <c r="K32" s="17">
        <v>71340</v>
      </c>
      <c r="L32" s="17" t="s">
        <v>1222</v>
      </c>
      <c r="M32" t="s">
        <v>2255</v>
      </c>
      <c r="N32" t="s">
        <v>1231</v>
      </c>
      <c r="O32">
        <v>4870</v>
      </c>
      <c r="P32">
        <v>250</v>
      </c>
      <c r="Q32">
        <v>250</v>
      </c>
      <c r="R32" t="s">
        <v>1570</v>
      </c>
    </row>
    <row r="33" spans="1:18" x14ac:dyDescent="0.25">
      <c r="A33">
        <v>1972</v>
      </c>
      <c r="B33" t="s">
        <v>782</v>
      </c>
      <c r="C33" t="s">
        <v>589</v>
      </c>
      <c r="D33" t="str">
        <f t="shared" si="0"/>
        <v>Frederick Oakley</v>
      </c>
      <c r="E33" t="s">
        <v>1248</v>
      </c>
      <c r="F33" s="1">
        <v>45303</v>
      </c>
      <c r="G33" s="32" t="str">
        <f t="shared" si="1"/>
        <v>Jan</v>
      </c>
      <c r="H33">
        <v>2</v>
      </c>
      <c r="I33" t="str">
        <f t="shared" si="2"/>
        <v>Silver</v>
      </c>
      <c r="J33" t="s">
        <v>14</v>
      </c>
      <c r="K33" s="17">
        <v>55442</v>
      </c>
      <c r="L33" s="17" t="s">
        <v>1228</v>
      </c>
      <c r="M33" t="s">
        <v>2253</v>
      </c>
      <c r="N33" t="s">
        <v>1230</v>
      </c>
      <c r="O33">
        <v>7000</v>
      </c>
      <c r="P33">
        <v>300</v>
      </c>
      <c r="Q33">
        <v>600</v>
      </c>
      <c r="R33" t="s">
        <v>1989</v>
      </c>
    </row>
    <row r="34" spans="1:18" x14ac:dyDescent="0.25">
      <c r="A34">
        <v>1348</v>
      </c>
      <c r="B34" t="s">
        <v>195</v>
      </c>
      <c r="C34" t="s">
        <v>236</v>
      </c>
      <c r="D34" t="str">
        <f t="shared" si="0"/>
        <v>Gallagher Kate</v>
      </c>
      <c r="E34" t="s">
        <v>1208</v>
      </c>
      <c r="F34" s="1">
        <v>45305</v>
      </c>
      <c r="G34" s="32" t="str">
        <f t="shared" si="1"/>
        <v>Jan</v>
      </c>
      <c r="H34">
        <v>1</v>
      </c>
      <c r="I34" t="str">
        <f t="shared" si="2"/>
        <v>Bronze</v>
      </c>
      <c r="J34" t="s">
        <v>1242</v>
      </c>
      <c r="K34" s="17">
        <v>70259</v>
      </c>
      <c r="L34" s="17" t="s">
        <v>1224</v>
      </c>
      <c r="M34" t="s">
        <v>2252</v>
      </c>
      <c r="N34" t="s">
        <v>1064</v>
      </c>
      <c r="O34">
        <v>5000</v>
      </c>
      <c r="P34">
        <v>800</v>
      </c>
      <c r="Q34">
        <v>800</v>
      </c>
      <c r="R34" t="s">
        <v>1364</v>
      </c>
    </row>
    <row r="35" spans="1:18" x14ac:dyDescent="0.25">
      <c r="A35">
        <v>2209</v>
      </c>
      <c r="B35" t="s">
        <v>439</v>
      </c>
      <c r="C35" t="s">
        <v>1185</v>
      </c>
      <c r="D35" t="str">
        <f t="shared" si="0"/>
        <v>Sexton Stella</v>
      </c>
      <c r="E35" t="s">
        <v>1207</v>
      </c>
      <c r="F35" s="1">
        <v>45305</v>
      </c>
      <c r="G35" s="32" t="str">
        <f t="shared" si="1"/>
        <v>Jan</v>
      </c>
      <c r="H35">
        <v>3</v>
      </c>
      <c r="I35" t="str">
        <f t="shared" si="2"/>
        <v>Gold</v>
      </c>
      <c r="J35" t="s">
        <v>14</v>
      </c>
      <c r="K35" s="17">
        <v>35914</v>
      </c>
      <c r="L35" s="17" t="s">
        <v>1218</v>
      </c>
      <c r="M35" t="s">
        <v>2255</v>
      </c>
      <c r="N35" t="s">
        <v>836</v>
      </c>
      <c r="O35">
        <v>2000</v>
      </c>
      <c r="P35">
        <v>250</v>
      </c>
      <c r="Q35">
        <v>750</v>
      </c>
      <c r="R35" t="s">
        <v>2227</v>
      </c>
    </row>
    <row r="36" spans="1:18" x14ac:dyDescent="0.25">
      <c r="A36">
        <v>1493</v>
      </c>
      <c r="B36" t="s">
        <v>467</v>
      </c>
      <c r="C36" t="s">
        <v>183</v>
      </c>
      <c r="D36" t="str">
        <f t="shared" si="0"/>
        <v>Dorsey Callen</v>
      </c>
      <c r="E36" t="s">
        <v>1249</v>
      </c>
      <c r="F36" s="1">
        <v>45306</v>
      </c>
      <c r="G36" s="32" t="str">
        <f t="shared" si="1"/>
        <v>Jan</v>
      </c>
      <c r="H36">
        <v>3</v>
      </c>
      <c r="I36" t="str">
        <f t="shared" si="2"/>
        <v>Gold</v>
      </c>
      <c r="J36" t="s">
        <v>14</v>
      </c>
      <c r="K36" s="17">
        <v>57226</v>
      </c>
      <c r="L36" s="17" t="s">
        <v>1220</v>
      </c>
      <c r="M36" t="s">
        <v>2252</v>
      </c>
      <c r="N36" t="s">
        <v>1226</v>
      </c>
      <c r="O36">
        <v>3220</v>
      </c>
      <c r="P36">
        <v>1200</v>
      </c>
      <c r="Q36">
        <v>3600</v>
      </c>
      <c r="R36" t="s">
        <v>1509</v>
      </c>
    </row>
    <row r="37" spans="1:18" x14ac:dyDescent="0.25">
      <c r="A37">
        <v>1557</v>
      </c>
      <c r="B37" t="s">
        <v>547</v>
      </c>
      <c r="C37" t="s">
        <v>548</v>
      </c>
      <c r="D37" t="str">
        <f t="shared" si="0"/>
        <v>Mathews Kendall</v>
      </c>
      <c r="E37" t="s">
        <v>1249</v>
      </c>
      <c r="F37" s="1">
        <v>45306</v>
      </c>
      <c r="G37" s="32" t="str">
        <f t="shared" si="1"/>
        <v>Jan</v>
      </c>
      <c r="H37">
        <v>3</v>
      </c>
      <c r="I37" t="str">
        <f t="shared" si="2"/>
        <v>Gold</v>
      </c>
      <c r="J37" t="s">
        <v>1243</v>
      </c>
      <c r="K37" s="17">
        <v>59008</v>
      </c>
      <c r="L37" s="17" t="s">
        <v>1224</v>
      </c>
      <c r="M37" t="s">
        <v>2253</v>
      </c>
      <c r="N37" t="s">
        <v>1225</v>
      </c>
      <c r="O37">
        <v>5290</v>
      </c>
      <c r="P37">
        <v>1200</v>
      </c>
      <c r="Q37">
        <v>3600</v>
      </c>
      <c r="R37" t="s">
        <v>1573</v>
      </c>
    </row>
    <row r="38" spans="1:18" x14ac:dyDescent="0.25">
      <c r="A38">
        <v>1862</v>
      </c>
      <c r="B38" t="s">
        <v>891</v>
      </c>
      <c r="C38" t="s">
        <v>816</v>
      </c>
      <c r="D38" t="str">
        <f t="shared" si="0"/>
        <v>Adkins Sullivan</v>
      </c>
      <c r="E38" t="s">
        <v>1249</v>
      </c>
      <c r="F38" s="1">
        <v>45306</v>
      </c>
      <c r="G38" s="32" t="str">
        <f t="shared" si="1"/>
        <v>Jan</v>
      </c>
      <c r="H38">
        <v>3</v>
      </c>
      <c r="I38" t="str">
        <f t="shared" si="2"/>
        <v>Gold</v>
      </c>
      <c r="J38" t="s">
        <v>14</v>
      </c>
      <c r="K38" s="17">
        <v>85495</v>
      </c>
      <c r="L38" s="17" t="s">
        <v>1218</v>
      </c>
      <c r="M38" t="s">
        <v>2255</v>
      </c>
      <c r="N38" t="s">
        <v>1219</v>
      </c>
      <c r="O38">
        <v>2300</v>
      </c>
      <c r="P38">
        <v>1200</v>
      </c>
      <c r="Q38">
        <v>3600</v>
      </c>
      <c r="R38" t="s">
        <v>1879</v>
      </c>
    </row>
    <row r="39" spans="1:18" x14ac:dyDescent="0.25">
      <c r="A39">
        <v>1509</v>
      </c>
      <c r="B39" t="s">
        <v>487</v>
      </c>
      <c r="C39" t="s">
        <v>47</v>
      </c>
      <c r="D39" t="str">
        <f t="shared" si="0"/>
        <v>Harding Walter</v>
      </c>
      <c r="E39" t="s">
        <v>1208</v>
      </c>
      <c r="F39" s="1">
        <v>45307</v>
      </c>
      <c r="G39" s="32" t="str">
        <f t="shared" si="1"/>
        <v>Jan</v>
      </c>
      <c r="H39">
        <v>3</v>
      </c>
      <c r="I39" t="str">
        <f t="shared" si="2"/>
        <v>Gold</v>
      </c>
      <c r="J39" t="s">
        <v>14</v>
      </c>
      <c r="K39" s="17">
        <v>99787</v>
      </c>
      <c r="L39" s="17" t="s">
        <v>1214</v>
      </c>
      <c r="M39" t="s">
        <v>2252</v>
      </c>
      <c r="N39" t="s">
        <v>1227</v>
      </c>
      <c r="O39">
        <v>6160</v>
      </c>
      <c r="P39">
        <v>800</v>
      </c>
      <c r="Q39">
        <v>2400</v>
      </c>
      <c r="R39" t="s">
        <v>1525</v>
      </c>
    </row>
    <row r="40" spans="1:18" x14ac:dyDescent="0.25">
      <c r="A40">
        <v>1887</v>
      </c>
      <c r="B40" t="s">
        <v>916</v>
      </c>
      <c r="C40" t="s">
        <v>917</v>
      </c>
      <c r="D40" t="str">
        <f t="shared" si="0"/>
        <v>Matthews Stetson</v>
      </c>
      <c r="E40" t="s">
        <v>1208</v>
      </c>
      <c r="F40" s="1">
        <v>45307</v>
      </c>
      <c r="G40" s="32" t="str">
        <f t="shared" si="1"/>
        <v>Jan</v>
      </c>
      <c r="H40">
        <v>3</v>
      </c>
      <c r="I40" t="str">
        <f t="shared" si="2"/>
        <v>Gold</v>
      </c>
      <c r="J40" t="s">
        <v>14</v>
      </c>
      <c r="K40" s="17">
        <v>9406</v>
      </c>
      <c r="L40" s="17" t="s">
        <v>1228</v>
      </c>
      <c r="M40" t="s">
        <v>2256</v>
      </c>
      <c r="N40" t="s">
        <v>1229</v>
      </c>
      <c r="O40">
        <v>7250</v>
      </c>
      <c r="P40">
        <v>800</v>
      </c>
      <c r="Q40">
        <v>2400</v>
      </c>
      <c r="R40" t="s">
        <v>1904</v>
      </c>
    </row>
    <row r="41" spans="1:18" x14ac:dyDescent="0.25">
      <c r="A41">
        <v>2213</v>
      </c>
      <c r="B41" t="s">
        <v>1186</v>
      </c>
      <c r="C41" t="s">
        <v>405</v>
      </c>
      <c r="D41" t="str">
        <f t="shared" si="0"/>
        <v>Armstrong King</v>
      </c>
      <c r="E41" t="s">
        <v>1249</v>
      </c>
      <c r="F41" s="1">
        <v>45307</v>
      </c>
      <c r="G41" s="32" t="str">
        <f t="shared" si="1"/>
        <v>Jan</v>
      </c>
      <c r="H41">
        <v>2</v>
      </c>
      <c r="I41" t="str">
        <f t="shared" si="2"/>
        <v>Silver</v>
      </c>
      <c r="J41" t="s">
        <v>18</v>
      </c>
      <c r="K41" s="17">
        <v>81100</v>
      </c>
      <c r="L41" s="17" t="s">
        <v>1233</v>
      </c>
      <c r="M41" t="s">
        <v>2253</v>
      </c>
      <c r="N41" t="s">
        <v>1234</v>
      </c>
      <c r="O41">
        <v>800</v>
      </c>
      <c r="P41">
        <v>1200</v>
      </c>
      <c r="Q41">
        <v>2400</v>
      </c>
      <c r="R41" t="s">
        <v>2231</v>
      </c>
    </row>
    <row r="42" spans="1:18" x14ac:dyDescent="0.25">
      <c r="A42">
        <v>1253</v>
      </c>
      <c r="B42" t="s">
        <v>64</v>
      </c>
      <c r="C42" t="s">
        <v>65</v>
      </c>
      <c r="D42" t="str">
        <f t="shared" si="0"/>
        <v>Landry Edward</v>
      </c>
      <c r="E42" t="s">
        <v>1208</v>
      </c>
      <c r="F42" s="1">
        <v>45308</v>
      </c>
      <c r="G42" s="32" t="str">
        <f t="shared" si="1"/>
        <v>Jan</v>
      </c>
      <c r="H42">
        <v>3</v>
      </c>
      <c r="I42" t="str">
        <f t="shared" si="2"/>
        <v>Gold</v>
      </c>
      <c r="J42" t="s">
        <v>14</v>
      </c>
      <c r="K42" s="17">
        <v>50269</v>
      </c>
      <c r="L42" s="17" t="s">
        <v>1224</v>
      </c>
      <c r="M42" t="s">
        <v>2255</v>
      </c>
      <c r="N42" t="s">
        <v>1064</v>
      </c>
      <c r="O42">
        <v>5000</v>
      </c>
      <c r="P42">
        <v>800</v>
      </c>
      <c r="Q42">
        <v>2400</v>
      </c>
      <c r="R42" t="s">
        <v>1269</v>
      </c>
    </row>
    <row r="43" spans="1:18" x14ac:dyDescent="0.25">
      <c r="A43">
        <v>2080</v>
      </c>
      <c r="B43" t="s">
        <v>457</v>
      </c>
      <c r="C43" t="s">
        <v>1082</v>
      </c>
      <c r="D43" t="str">
        <f t="shared" si="0"/>
        <v>Tucker Jaylen</v>
      </c>
      <c r="E43" t="s">
        <v>1248</v>
      </c>
      <c r="F43" s="1">
        <v>45308</v>
      </c>
      <c r="G43" s="32" t="str">
        <f t="shared" si="1"/>
        <v>Jan</v>
      </c>
      <c r="H43">
        <v>3</v>
      </c>
      <c r="I43" t="str">
        <f t="shared" si="2"/>
        <v>Gold</v>
      </c>
      <c r="J43" t="s">
        <v>1242</v>
      </c>
      <c r="K43" s="17">
        <v>38755</v>
      </c>
      <c r="L43" s="17" t="s">
        <v>1220</v>
      </c>
      <c r="M43" t="s">
        <v>2252</v>
      </c>
      <c r="N43" t="s">
        <v>1226</v>
      </c>
      <c r="O43">
        <v>3220</v>
      </c>
      <c r="P43">
        <v>300</v>
      </c>
      <c r="Q43">
        <v>900</v>
      </c>
      <c r="R43" t="s">
        <v>2097</v>
      </c>
    </row>
    <row r="44" spans="1:18" x14ac:dyDescent="0.25">
      <c r="A44">
        <v>1380</v>
      </c>
      <c r="B44" t="s">
        <v>47</v>
      </c>
      <c r="C44" t="s">
        <v>292</v>
      </c>
      <c r="D44" t="str">
        <f t="shared" si="0"/>
        <v>Walter Callie</v>
      </c>
      <c r="E44" t="s">
        <v>1205</v>
      </c>
      <c r="F44" s="1">
        <v>45309</v>
      </c>
      <c r="G44" s="32" t="str">
        <f t="shared" si="1"/>
        <v>Jan</v>
      </c>
      <c r="H44">
        <v>3</v>
      </c>
      <c r="I44" t="str">
        <f t="shared" si="2"/>
        <v>Gold</v>
      </c>
      <c r="J44" t="s">
        <v>1242</v>
      </c>
      <c r="K44" s="17">
        <v>40071</v>
      </c>
      <c r="L44" s="17" t="s">
        <v>1220</v>
      </c>
      <c r="M44" t="s">
        <v>2253</v>
      </c>
      <c r="N44" t="s">
        <v>1221</v>
      </c>
      <c r="O44">
        <v>3350</v>
      </c>
      <c r="P44">
        <v>250</v>
      </c>
      <c r="Q44">
        <v>750</v>
      </c>
      <c r="R44" t="s">
        <v>1396</v>
      </c>
    </row>
    <row r="45" spans="1:18" x14ac:dyDescent="0.25">
      <c r="A45">
        <v>1365</v>
      </c>
      <c r="B45" t="s">
        <v>265</v>
      </c>
      <c r="C45" t="s">
        <v>266</v>
      </c>
      <c r="D45" t="str">
        <f t="shared" si="0"/>
        <v>Kirby Malik</v>
      </c>
      <c r="E45" t="s">
        <v>1248</v>
      </c>
      <c r="F45" s="1">
        <v>45310</v>
      </c>
      <c r="G45" s="32" t="str">
        <f t="shared" si="1"/>
        <v>Jan</v>
      </c>
      <c r="H45">
        <v>3</v>
      </c>
      <c r="I45" t="str">
        <f t="shared" si="2"/>
        <v>Gold</v>
      </c>
      <c r="J45" t="s">
        <v>1242</v>
      </c>
      <c r="K45" s="17">
        <v>9218</v>
      </c>
      <c r="L45" s="17" t="s">
        <v>1216</v>
      </c>
      <c r="M45" t="s">
        <v>2255</v>
      </c>
      <c r="N45" t="s">
        <v>1217</v>
      </c>
      <c r="O45">
        <v>2600</v>
      </c>
      <c r="P45">
        <v>300</v>
      </c>
      <c r="Q45">
        <v>900</v>
      </c>
      <c r="R45" t="s">
        <v>1381</v>
      </c>
    </row>
    <row r="46" spans="1:18" x14ac:dyDescent="0.25">
      <c r="A46">
        <v>1389</v>
      </c>
      <c r="B46" t="s">
        <v>305</v>
      </c>
      <c r="C46" t="s">
        <v>306</v>
      </c>
      <c r="D46" t="str">
        <f t="shared" si="0"/>
        <v>Espinosa Myla</v>
      </c>
      <c r="E46" t="s">
        <v>1203</v>
      </c>
      <c r="F46" s="1">
        <v>45310</v>
      </c>
      <c r="G46" s="32" t="str">
        <f t="shared" si="1"/>
        <v>Jan</v>
      </c>
      <c r="H46">
        <v>2</v>
      </c>
      <c r="I46" t="str">
        <f t="shared" si="2"/>
        <v>Silver</v>
      </c>
      <c r="J46" t="s">
        <v>1242</v>
      </c>
      <c r="K46" s="17">
        <v>84382</v>
      </c>
      <c r="L46" s="17" t="s">
        <v>1214</v>
      </c>
      <c r="M46" t="s">
        <v>2253</v>
      </c>
      <c r="N46" t="s">
        <v>1236</v>
      </c>
      <c r="O46">
        <v>6000</v>
      </c>
      <c r="P46">
        <v>600</v>
      </c>
      <c r="Q46">
        <v>1200</v>
      </c>
      <c r="R46" t="s">
        <v>1405</v>
      </c>
    </row>
    <row r="47" spans="1:18" x14ac:dyDescent="0.25">
      <c r="A47">
        <v>1524</v>
      </c>
      <c r="B47" t="s">
        <v>506</v>
      </c>
      <c r="C47" t="s">
        <v>499</v>
      </c>
      <c r="D47" t="str">
        <f t="shared" si="0"/>
        <v>Black Kimberly</v>
      </c>
      <c r="E47" t="s">
        <v>1205</v>
      </c>
      <c r="F47" s="1">
        <v>45310</v>
      </c>
      <c r="G47" s="32" t="str">
        <f t="shared" si="1"/>
        <v>Jan</v>
      </c>
      <c r="H47">
        <v>1</v>
      </c>
      <c r="I47" t="str">
        <f t="shared" si="2"/>
        <v>Bronze</v>
      </c>
      <c r="J47" t="s">
        <v>14</v>
      </c>
      <c r="K47" s="17">
        <v>36432</v>
      </c>
      <c r="L47" s="17" t="s">
        <v>1233</v>
      </c>
      <c r="M47" t="s">
        <v>2252</v>
      </c>
      <c r="N47" t="s">
        <v>1234</v>
      </c>
      <c r="O47">
        <v>800</v>
      </c>
      <c r="P47">
        <v>250</v>
      </c>
      <c r="Q47">
        <v>250</v>
      </c>
      <c r="R47" t="s">
        <v>1540</v>
      </c>
    </row>
    <row r="48" spans="1:18" x14ac:dyDescent="0.25">
      <c r="A48">
        <v>1743</v>
      </c>
      <c r="B48" t="s">
        <v>167</v>
      </c>
      <c r="C48" t="s">
        <v>769</v>
      </c>
      <c r="D48" t="str">
        <f t="shared" si="0"/>
        <v>Wong Zyaire</v>
      </c>
      <c r="E48" t="s">
        <v>1205</v>
      </c>
      <c r="F48" s="1">
        <v>45311</v>
      </c>
      <c r="G48" s="32" t="str">
        <f t="shared" si="1"/>
        <v>Jan</v>
      </c>
      <c r="H48">
        <v>2</v>
      </c>
      <c r="I48" t="str">
        <f t="shared" si="2"/>
        <v>Silver</v>
      </c>
      <c r="J48" t="s">
        <v>1242</v>
      </c>
      <c r="K48" s="17">
        <v>50650</v>
      </c>
      <c r="L48" s="17" t="s">
        <v>1224</v>
      </c>
      <c r="M48" t="s">
        <v>2255</v>
      </c>
      <c r="N48" t="s">
        <v>1225</v>
      </c>
      <c r="O48">
        <v>5290</v>
      </c>
      <c r="P48">
        <v>250</v>
      </c>
      <c r="Q48">
        <v>500</v>
      </c>
      <c r="R48" t="s">
        <v>1760</v>
      </c>
    </row>
    <row r="49" spans="1:18" x14ac:dyDescent="0.25">
      <c r="A49">
        <v>1896</v>
      </c>
      <c r="B49" t="s">
        <v>928</v>
      </c>
      <c r="C49" t="s">
        <v>929</v>
      </c>
      <c r="D49" t="str">
        <f t="shared" si="0"/>
        <v>Barnes Naomi</v>
      </c>
      <c r="E49" t="s">
        <v>1207</v>
      </c>
      <c r="F49" s="1">
        <v>45311</v>
      </c>
      <c r="G49" s="32" t="str">
        <f t="shared" si="1"/>
        <v>Jan</v>
      </c>
      <c r="H49">
        <v>2</v>
      </c>
      <c r="I49" t="str">
        <f t="shared" si="2"/>
        <v>Silver</v>
      </c>
      <c r="J49" t="s">
        <v>1242</v>
      </c>
      <c r="K49" s="17">
        <v>28524</v>
      </c>
      <c r="L49" s="17" t="s">
        <v>1220</v>
      </c>
      <c r="M49" t="s">
        <v>2252</v>
      </c>
      <c r="N49" t="s">
        <v>1232</v>
      </c>
      <c r="O49">
        <v>3000</v>
      </c>
      <c r="P49">
        <v>250</v>
      </c>
      <c r="Q49">
        <v>500</v>
      </c>
      <c r="R49" t="s">
        <v>1913</v>
      </c>
    </row>
    <row r="50" spans="1:18" x14ac:dyDescent="0.25">
      <c r="A50">
        <v>2092</v>
      </c>
      <c r="B50" t="s">
        <v>1094</v>
      </c>
      <c r="C50" t="s">
        <v>1095</v>
      </c>
      <c r="D50" t="str">
        <f t="shared" si="0"/>
        <v>Mayo Octavia</v>
      </c>
      <c r="E50" t="s">
        <v>1205</v>
      </c>
      <c r="F50" s="1">
        <v>45312</v>
      </c>
      <c r="G50" s="32" t="str">
        <f t="shared" si="1"/>
        <v>Jan</v>
      </c>
      <c r="H50">
        <v>2</v>
      </c>
      <c r="I50" t="str">
        <f t="shared" si="2"/>
        <v>Silver</v>
      </c>
      <c r="J50" t="s">
        <v>14</v>
      </c>
      <c r="K50" s="17">
        <v>12774</v>
      </c>
      <c r="L50" s="17" t="s">
        <v>1216</v>
      </c>
      <c r="M50" t="s">
        <v>2256</v>
      </c>
      <c r="N50" t="s">
        <v>1217</v>
      </c>
      <c r="O50">
        <v>2600</v>
      </c>
      <c r="P50">
        <v>250</v>
      </c>
      <c r="Q50">
        <v>500</v>
      </c>
      <c r="R50" t="s">
        <v>2110</v>
      </c>
    </row>
    <row r="51" spans="1:18" x14ac:dyDescent="0.25">
      <c r="A51">
        <v>1298</v>
      </c>
      <c r="B51" t="s">
        <v>149</v>
      </c>
      <c r="C51" t="s">
        <v>150</v>
      </c>
      <c r="D51" t="str">
        <f t="shared" si="0"/>
        <v>Fleming Kayden</v>
      </c>
      <c r="E51" t="s">
        <v>1249</v>
      </c>
      <c r="F51" s="1">
        <v>45313</v>
      </c>
      <c r="G51" s="32" t="str">
        <f t="shared" si="1"/>
        <v>Jan</v>
      </c>
      <c r="H51">
        <v>3</v>
      </c>
      <c r="I51" t="str">
        <f t="shared" si="2"/>
        <v>Gold</v>
      </c>
      <c r="J51" t="s">
        <v>1242</v>
      </c>
      <c r="K51" s="17">
        <v>23176</v>
      </c>
      <c r="L51" s="17" t="s">
        <v>1228</v>
      </c>
      <c r="M51" t="s">
        <v>2254</v>
      </c>
      <c r="N51" t="s">
        <v>1229</v>
      </c>
      <c r="O51">
        <v>7250</v>
      </c>
      <c r="P51">
        <v>1200</v>
      </c>
      <c r="Q51">
        <v>3600</v>
      </c>
      <c r="R51" t="s">
        <v>1314</v>
      </c>
    </row>
    <row r="52" spans="1:18" x14ac:dyDescent="0.25">
      <c r="A52">
        <v>1307</v>
      </c>
      <c r="B52" t="s">
        <v>165</v>
      </c>
      <c r="C52" t="s">
        <v>166</v>
      </c>
      <c r="D52" t="str">
        <f t="shared" si="0"/>
        <v>Fox Kamari</v>
      </c>
      <c r="E52" t="s">
        <v>1205</v>
      </c>
      <c r="F52" s="1">
        <v>45313</v>
      </c>
      <c r="G52" s="32" t="str">
        <f t="shared" si="1"/>
        <v>Jan</v>
      </c>
      <c r="H52">
        <v>1</v>
      </c>
      <c r="I52" t="str">
        <f t="shared" si="2"/>
        <v>Bronze</v>
      </c>
      <c r="J52" t="s">
        <v>1243</v>
      </c>
      <c r="K52" s="17">
        <v>14561</v>
      </c>
      <c r="L52" s="17" t="s">
        <v>1224</v>
      </c>
      <c r="M52" t="s">
        <v>2256</v>
      </c>
      <c r="N52" t="s">
        <v>1064</v>
      </c>
      <c r="O52">
        <v>5000</v>
      </c>
      <c r="P52">
        <v>250</v>
      </c>
      <c r="Q52">
        <v>250</v>
      </c>
      <c r="R52" t="s">
        <v>1323</v>
      </c>
    </row>
    <row r="53" spans="1:18" x14ac:dyDescent="0.25">
      <c r="A53">
        <v>1985</v>
      </c>
      <c r="B53" t="s">
        <v>534</v>
      </c>
      <c r="C53" t="s">
        <v>932</v>
      </c>
      <c r="D53" t="str">
        <f t="shared" si="0"/>
        <v>Kennedy Georgia</v>
      </c>
      <c r="E53" t="s">
        <v>1207</v>
      </c>
      <c r="F53" s="1">
        <v>45313</v>
      </c>
      <c r="G53" s="32" t="str">
        <f t="shared" si="1"/>
        <v>Jan</v>
      </c>
      <c r="H53">
        <v>3</v>
      </c>
      <c r="I53" t="str">
        <f t="shared" si="2"/>
        <v>Gold</v>
      </c>
      <c r="J53" t="s">
        <v>14</v>
      </c>
      <c r="K53" s="17">
        <v>57883</v>
      </c>
      <c r="L53" s="17" t="s">
        <v>1214</v>
      </c>
      <c r="M53" t="s">
        <v>2255</v>
      </c>
      <c r="N53" t="s">
        <v>1236</v>
      </c>
      <c r="O53">
        <v>6000</v>
      </c>
      <c r="P53">
        <v>250</v>
      </c>
      <c r="Q53">
        <v>750</v>
      </c>
      <c r="R53" t="s">
        <v>2002</v>
      </c>
    </row>
    <row r="54" spans="1:18" x14ac:dyDescent="0.25">
      <c r="A54">
        <v>2050</v>
      </c>
      <c r="B54" t="s">
        <v>1055</v>
      </c>
      <c r="C54" t="s">
        <v>1056</v>
      </c>
      <c r="D54" t="str">
        <f t="shared" si="0"/>
        <v>Harmon Camille</v>
      </c>
      <c r="E54" t="s">
        <v>1249</v>
      </c>
      <c r="F54" s="1">
        <v>45313</v>
      </c>
      <c r="G54" s="32" t="str">
        <f t="shared" si="1"/>
        <v>Jan</v>
      </c>
      <c r="H54">
        <v>2</v>
      </c>
      <c r="I54" t="str">
        <f t="shared" si="2"/>
        <v>Silver</v>
      </c>
      <c r="J54" t="s">
        <v>1243</v>
      </c>
      <c r="K54" s="17">
        <v>97748</v>
      </c>
      <c r="L54" s="17" t="s">
        <v>1222</v>
      </c>
      <c r="M54" t="s">
        <v>2254</v>
      </c>
      <c r="N54" t="s">
        <v>1223</v>
      </c>
      <c r="O54">
        <v>4217</v>
      </c>
      <c r="P54">
        <v>1200</v>
      </c>
      <c r="Q54">
        <v>2400</v>
      </c>
      <c r="R54" t="s">
        <v>2067</v>
      </c>
    </row>
    <row r="55" spans="1:18" x14ac:dyDescent="0.25">
      <c r="A55">
        <v>2119</v>
      </c>
      <c r="B55" t="s">
        <v>636</v>
      </c>
      <c r="C55" t="s">
        <v>207</v>
      </c>
      <c r="D55" t="str">
        <f t="shared" si="0"/>
        <v>Combs Raphael</v>
      </c>
      <c r="E55" t="s">
        <v>1207</v>
      </c>
      <c r="F55" s="1">
        <v>45313</v>
      </c>
      <c r="G55" s="32" t="str">
        <f t="shared" si="1"/>
        <v>Jan</v>
      </c>
      <c r="H55">
        <v>3</v>
      </c>
      <c r="I55" t="str">
        <f t="shared" si="2"/>
        <v>Gold</v>
      </c>
      <c r="J55" t="s">
        <v>1243</v>
      </c>
      <c r="K55" s="17">
        <v>22479</v>
      </c>
      <c r="L55" s="17" t="s">
        <v>1218</v>
      </c>
      <c r="M55" t="s">
        <v>2252</v>
      </c>
      <c r="N55" t="s">
        <v>1219</v>
      </c>
      <c r="O55">
        <v>2300</v>
      </c>
      <c r="P55">
        <v>250</v>
      </c>
      <c r="Q55">
        <v>750</v>
      </c>
      <c r="R55" t="s">
        <v>2137</v>
      </c>
    </row>
    <row r="56" spans="1:18" x14ac:dyDescent="0.25">
      <c r="A56">
        <v>1320</v>
      </c>
      <c r="B56" t="s">
        <v>188</v>
      </c>
      <c r="C56" t="s">
        <v>189</v>
      </c>
      <c r="D56" t="str">
        <f t="shared" si="0"/>
        <v>Saunders Freya</v>
      </c>
      <c r="E56" t="s">
        <v>1203</v>
      </c>
      <c r="F56" s="1">
        <v>45314</v>
      </c>
      <c r="G56" s="32" t="str">
        <f t="shared" si="1"/>
        <v>Jan</v>
      </c>
      <c r="H56">
        <v>1</v>
      </c>
      <c r="I56" t="str">
        <f t="shared" si="2"/>
        <v>Bronze</v>
      </c>
      <c r="J56" t="s">
        <v>1243</v>
      </c>
      <c r="K56" s="17">
        <v>64778</v>
      </c>
      <c r="L56" s="17" t="s">
        <v>1233</v>
      </c>
      <c r="M56" t="s">
        <v>2255</v>
      </c>
      <c r="N56" t="s">
        <v>1239</v>
      </c>
      <c r="O56">
        <v>870</v>
      </c>
      <c r="P56">
        <v>600</v>
      </c>
      <c r="Q56">
        <v>600</v>
      </c>
      <c r="R56" t="s">
        <v>1336</v>
      </c>
    </row>
    <row r="57" spans="1:18" x14ac:dyDescent="0.25">
      <c r="A57">
        <v>1441</v>
      </c>
      <c r="B57" t="s">
        <v>385</v>
      </c>
      <c r="C57" t="s">
        <v>386</v>
      </c>
      <c r="D57" t="str">
        <f t="shared" si="0"/>
        <v>Benson Victor</v>
      </c>
      <c r="E57" t="s">
        <v>1205</v>
      </c>
      <c r="F57" s="1">
        <v>45314</v>
      </c>
      <c r="G57" s="32" t="str">
        <f t="shared" si="1"/>
        <v>Jan</v>
      </c>
      <c r="H57">
        <v>2</v>
      </c>
      <c r="I57" t="str">
        <f t="shared" si="2"/>
        <v>Silver</v>
      </c>
      <c r="J57" t="s">
        <v>1242</v>
      </c>
      <c r="K57" s="17">
        <v>18703</v>
      </c>
      <c r="L57" s="17" t="s">
        <v>1222</v>
      </c>
      <c r="M57" t="s">
        <v>2256</v>
      </c>
      <c r="N57" t="s">
        <v>1231</v>
      </c>
      <c r="O57">
        <v>4870</v>
      </c>
      <c r="P57">
        <v>250</v>
      </c>
      <c r="Q57">
        <v>500</v>
      </c>
      <c r="R57" t="s">
        <v>1457</v>
      </c>
    </row>
    <row r="58" spans="1:18" x14ac:dyDescent="0.25">
      <c r="A58">
        <v>1792</v>
      </c>
      <c r="B58" t="s">
        <v>819</v>
      </c>
      <c r="C58" t="s">
        <v>820</v>
      </c>
      <c r="D58" t="str">
        <f t="shared" si="0"/>
        <v>Sims Selena</v>
      </c>
      <c r="E58" t="s">
        <v>1248</v>
      </c>
      <c r="F58" s="1">
        <v>45315</v>
      </c>
      <c r="G58" s="32" t="str">
        <f t="shared" si="1"/>
        <v>Jan</v>
      </c>
      <c r="H58">
        <v>1</v>
      </c>
      <c r="I58" t="str">
        <f t="shared" si="2"/>
        <v>Bronze</v>
      </c>
      <c r="J58" t="s">
        <v>14</v>
      </c>
      <c r="K58" s="17">
        <v>68775</v>
      </c>
      <c r="L58" s="17" t="s">
        <v>1216</v>
      </c>
      <c r="M58" t="s">
        <v>2254</v>
      </c>
      <c r="N58" t="s">
        <v>1217</v>
      </c>
      <c r="O58">
        <v>2600</v>
      </c>
      <c r="P58">
        <v>300</v>
      </c>
      <c r="Q58">
        <v>300</v>
      </c>
      <c r="R58" t="s">
        <v>1809</v>
      </c>
    </row>
    <row r="59" spans="1:18" x14ac:dyDescent="0.25">
      <c r="A59">
        <v>1934</v>
      </c>
      <c r="B59" t="s">
        <v>965</v>
      </c>
      <c r="C59" t="s">
        <v>966</v>
      </c>
      <c r="D59" t="str">
        <f t="shared" si="0"/>
        <v>Glass Timothy</v>
      </c>
      <c r="E59" t="s">
        <v>1208</v>
      </c>
      <c r="F59" s="1">
        <v>45315</v>
      </c>
      <c r="G59" s="32" t="str">
        <f t="shared" si="1"/>
        <v>Jan</v>
      </c>
      <c r="H59">
        <v>3</v>
      </c>
      <c r="I59" t="str">
        <f t="shared" si="2"/>
        <v>Gold</v>
      </c>
      <c r="J59" t="s">
        <v>1243</v>
      </c>
      <c r="K59" s="17">
        <v>15180</v>
      </c>
      <c r="L59" s="17" t="s">
        <v>1233</v>
      </c>
      <c r="M59" t="s">
        <v>2253</v>
      </c>
      <c r="N59" t="s">
        <v>1239</v>
      </c>
      <c r="O59">
        <v>870</v>
      </c>
      <c r="P59">
        <v>800</v>
      </c>
      <c r="Q59">
        <v>2400</v>
      </c>
      <c r="R59" t="s">
        <v>1951</v>
      </c>
    </row>
    <row r="60" spans="1:18" x14ac:dyDescent="0.25">
      <c r="A60">
        <v>1245</v>
      </c>
      <c r="B60" t="s">
        <v>48</v>
      </c>
      <c r="C60" t="s">
        <v>49</v>
      </c>
      <c r="D60" t="str">
        <f t="shared" si="0"/>
        <v>Malone Nayeli</v>
      </c>
      <c r="E60" t="s">
        <v>1248</v>
      </c>
      <c r="F60" s="1">
        <v>45316</v>
      </c>
      <c r="G60" s="32" t="str">
        <f t="shared" si="1"/>
        <v>Jan</v>
      </c>
      <c r="H60">
        <v>1</v>
      </c>
      <c r="I60" t="str">
        <f t="shared" si="2"/>
        <v>Bronze</v>
      </c>
      <c r="J60" t="s">
        <v>18</v>
      </c>
      <c r="K60" s="17">
        <v>64128</v>
      </c>
      <c r="L60" s="17" t="s">
        <v>1224</v>
      </c>
      <c r="M60" t="s">
        <v>2252</v>
      </c>
      <c r="N60" t="s">
        <v>1064</v>
      </c>
      <c r="O60">
        <v>5000</v>
      </c>
      <c r="P60">
        <v>300</v>
      </c>
      <c r="Q60">
        <v>300</v>
      </c>
      <c r="R60" t="s">
        <v>1261</v>
      </c>
    </row>
    <row r="61" spans="1:18" x14ac:dyDescent="0.25">
      <c r="A61">
        <v>1696</v>
      </c>
      <c r="B61" t="s">
        <v>719</v>
      </c>
      <c r="C61" t="s">
        <v>720</v>
      </c>
      <c r="D61" t="str">
        <f t="shared" si="0"/>
        <v>Barker Richard</v>
      </c>
      <c r="E61" t="s">
        <v>1208</v>
      </c>
      <c r="F61" s="1">
        <v>45316</v>
      </c>
      <c r="G61" s="32" t="str">
        <f t="shared" si="1"/>
        <v>Jan</v>
      </c>
      <c r="H61">
        <v>2</v>
      </c>
      <c r="I61" t="str">
        <f t="shared" si="2"/>
        <v>Silver</v>
      </c>
      <c r="J61" t="s">
        <v>1242</v>
      </c>
      <c r="K61" s="17">
        <v>59994</v>
      </c>
      <c r="L61" s="17" t="s">
        <v>1224</v>
      </c>
      <c r="M61" t="s">
        <v>2255</v>
      </c>
      <c r="N61" t="s">
        <v>1225</v>
      </c>
      <c r="O61">
        <v>5290</v>
      </c>
      <c r="P61">
        <v>800</v>
      </c>
      <c r="Q61">
        <v>1600</v>
      </c>
      <c r="R61" t="s">
        <v>1713</v>
      </c>
    </row>
    <row r="62" spans="1:18" x14ac:dyDescent="0.25">
      <c r="A62">
        <v>1247</v>
      </c>
      <c r="B62" t="s">
        <v>52</v>
      </c>
      <c r="C62" t="s">
        <v>53</v>
      </c>
      <c r="D62" t="str">
        <f t="shared" si="0"/>
        <v>Briggs Devin</v>
      </c>
      <c r="E62" t="s">
        <v>1249</v>
      </c>
      <c r="F62" s="1">
        <v>45317</v>
      </c>
      <c r="G62" s="32" t="str">
        <f t="shared" si="1"/>
        <v>Jan</v>
      </c>
      <c r="H62">
        <v>3</v>
      </c>
      <c r="I62" t="str">
        <f t="shared" si="2"/>
        <v>Gold</v>
      </c>
      <c r="J62" t="s">
        <v>14</v>
      </c>
      <c r="K62" s="17">
        <v>27685</v>
      </c>
      <c r="L62" s="17" t="s">
        <v>1220</v>
      </c>
      <c r="M62" t="s">
        <v>2256</v>
      </c>
      <c r="N62" t="s">
        <v>1232</v>
      </c>
      <c r="O62">
        <v>3000</v>
      </c>
      <c r="P62">
        <v>1200</v>
      </c>
      <c r="Q62">
        <v>3600</v>
      </c>
      <c r="R62" t="s">
        <v>1263</v>
      </c>
    </row>
    <row r="63" spans="1:18" x14ac:dyDescent="0.25">
      <c r="A63">
        <v>1588</v>
      </c>
      <c r="B63" t="s">
        <v>587</v>
      </c>
      <c r="C63" t="s">
        <v>588</v>
      </c>
      <c r="D63" t="str">
        <f t="shared" si="0"/>
        <v>Vega Blake</v>
      </c>
      <c r="E63" t="s">
        <v>1248</v>
      </c>
      <c r="F63" s="1">
        <v>45317</v>
      </c>
      <c r="G63" s="32" t="str">
        <f t="shared" si="1"/>
        <v>Jan</v>
      </c>
      <c r="H63">
        <v>2</v>
      </c>
      <c r="I63" t="str">
        <f t="shared" si="2"/>
        <v>Silver</v>
      </c>
      <c r="J63" t="s">
        <v>1242</v>
      </c>
      <c r="K63" s="17">
        <v>49060</v>
      </c>
      <c r="L63" s="17" t="s">
        <v>1222</v>
      </c>
      <c r="M63" t="s">
        <v>2255</v>
      </c>
      <c r="N63" t="s">
        <v>1237</v>
      </c>
      <c r="O63">
        <v>4000</v>
      </c>
      <c r="P63">
        <v>300</v>
      </c>
      <c r="Q63">
        <v>600</v>
      </c>
      <c r="R63" t="s">
        <v>2108</v>
      </c>
    </row>
    <row r="64" spans="1:18" x14ac:dyDescent="0.25">
      <c r="A64">
        <v>1257</v>
      </c>
      <c r="B64" t="s">
        <v>72</v>
      </c>
      <c r="C64" t="s">
        <v>73</v>
      </c>
      <c r="D64" t="str">
        <f t="shared" si="0"/>
        <v>Herrera Olive</v>
      </c>
      <c r="E64" t="s">
        <v>1205</v>
      </c>
      <c r="F64" s="1">
        <v>45319</v>
      </c>
      <c r="G64" s="32" t="str">
        <f t="shared" si="1"/>
        <v>Jan</v>
      </c>
      <c r="H64">
        <v>3</v>
      </c>
      <c r="I64" t="str">
        <f t="shared" si="2"/>
        <v>Gold</v>
      </c>
      <c r="J64" t="s">
        <v>18</v>
      </c>
      <c r="K64" s="17">
        <v>79707</v>
      </c>
      <c r="L64" s="17" t="s">
        <v>1216</v>
      </c>
      <c r="M64" t="s">
        <v>2255</v>
      </c>
      <c r="N64" t="s">
        <v>1217</v>
      </c>
      <c r="O64">
        <v>2600</v>
      </c>
      <c r="P64">
        <v>250</v>
      </c>
      <c r="Q64">
        <v>750</v>
      </c>
      <c r="R64" t="s">
        <v>1273</v>
      </c>
    </row>
    <row r="65" spans="1:18" x14ac:dyDescent="0.25">
      <c r="A65">
        <v>2226</v>
      </c>
      <c r="B65" t="s">
        <v>1195</v>
      </c>
      <c r="C65" t="s">
        <v>1183</v>
      </c>
      <c r="D65" t="str">
        <f t="shared" si="0"/>
        <v>Green Ezra</v>
      </c>
      <c r="E65" t="s">
        <v>1203</v>
      </c>
      <c r="F65" s="1">
        <v>45319</v>
      </c>
      <c r="G65" s="32" t="str">
        <f t="shared" si="1"/>
        <v>Jan</v>
      </c>
      <c r="H65">
        <v>1</v>
      </c>
      <c r="I65" t="str">
        <f t="shared" si="2"/>
        <v>Bronze</v>
      </c>
      <c r="J65" t="s">
        <v>14</v>
      </c>
      <c r="K65" s="17">
        <v>97707</v>
      </c>
      <c r="L65" s="17" t="s">
        <v>1218</v>
      </c>
      <c r="M65" t="s">
        <v>2253</v>
      </c>
      <c r="N65" t="s">
        <v>1235</v>
      </c>
      <c r="O65">
        <v>2500</v>
      </c>
      <c r="P65">
        <v>600</v>
      </c>
      <c r="Q65">
        <v>600</v>
      </c>
      <c r="R65" t="s">
        <v>2244</v>
      </c>
    </row>
    <row r="66" spans="1:18" x14ac:dyDescent="0.25">
      <c r="A66">
        <v>1285</v>
      </c>
      <c r="B66" t="s">
        <v>126</v>
      </c>
      <c r="C66" t="s">
        <v>127</v>
      </c>
      <c r="D66" t="str">
        <f t="shared" ref="D66:D129" si="3">CONCATENATE(B66, " ", C66)</f>
        <v>Harvey Greyson</v>
      </c>
      <c r="E66" t="s">
        <v>1205</v>
      </c>
      <c r="F66" s="1">
        <v>45321</v>
      </c>
      <c r="G66" s="32" t="str">
        <f t="shared" ref="G66:G129" si="4">TEXT(F66, "MMM")</f>
        <v>Jan</v>
      </c>
      <c r="H66">
        <v>3</v>
      </c>
      <c r="I66" t="str">
        <f t="shared" ref="I66:I129" si="5">IF(H66=1,"Bronze",IF(H66=2,"Silver",IF(H66=3,"Gold")))</f>
        <v>Gold</v>
      </c>
      <c r="J66" t="s">
        <v>1242</v>
      </c>
      <c r="K66" s="17">
        <v>3616</v>
      </c>
      <c r="L66" s="17" t="s">
        <v>1218</v>
      </c>
      <c r="M66" t="s">
        <v>2252</v>
      </c>
      <c r="N66" t="s">
        <v>1219</v>
      </c>
      <c r="O66">
        <v>2300</v>
      </c>
      <c r="P66">
        <v>250</v>
      </c>
      <c r="Q66">
        <v>750</v>
      </c>
      <c r="R66" t="s">
        <v>1301</v>
      </c>
    </row>
    <row r="67" spans="1:18" x14ac:dyDescent="0.25">
      <c r="A67">
        <v>1424</v>
      </c>
      <c r="B67" t="s">
        <v>360</v>
      </c>
      <c r="C67" t="s">
        <v>241</v>
      </c>
      <c r="D67" t="str">
        <f t="shared" si="3"/>
        <v>Burke Charles</v>
      </c>
      <c r="E67" t="s">
        <v>1208</v>
      </c>
      <c r="F67" s="1">
        <v>45321</v>
      </c>
      <c r="G67" s="32" t="str">
        <f t="shared" si="4"/>
        <v>Jan</v>
      </c>
      <c r="H67">
        <v>2</v>
      </c>
      <c r="I67" t="str">
        <f t="shared" si="5"/>
        <v>Silver</v>
      </c>
      <c r="J67" t="s">
        <v>1243</v>
      </c>
      <c r="K67" s="17">
        <v>31375</v>
      </c>
      <c r="L67" s="17" t="s">
        <v>1233</v>
      </c>
      <c r="M67" t="s">
        <v>2256</v>
      </c>
      <c r="N67" t="s">
        <v>1234</v>
      </c>
      <c r="O67">
        <v>800</v>
      </c>
      <c r="P67">
        <v>800</v>
      </c>
      <c r="Q67">
        <v>1600</v>
      </c>
      <c r="R67" t="s">
        <v>1440</v>
      </c>
    </row>
    <row r="68" spans="1:18" x14ac:dyDescent="0.25">
      <c r="A68">
        <v>1641</v>
      </c>
      <c r="B68" t="s">
        <v>648</v>
      </c>
      <c r="C68" t="s">
        <v>649</v>
      </c>
      <c r="D68" t="str">
        <f t="shared" si="3"/>
        <v>Rodriguez August</v>
      </c>
      <c r="E68" t="s">
        <v>1203</v>
      </c>
      <c r="F68" s="1">
        <v>45321</v>
      </c>
      <c r="G68" s="32" t="str">
        <f t="shared" si="4"/>
        <v>Jan</v>
      </c>
      <c r="H68">
        <v>2</v>
      </c>
      <c r="I68" t="str">
        <f t="shared" si="5"/>
        <v>Silver</v>
      </c>
      <c r="J68" t="s">
        <v>1242</v>
      </c>
      <c r="K68" s="17">
        <v>88807</v>
      </c>
      <c r="L68" s="17" t="s">
        <v>1216</v>
      </c>
      <c r="M68" t="s">
        <v>2252</v>
      </c>
      <c r="N68" t="s">
        <v>1217</v>
      </c>
      <c r="O68">
        <v>2600</v>
      </c>
      <c r="P68">
        <v>600</v>
      </c>
      <c r="Q68">
        <v>1200</v>
      </c>
      <c r="R68" t="s">
        <v>1658</v>
      </c>
    </row>
    <row r="69" spans="1:18" x14ac:dyDescent="0.25">
      <c r="A69">
        <v>1853</v>
      </c>
      <c r="B69" t="s">
        <v>747</v>
      </c>
      <c r="C69" t="s">
        <v>144</v>
      </c>
      <c r="D69" t="str">
        <f t="shared" si="3"/>
        <v>Duncan Bailey</v>
      </c>
      <c r="E69" t="s">
        <v>1207</v>
      </c>
      <c r="F69" s="1">
        <v>45321</v>
      </c>
      <c r="G69" s="32" t="str">
        <f t="shared" si="4"/>
        <v>Jan</v>
      </c>
      <c r="H69">
        <v>3</v>
      </c>
      <c r="I69" t="str">
        <f t="shared" si="5"/>
        <v>Gold</v>
      </c>
      <c r="J69" t="s">
        <v>14</v>
      </c>
      <c r="K69" s="17">
        <v>66392</v>
      </c>
      <c r="L69" s="17" t="s">
        <v>1216</v>
      </c>
      <c r="M69" t="s">
        <v>2256</v>
      </c>
      <c r="N69" t="s">
        <v>1217</v>
      </c>
      <c r="O69">
        <v>2600</v>
      </c>
      <c r="P69">
        <v>250</v>
      </c>
      <c r="Q69">
        <v>750</v>
      </c>
      <c r="R69" t="s">
        <v>1870</v>
      </c>
    </row>
    <row r="70" spans="1:18" x14ac:dyDescent="0.25">
      <c r="A70">
        <v>1684</v>
      </c>
      <c r="B70" t="s">
        <v>704</v>
      </c>
      <c r="C70" t="s">
        <v>571</v>
      </c>
      <c r="D70" t="str">
        <f t="shared" si="3"/>
        <v>Perez Aylin</v>
      </c>
      <c r="E70" t="s">
        <v>1205</v>
      </c>
      <c r="F70" s="1">
        <v>45322</v>
      </c>
      <c r="G70" s="32" t="str">
        <f t="shared" si="4"/>
        <v>Jan</v>
      </c>
      <c r="H70">
        <v>3</v>
      </c>
      <c r="I70" t="str">
        <f t="shared" si="5"/>
        <v>Gold</v>
      </c>
      <c r="J70" t="s">
        <v>1243</v>
      </c>
      <c r="K70" s="17">
        <v>6116</v>
      </c>
      <c r="L70" s="17" t="s">
        <v>1220</v>
      </c>
      <c r="M70" t="s">
        <v>2253</v>
      </c>
      <c r="N70" t="s">
        <v>1226</v>
      </c>
      <c r="O70">
        <v>3220</v>
      </c>
      <c r="P70">
        <v>250</v>
      </c>
      <c r="Q70">
        <v>750</v>
      </c>
      <c r="R70" t="s">
        <v>1701</v>
      </c>
    </row>
    <row r="71" spans="1:18" x14ac:dyDescent="0.25">
      <c r="A71">
        <v>1940</v>
      </c>
      <c r="B71" t="s">
        <v>530</v>
      </c>
      <c r="C71" t="s">
        <v>352</v>
      </c>
      <c r="D71" t="str">
        <f t="shared" si="3"/>
        <v>Odom Xander</v>
      </c>
      <c r="E71" t="s">
        <v>1205</v>
      </c>
      <c r="F71" s="1">
        <v>45322</v>
      </c>
      <c r="G71" s="32" t="str">
        <f t="shared" si="4"/>
        <v>Jan</v>
      </c>
      <c r="H71">
        <v>1</v>
      </c>
      <c r="I71" t="str">
        <f t="shared" si="5"/>
        <v>Bronze</v>
      </c>
      <c r="J71" t="s">
        <v>14</v>
      </c>
      <c r="K71" s="17">
        <v>34886</v>
      </c>
      <c r="L71" s="17" t="s">
        <v>1220</v>
      </c>
      <c r="M71" t="s">
        <v>2256</v>
      </c>
      <c r="N71" t="s">
        <v>1226</v>
      </c>
      <c r="O71">
        <v>3220</v>
      </c>
      <c r="P71">
        <v>250</v>
      </c>
      <c r="Q71">
        <v>250</v>
      </c>
      <c r="R71" t="s">
        <v>1957</v>
      </c>
    </row>
    <row r="72" spans="1:18" x14ac:dyDescent="0.25">
      <c r="A72">
        <v>1954</v>
      </c>
      <c r="B72" t="s">
        <v>208</v>
      </c>
      <c r="C72" t="s">
        <v>12</v>
      </c>
      <c r="D72" t="str">
        <f t="shared" si="3"/>
        <v>Cardenas Michelle</v>
      </c>
      <c r="E72" t="s">
        <v>1249</v>
      </c>
      <c r="F72" s="1">
        <v>45322</v>
      </c>
      <c r="G72" s="32" t="str">
        <f t="shared" si="4"/>
        <v>Jan</v>
      </c>
      <c r="H72">
        <v>2</v>
      </c>
      <c r="I72" t="str">
        <f t="shared" si="5"/>
        <v>Silver</v>
      </c>
      <c r="J72" t="s">
        <v>1242</v>
      </c>
      <c r="K72" s="17">
        <v>2296</v>
      </c>
      <c r="L72" s="17" t="s">
        <v>1222</v>
      </c>
      <c r="M72" t="s">
        <v>2255</v>
      </c>
      <c r="N72" t="s">
        <v>1223</v>
      </c>
      <c r="O72">
        <v>4217</v>
      </c>
      <c r="P72">
        <v>1200</v>
      </c>
      <c r="Q72">
        <v>2400</v>
      </c>
      <c r="R72" t="s">
        <v>1971</v>
      </c>
    </row>
    <row r="73" spans="1:18" x14ac:dyDescent="0.25">
      <c r="A73">
        <v>2132</v>
      </c>
      <c r="B73" t="s">
        <v>1131</v>
      </c>
      <c r="C73" t="s">
        <v>1132</v>
      </c>
      <c r="D73" t="str">
        <f t="shared" si="3"/>
        <v>Nixon Eleanor</v>
      </c>
      <c r="E73" t="s">
        <v>1249</v>
      </c>
      <c r="F73" s="1">
        <v>45322</v>
      </c>
      <c r="G73" s="32" t="str">
        <f t="shared" si="4"/>
        <v>Jan</v>
      </c>
      <c r="H73">
        <v>1</v>
      </c>
      <c r="I73" t="str">
        <f t="shared" si="5"/>
        <v>Bronze</v>
      </c>
      <c r="J73" t="s">
        <v>14</v>
      </c>
      <c r="K73" s="17">
        <v>80427</v>
      </c>
      <c r="L73" s="17" t="s">
        <v>1216</v>
      </c>
      <c r="M73" t="s">
        <v>2255</v>
      </c>
      <c r="N73" t="s">
        <v>1217</v>
      </c>
      <c r="O73">
        <v>2600</v>
      </c>
      <c r="P73">
        <v>1200</v>
      </c>
      <c r="Q73">
        <v>1200</v>
      </c>
      <c r="R73" t="s">
        <v>2150</v>
      </c>
    </row>
    <row r="74" spans="1:18" x14ac:dyDescent="0.25">
      <c r="A74">
        <v>2204</v>
      </c>
      <c r="B74" t="s">
        <v>1181</v>
      </c>
      <c r="C74" t="s">
        <v>236</v>
      </c>
      <c r="D74" t="str">
        <f t="shared" si="3"/>
        <v>Suarez Kate</v>
      </c>
      <c r="E74" t="s">
        <v>1203</v>
      </c>
      <c r="F74" s="1">
        <v>45322</v>
      </c>
      <c r="G74" s="32" t="str">
        <f t="shared" si="4"/>
        <v>Jan</v>
      </c>
      <c r="H74">
        <v>1</v>
      </c>
      <c r="I74" t="str">
        <f t="shared" si="5"/>
        <v>Bronze</v>
      </c>
      <c r="J74" t="s">
        <v>18</v>
      </c>
      <c r="K74" s="17">
        <v>42015</v>
      </c>
      <c r="L74" s="17" t="s">
        <v>1218</v>
      </c>
      <c r="M74" t="s">
        <v>2252</v>
      </c>
      <c r="N74" t="s">
        <v>836</v>
      </c>
      <c r="O74">
        <v>2000</v>
      </c>
      <c r="P74">
        <v>600</v>
      </c>
      <c r="Q74">
        <v>600</v>
      </c>
      <c r="R74" t="s">
        <v>2222</v>
      </c>
    </row>
    <row r="75" spans="1:18" x14ac:dyDescent="0.25">
      <c r="A75">
        <v>1708</v>
      </c>
      <c r="B75" t="s">
        <v>661</v>
      </c>
      <c r="C75" t="s">
        <v>216</v>
      </c>
      <c r="D75" t="str">
        <f t="shared" si="3"/>
        <v>Livingston Annie</v>
      </c>
      <c r="E75" t="s">
        <v>1248</v>
      </c>
      <c r="F75" s="1">
        <v>45323</v>
      </c>
      <c r="G75" s="32" t="str">
        <f t="shared" si="4"/>
        <v>Feb</v>
      </c>
      <c r="H75">
        <v>1</v>
      </c>
      <c r="I75" t="str">
        <f t="shared" si="5"/>
        <v>Bronze</v>
      </c>
      <c r="J75" t="s">
        <v>14</v>
      </c>
      <c r="K75" s="17">
        <v>36514</v>
      </c>
      <c r="L75" s="17" t="s">
        <v>1218</v>
      </c>
      <c r="M75" t="s">
        <v>2253</v>
      </c>
      <c r="N75" t="s">
        <v>1235</v>
      </c>
      <c r="O75">
        <v>2500</v>
      </c>
      <c r="P75">
        <v>300</v>
      </c>
      <c r="Q75">
        <v>300</v>
      </c>
      <c r="R75" t="s">
        <v>1725</v>
      </c>
    </row>
    <row r="76" spans="1:18" x14ac:dyDescent="0.25">
      <c r="A76">
        <v>1787</v>
      </c>
      <c r="B76" t="s">
        <v>449</v>
      </c>
      <c r="C76" t="s">
        <v>812</v>
      </c>
      <c r="D76" t="str">
        <f t="shared" si="3"/>
        <v>Frazier Atticus</v>
      </c>
      <c r="E76" t="s">
        <v>1248</v>
      </c>
      <c r="F76" s="1">
        <v>45323</v>
      </c>
      <c r="G76" s="32" t="str">
        <f t="shared" si="4"/>
        <v>Feb</v>
      </c>
      <c r="H76">
        <v>1</v>
      </c>
      <c r="I76" t="str">
        <f t="shared" si="5"/>
        <v>Bronze</v>
      </c>
      <c r="J76" t="s">
        <v>14</v>
      </c>
      <c r="K76" s="17">
        <v>40519</v>
      </c>
      <c r="L76" s="17" t="s">
        <v>1218</v>
      </c>
      <c r="M76" t="s">
        <v>2255</v>
      </c>
      <c r="N76" t="s">
        <v>1219</v>
      </c>
      <c r="O76">
        <v>2300</v>
      </c>
      <c r="P76">
        <v>300</v>
      </c>
      <c r="Q76">
        <v>300</v>
      </c>
      <c r="R76" t="s">
        <v>1804</v>
      </c>
    </row>
    <row r="77" spans="1:18" x14ac:dyDescent="0.25">
      <c r="A77">
        <v>1799</v>
      </c>
      <c r="B77" t="s">
        <v>161</v>
      </c>
      <c r="C77" t="s">
        <v>527</v>
      </c>
      <c r="D77" t="str">
        <f t="shared" si="3"/>
        <v>Carroll Braxton</v>
      </c>
      <c r="E77" t="s">
        <v>1207</v>
      </c>
      <c r="F77" s="1">
        <v>45323</v>
      </c>
      <c r="G77" s="32" t="str">
        <f t="shared" si="4"/>
        <v>Feb</v>
      </c>
      <c r="H77">
        <v>1</v>
      </c>
      <c r="I77" t="str">
        <f t="shared" si="5"/>
        <v>Bronze</v>
      </c>
      <c r="J77" t="s">
        <v>1242</v>
      </c>
      <c r="K77" s="17">
        <v>76344</v>
      </c>
      <c r="L77" s="17" t="s">
        <v>1220</v>
      </c>
      <c r="M77" t="s">
        <v>2252</v>
      </c>
      <c r="N77" t="s">
        <v>1232</v>
      </c>
      <c r="O77">
        <v>3000</v>
      </c>
      <c r="P77">
        <v>250</v>
      </c>
      <c r="Q77">
        <v>250</v>
      </c>
      <c r="R77" t="s">
        <v>1816</v>
      </c>
    </row>
    <row r="78" spans="1:18" x14ac:dyDescent="0.25">
      <c r="A78">
        <v>1882</v>
      </c>
      <c r="B78" t="s">
        <v>911</v>
      </c>
      <c r="C78" t="s">
        <v>912</v>
      </c>
      <c r="D78" t="str">
        <f t="shared" si="3"/>
        <v>Novak Wade</v>
      </c>
      <c r="E78" t="s">
        <v>1207</v>
      </c>
      <c r="F78" s="1">
        <v>45323</v>
      </c>
      <c r="G78" s="32" t="str">
        <f t="shared" si="4"/>
        <v>Feb</v>
      </c>
      <c r="H78">
        <v>2</v>
      </c>
      <c r="I78" t="str">
        <f t="shared" si="5"/>
        <v>Silver</v>
      </c>
      <c r="J78" t="s">
        <v>1242</v>
      </c>
      <c r="K78" s="17">
        <v>99129</v>
      </c>
      <c r="L78" s="17" t="s">
        <v>1214</v>
      </c>
      <c r="M78" t="s">
        <v>2253</v>
      </c>
      <c r="N78" t="s">
        <v>1227</v>
      </c>
      <c r="O78">
        <v>6160</v>
      </c>
      <c r="P78">
        <v>250</v>
      </c>
      <c r="Q78">
        <v>500</v>
      </c>
      <c r="R78" t="s">
        <v>1899</v>
      </c>
    </row>
    <row r="79" spans="1:18" x14ac:dyDescent="0.25">
      <c r="A79">
        <v>2010</v>
      </c>
      <c r="B79" t="s">
        <v>1019</v>
      </c>
      <c r="C79" t="s">
        <v>1020</v>
      </c>
      <c r="D79" t="str">
        <f t="shared" si="3"/>
        <v>Doyle Messiah</v>
      </c>
      <c r="E79" t="s">
        <v>1205</v>
      </c>
      <c r="F79" s="1">
        <v>45323</v>
      </c>
      <c r="G79" s="32" t="str">
        <f t="shared" si="4"/>
        <v>Feb</v>
      </c>
      <c r="H79">
        <v>2</v>
      </c>
      <c r="I79" t="str">
        <f t="shared" si="5"/>
        <v>Silver</v>
      </c>
      <c r="J79" t="s">
        <v>1242</v>
      </c>
      <c r="K79" s="17">
        <v>38322</v>
      </c>
      <c r="L79" s="17" t="s">
        <v>1228</v>
      </c>
      <c r="M79" t="s">
        <v>2254</v>
      </c>
      <c r="N79" t="s">
        <v>1230</v>
      </c>
      <c r="O79">
        <v>7000</v>
      </c>
      <c r="P79">
        <v>250</v>
      </c>
      <c r="Q79">
        <v>500</v>
      </c>
      <c r="R79" t="s">
        <v>2027</v>
      </c>
    </row>
    <row r="80" spans="1:18" x14ac:dyDescent="0.25">
      <c r="A80">
        <v>2126</v>
      </c>
      <c r="B80" t="s">
        <v>1126</v>
      </c>
      <c r="C80" t="s">
        <v>954</v>
      </c>
      <c r="D80" t="str">
        <f t="shared" si="3"/>
        <v>Leblanc Quinn</v>
      </c>
      <c r="E80" t="s">
        <v>1207</v>
      </c>
      <c r="F80" s="1">
        <v>45323</v>
      </c>
      <c r="G80" s="32" t="str">
        <f t="shared" si="4"/>
        <v>Feb</v>
      </c>
      <c r="H80">
        <v>3</v>
      </c>
      <c r="I80" t="str">
        <f t="shared" si="5"/>
        <v>Gold</v>
      </c>
      <c r="J80" t="s">
        <v>18</v>
      </c>
      <c r="K80" s="17">
        <v>77203</v>
      </c>
      <c r="L80" s="17" t="s">
        <v>1218</v>
      </c>
      <c r="M80" t="s">
        <v>2253</v>
      </c>
      <c r="N80" t="s">
        <v>1235</v>
      </c>
      <c r="O80">
        <v>2500</v>
      </c>
      <c r="P80">
        <v>250</v>
      </c>
      <c r="Q80">
        <v>750</v>
      </c>
      <c r="R80" t="s">
        <v>2144</v>
      </c>
    </row>
    <row r="81" spans="1:18" x14ac:dyDescent="0.25">
      <c r="A81">
        <v>1284</v>
      </c>
      <c r="B81" t="s">
        <v>124</v>
      </c>
      <c r="C81" t="s">
        <v>125</v>
      </c>
      <c r="D81" t="str">
        <f t="shared" si="3"/>
        <v>Collier Abigail</v>
      </c>
      <c r="E81" t="s">
        <v>1208</v>
      </c>
      <c r="F81" s="1">
        <v>45324</v>
      </c>
      <c r="G81" s="32" t="str">
        <f t="shared" si="4"/>
        <v>Feb</v>
      </c>
      <c r="H81">
        <v>2</v>
      </c>
      <c r="I81" t="str">
        <f t="shared" si="5"/>
        <v>Silver</v>
      </c>
      <c r="J81" t="s">
        <v>14</v>
      </c>
      <c r="K81" s="17">
        <v>30245</v>
      </c>
      <c r="L81" s="17" t="s">
        <v>1220</v>
      </c>
      <c r="M81" t="s">
        <v>2252</v>
      </c>
      <c r="N81" t="s">
        <v>1221</v>
      </c>
      <c r="O81">
        <v>3350</v>
      </c>
      <c r="P81">
        <v>800</v>
      </c>
      <c r="Q81">
        <v>1600</v>
      </c>
      <c r="R81" t="s">
        <v>1300</v>
      </c>
    </row>
    <row r="82" spans="1:18" x14ac:dyDescent="0.25">
      <c r="A82">
        <v>1409</v>
      </c>
      <c r="B82" t="s">
        <v>333</v>
      </c>
      <c r="C82" t="s">
        <v>53</v>
      </c>
      <c r="D82" t="str">
        <f t="shared" si="3"/>
        <v>Rivers Devin</v>
      </c>
      <c r="E82" t="s">
        <v>1208</v>
      </c>
      <c r="F82" s="1">
        <v>45324</v>
      </c>
      <c r="G82" s="32" t="str">
        <f t="shared" si="4"/>
        <v>Feb</v>
      </c>
      <c r="H82">
        <v>2</v>
      </c>
      <c r="I82" t="str">
        <f t="shared" si="5"/>
        <v>Silver</v>
      </c>
      <c r="J82" t="s">
        <v>1242</v>
      </c>
      <c r="K82" s="17">
        <v>95668</v>
      </c>
      <c r="L82" s="17" t="s">
        <v>1220</v>
      </c>
      <c r="M82" t="s">
        <v>2252</v>
      </c>
      <c r="N82" t="s">
        <v>1221</v>
      </c>
      <c r="O82">
        <v>3350</v>
      </c>
      <c r="P82">
        <v>800</v>
      </c>
      <c r="Q82">
        <v>1600</v>
      </c>
      <c r="R82" t="s">
        <v>1425</v>
      </c>
    </row>
    <row r="83" spans="1:18" x14ac:dyDescent="0.25">
      <c r="A83">
        <v>1539</v>
      </c>
      <c r="B83" t="s">
        <v>522</v>
      </c>
      <c r="C83" t="s">
        <v>523</v>
      </c>
      <c r="D83" t="str">
        <f t="shared" si="3"/>
        <v>Peña Malachi</v>
      </c>
      <c r="E83" t="s">
        <v>1248</v>
      </c>
      <c r="F83" s="1">
        <v>45324</v>
      </c>
      <c r="G83" s="32" t="str">
        <f t="shared" si="4"/>
        <v>Feb</v>
      </c>
      <c r="H83">
        <v>2</v>
      </c>
      <c r="I83" t="str">
        <f t="shared" si="5"/>
        <v>Silver</v>
      </c>
      <c r="J83" t="s">
        <v>14</v>
      </c>
      <c r="K83" s="17">
        <v>67041</v>
      </c>
      <c r="L83" s="17" t="s">
        <v>1216</v>
      </c>
      <c r="M83" t="s">
        <v>2254</v>
      </c>
      <c r="N83" t="s">
        <v>1217</v>
      </c>
      <c r="O83">
        <v>2600</v>
      </c>
      <c r="P83">
        <v>300</v>
      </c>
      <c r="Q83">
        <v>600</v>
      </c>
      <c r="R83" t="s">
        <v>1555</v>
      </c>
    </row>
    <row r="84" spans="1:18" x14ac:dyDescent="0.25">
      <c r="A84">
        <v>1552</v>
      </c>
      <c r="B84" t="s">
        <v>540</v>
      </c>
      <c r="C84" t="s">
        <v>541</v>
      </c>
      <c r="D84" t="str">
        <f t="shared" si="3"/>
        <v>Torres Karson</v>
      </c>
      <c r="E84" t="s">
        <v>1207</v>
      </c>
      <c r="F84" s="1">
        <v>45324</v>
      </c>
      <c r="G84" s="32" t="str">
        <f t="shared" si="4"/>
        <v>Feb</v>
      </c>
      <c r="H84">
        <v>2</v>
      </c>
      <c r="I84" t="str">
        <f t="shared" si="5"/>
        <v>Silver</v>
      </c>
      <c r="J84" t="s">
        <v>1242</v>
      </c>
      <c r="K84" s="17">
        <v>41795</v>
      </c>
      <c r="L84" s="17" t="s">
        <v>1220</v>
      </c>
      <c r="M84" t="s">
        <v>2256</v>
      </c>
      <c r="N84" t="s">
        <v>1226</v>
      </c>
      <c r="O84">
        <v>3220</v>
      </c>
      <c r="P84">
        <v>250</v>
      </c>
      <c r="Q84">
        <v>500</v>
      </c>
      <c r="R84" t="s">
        <v>1568</v>
      </c>
    </row>
    <row r="85" spans="1:18" x14ac:dyDescent="0.25">
      <c r="A85">
        <v>1767</v>
      </c>
      <c r="B85" t="s">
        <v>439</v>
      </c>
      <c r="C85" t="s">
        <v>792</v>
      </c>
      <c r="D85" t="str">
        <f t="shared" si="3"/>
        <v>Sexton Penelope</v>
      </c>
      <c r="E85" t="s">
        <v>1249</v>
      </c>
      <c r="F85" s="1">
        <v>45324</v>
      </c>
      <c r="G85" s="32" t="str">
        <f t="shared" si="4"/>
        <v>Feb</v>
      </c>
      <c r="H85">
        <v>2</v>
      </c>
      <c r="I85" t="str">
        <f t="shared" si="5"/>
        <v>Silver</v>
      </c>
      <c r="J85" t="s">
        <v>1242</v>
      </c>
      <c r="K85" s="17">
        <v>15364</v>
      </c>
      <c r="L85" s="17" t="s">
        <v>1233</v>
      </c>
      <c r="M85" t="s">
        <v>2253</v>
      </c>
      <c r="N85" t="s">
        <v>1234</v>
      </c>
      <c r="O85">
        <v>800</v>
      </c>
      <c r="P85">
        <v>1200</v>
      </c>
      <c r="Q85">
        <v>2400</v>
      </c>
      <c r="R85" t="s">
        <v>1784</v>
      </c>
    </row>
    <row r="86" spans="1:18" x14ac:dyDescent="0.25">
      <c r="A86">
        <v>2091</v>
      </c>
      <c r="B86" t="s">
        <v>1093</v>
      </c>
      <c r="C86" t="s">
        <v>146</v>
      </c>
      <c r="D86" t="str">
        <f t="shared" si="3"/>
        <v>Moran Bentley</v>
      </c>
      <c r="E86" t="s">
        <v>1249</v>
      </c>
      <c r="F86" s="1">
        <v>45324</v>
      </c>
      <c r="G86" s="32" t="str">
        <f t="shared" si="4"/>
        <v>Feb</v>
      </c>
      <c r="H86">
        <v>2</v>
      </c>
      <c r="I86" t="str">
        <f t="shared" si="5"/>
        <v>Silver</v>
      </c>
      <c r="J86" t="s">
        <v>18</v>
      </c>
      <c r="K86" s="17">
        <v>43394</v>
      </c>
      <c r="L86" s="17" t="s">
        <v>1216</v>
      </c>
      <c r="M86" t="s">
        <v>2254</v>
      </c>
      <c r="N86" t="s">
        <v>1217</v>
      </c>
      <c r="O86">
        <v>2600</v>
      </c>
      <c r="P86">
        <v>1200</v>
      </c>
      <c r="Q86">
        <v>2400</v>
      </c>
      <c r="R86" t="s">
        <v>2109</v>
      </c>
    </row>
    <row r="87" spans="1:18" x14ac:dyDescent="0.25">
      <c r="A87">
        <v>1516</v>
      </c>
      <c r="B87" t="s">
        <v>497</v>
      </c>
      <c r="C87" t="s">
        <v>464</v>
      </c>
      <c r="D87" t="str">
        <f t="shared" si="3"/>
        <v>Chandler Gideon</v>
      </c>
      <c r="E87" t="s">
        <v>1248</v>
      </c>
      <c r="F87" s="1">
        <v>45325</v>
      </c>
      <c r="G87" s="32" t="str">
        <f t="shared" si="4"/>
        <v>Feb</v>
      </c>
      <c r="H87">
        <v>1</v>
      </c>
      <c r="I87" t="str">
        <f t="shared" si="5"/>
        <v>Bronze</v>
      </c>
      <c r="J87" t="s">
        <v>18</v>
      </c>
      <c r="K87" s="17">
        <v>15242</v>
      </c>
      <c r="L87" s="17" t="s">
        <v>1216</v>
      </c>
      <c r="M87" t="s">
        <v>2254</v>
      </c>
      <c r="N87" t="s">
        <v>1217</v>
      </c>
      <c r="O87">
        <v>2600</v>
      </c>
      <c r="P87">
        <v>300</v>
      </c>
      <c r="Q87">
        <v>300</v>
      </c>
      <c r="R87" t="s">
        <v>1532</v>
      </c>
    </row>
    <row r="88" spans="1:18" x14ac:dyDescent="0.25">
      <c r="A88">
        <v>1773</v>
      </c>
      <c r="B88" t="s">
        <v>418</v>
      </c>
      <c r="C88" t="s">
        <v>630</v>
      </c>
      <c r="D88" t="str">
        <f t="shared" si="3"/>
        <v>Orozco Judah</v>
      </c>
      <c r="E88" t="s">
        <v>1248</v>
      </c>
      <c r="F88" s="1">
        <v>45325</v>
      </c>
      <c r="G88" s="32" t="str">
        <f t="shared" si="4"/>
        <v>Feb</v>
      </c>
      <c r="H88">
        <v>2</v>
      </c>
      <c r="I88" t="str">
        <f t="shared" si="5"/>
        <v>Silver</v>
      </c>
      <c r="J88" t="s">
        <v>18</v>
      </c>
      <c r="K88" s="17">
        <v>16202</v>
      </c>
      <c r="L88" s="17" t="s">
        <v>1218</v>
      </c>
      <c r="M88" t="s">
        <v>2255</v>
      </c>
      <c r="N88" t="s">
        <v>1235</v>
      </c>
      <c r="O88">
        <v>2500</v>
      </c>
      <c r="P88">
        <v>300</v>
      </c>
      <c r="Q88">
        <v>600</v>
      </c>
      <c r="R88" t="s">
        <v>1790</v>
      </c>
    </row>
    <row r="89" spans="1:18" x14ac:dyDescent="0.25">
      <c r="A89">
        <v>1289</v>
      </c>
      <c r="B89" t="s">
        <v>133</v>
      </c>
      <c r="C89" t="s">
        <v>134</v>
      </c>
      <c r="D89" t="str">
        <f t="shared" si="3"/>
        <v>Atkins Molly</v>
      </c>
      <c r="E89" t="s">
        <v>1249</v>
      </c>
      <c r="F89" s="1">
        <v>45326</v>
      </c>
      <c r="G89" s="32" t="str">
        <f t="shared" si="4"/>
        <v>Feb</v>
      </c>
      <c r="H89">
        <v>2</v>
      </c>
      <c r="I89" t="str">
        <f t="shared" si="5"/>
        <v>Silver</v>
      </c>
      <c r="J89" t="s">
        <v>1242</v>
      </c>
      <c r="K89" s="17">
        <v>98776</v>
      </c>
      <c r="L89" s="17" t="s">
        <v>1218</v>
      </c>
      <c r="M89" t="s">
        <v>2253</v>
      </c>
      <c r="N89" t="s">
        <v>1235</v>
      </c>
      <c r="O89">
        <v>2500</v>
      </c>
      <c r="P89">
        <v>1200</v>
      </c>
      <c r="Q89">
        <v>2400</v>
      </c>
      <c r="R89" t="s">
        <v>1305</v>
      </c>
    </row>
    <row r="90" spans="1:18" x14ac:dyDescent="0.25">
      <c r="A90">
        <v>1527</v>
      </c>
      <c r="B90" t="s">
        <v>508</v>
      </c>
      <c r="C90" t="s">
        <v>509</v>
      </c>
      <c r="D90" t="str">
        <f t="shared" si="3"/>
        <v>Stanton Piper</v>
      </c>
      <c r="E90" t="s">
        <v>1203</v>
      </c>
      <c r="F90" s="1">
        <v>45326</v>
      </c>
      <c r="G90" s="32" t="str">
        <f t="shared" si="4"/>
        <v>Feb</v>
      </c>
      <c r="H90">
        <v>2</v>
      </c>
      <c r="I90" t="str">
        <f t="shared" si="5"/>
        <v>Silver</v>
      </c>
      <c r="J90" t="s">
        <v>14</v>
      </c>
      <c r="K90" s="17">
        <v>20758</v>
      </c>
      <c r="L90" s="17" t="s">
        <v>1216</v>
      </c>
      <c r="M90" t="s">
        <v>2254</v>
      </c>
      <c r="N90" t="s">
        <v>1217</v>
      </c>
      <c r="O90">
        <v>2600</v>
      </c>
      <c r="P90">
        <v>600</v>
      </c>
      <c r="Q90">
        <v>1200</v>
      </c>
      <c r="R90" t="s">
        <v>1543</v>
      </c>
    </row>
    <row r="91" spans="1:18" x14ac:dyDescent="0.25">
      <c r="A91">
        <v>1725</v>
      </c>
      <c r="B91" t="s">
        <v>272</v>
      </c>
      <c r="C91" t="s">
        <v>750</v>
      </c>
      <c r="D91" t="str">
        <f t="shared" si="3"/>
        <v>Montgomery Eden</v>
      </c>
      <c r="E91" t="s">
        <v>1207</v>
      </c>
      <c r="F91" s="1">
        <v>45326</v>
      </c>
      <c r="G91" s="32" t="str">
        <f t="shared" si="4"/>
        <v>Feb</v>
      </c>
      <c r="H91">
        <v>2</v>
      </c>
      <c r="I91" t="str">
        <f t="shared" si="5"/>
        <v>Silver</v>
      </c>
      <c r="J91" t="s">
        <v>18</v>
      </c>
      <c r="K91" s="17">
        <v>66685</v>
      </c>
      <c r="L91" s="17" t="s">
        <v>1214</v>
      </c>
      <c r="M91" t="s">
        <v>2253</v>
      </c>
      <c r="N91" t="s">
        <v>1215</v>
      </c>
      <c r="O91">
        <v>6725</v>
      </c>
      <c r="P91">
        <v>250</v>
      </c>
      <c r="Q91">
        <v>500</v>
      </c>
      <c r="R91" t="s">
        <v>1742</v>
      </c>
    </row>
    <row r="92" spans="1:18" x14ac:dyDescent="0.25">
      <c r="A92">
        <v>1856</v>
      </c>
      <c r="B92" t="s">
        <v>882</v>
      </c>
      <c r="C92" t="s">
        <v>883</v>
      </c>
      <c r="D92" t="str">
        <f t="shared" si="3"/>
        <v>Middleton Jesse</v>
      </c>
      <c r="E92" t="s">
        <v>1208</v>
      </c>
      <c r="F92" s="1">
        <v>45326</v>
      </c>
      <c r="G92" s="32" t="str">
        <f t="shared" si="4"/>
        <v>Feb</v>
      </c>
      <c r="H92">
        <v>2</v>
      </c>
      <c r="I92" t="str">
        <f t="shared" si="5"/>
        <v>Silver</v>
      </c>
      <c r="J92" t="s">
        <v>18</v>
      </c>
      <c r="K92" s="17">
        <v>82381</v>
      </c>
      <c r="L92" s="17" t="s">
        <v>1214</v>
      </c>
      <c r="M92" t="s">
        <v>2252</v>
      </c>
      <c r="N92" t="s">
        <v>1215</v>
      </c>
      <c r="O92">
        <v>6725</v>
      </c>
      <c r="P92">
        <v>800</v>
      </c>
      <c r="Q92">
        <v>1600</v>
      </c>
      <c r="R92" t="s">
        <v>1873</v>
      </c>
    </row>
    <row r="93" spans="1:18" x14ac:dyDescent="0.25">
      <c r="A93">
        <v>1924</v>
      </c>
      <c r="B93" t="s">
        <v>50</v>
      </c>
      <c r="C93" t="s">
        <v>593</v>
      </c>
      <c r="D93" t="str">
        <f t="shared" si="3"/>
        <v>Holt Rebecca</v>
      </c>
      <c r="E93" t="s">
        <v>1249</v>
      </c>
      <c r="F93" s="1">
        <v>45326</v>
      </c>
      <c r="G93" s="32" t="str">
        <f t="shared" si="4"/>
        <v>Feb</v>
      </c>
      <c r="H93">
        <v>2</v>
      </c>
      <c r="I93" t="str">
        <f t="shared" si="5"/>
        <v>Silver</v>
      </c>
      <c r="J93" t="s">
        <v>1242</v>
      </c>
      <c r="K93" s="17">
        <v>86447</v>
      </c>
      <c r="L93" s="17" t="s">
        <v>1220</v>
      </c>
      <c r="M93" t="s">
        <v>2255</v>
      </c>
      <c r="N93" t="s">
        <v>1232</v>
      </c>
      <c r="O93">
        <v>3000</v>
      </c>
      <c r="P93">
        <v>1200</v>
      </c>
      <c r="Q93">
        <v>2400</v>
      </c>
      <c r="R93" t="s">
        <v>1941</v>
      </c>
    </row>
    <row r="94" spans="1:18" x14ac:dyDescent="0.25">
      <c r="A94">
        <v>2005</v>
      </c>
      <c r="B94" t="s">
        <v>322</v>
      </c>
      <c r="C94" t="s">
        <v>1018</v>
      </c>
      <c r="D94" t="str">
        <f t="shared" si="3"/>
        <v>Stokes Maddox</v>
      </c>
      <c r="E94" t="s">
        <v>1203</v>
      </c>
      <c r="F94" s="1">
        <v>45327</v>
      </c>
      <c r="G94" s="32" t="str">
        <f t="shared" si="4"/>
        <v>Feb</v>
      </c>
      <c r="H94">
        <v>2</v>
      </c>
      <c r="I94" t="str">
        <f t="shared" si="5"/>
        <v>Silver</v>
      </c>
      <c r="J94" t="s">
        <v>14</v>
      </c>
      <c r="K94" s="17">
        <v>75501</v>
      </c>
      <c r="L94" s="17" t="s">
        <v>1224</v>
      </c>
      <c r="M94" t="s">
        <v>2253</v>
      </c>
      <c r="N94" t="s">
        <v>1225</v>
      </c>
      <c r="O94">
        <v>5290</v>
      </c>
      <c r="P94">
        <v>600</v>
      </c>
      <c r="Q94">
        <v>1200</v>
      </c>
      <c r="R94" t="s">
        <v>2022</v>
      </c>
    </row>
    <row r="95" spans="1:18" x14ac:dyDescent="0.25">
      <c r="A95">
        <v>1646</v>
      </c>
      <c r="B95" t="s">
        <v>60</v>
      </c>
      <c r="C95" t="s">
        <v>655</v>
      </c>
      <c r="D95" t="str">
        <f t="shared" si="3"/>
        <v>Berry Miracle</v>
      </c>
      <c r="E95" t="s">
        <v>1203</v>
      </c>
      <c r="F95" s="1">
        <v>45328</v>
      </c>
      <c r="G95" s="32" t="str">
        <f t="shared" si="4"/>
        <v>Feb</v>
      </c>
      <c r="H95">
        <v>3</v>
      </c>
      <c r="I95" t="str">
        <f t="shared" si="5"/>
        <v>Gold</v>
      </c>
      <c r="J95" t="s">
        <v>1243</v>
      </c>
      <c r="K95" s="17">
        <v>58174</v>
      </c>
      <c r="L95" s="17" t="s">
        <v>1216</v>
      </c>
      <c r="M95" t="s">
        <v>2253</v>
      </c>
      <c r="N95" t="s">
        <v>1217</v>
      </c>
      <c r="O95">
        <v>2600</v>
      </c>
      <c r="P95">
        <v>600</v>
      </c>
      <c r="Q95">
        <v>1800</v>
      </c>
      <c r="R95" t="s">
        <v>1663</v>
      </c>
    </row>
    <row r="96" spans="1:18" x14ac:dyDescent="0.25">
      <c r="A96">
        <v>1768</v>
      </c>
      <c r="B96" t="s">
        <v>214</v>
      </c>
      <c r="C96" t="s">
        <v>739</v>
      </c>
      <c r="D96" t="str">
        <f t="shared" si="3"/>
        <v>Singh Asa</v>
      </c>
      <c r="E96" t="s">
        <v>1249</v>
      </c>
      <c r="F96" s="1">
        <v>45328</v>
      </c>
      <c r="G96" s="32" t="str">
        <f t="shared" si="4"/>
        <v>Feb</v>
      </c>
      <c r="H96">
        <v>2</v>
      </c>
      <c r="I96" t="str">
        <f t="shared" si="5"/>
        <v>Silver</v>
      </c>
      <c r="J96" t="s">
        <v>14</v>
      </c>
      <c r="K96" s="17">
        <v>50059</v>
      </c>
      <c r="L96" s="17" t="s">
        <v>1214</v>
      </c>
      <c r="M96" t="s">
        <v>2254</v>
      </c>
      <c r="N96" t="s">
        <v>1227</v>
      </c>
      <c r="O96">
        <v>6160</v>
      </c>
      <c r="P96">
        <v>1200</v>
      </c>
      <c r="Q96">
        <v>2400</v>
      </c>
      <c r="R96" t="s">
        <v>1785</v>
      </c>
    </row>
    <row r="97" spans="1:18" x14ac:dyDescent="0.25">
      <c r="A97">
        <v>1894</v>
      </c>
      <c r="B97" t="s">
        <v>925</v>
      </c>
      <c r="C97" t="s">
        <v>125</v>
      </c>
      <c r="D97" t="str">
        <f t="shared" si="3"/>
        <v>Mora Abigail</v>
      </c>
      <c r="E97" t="s">
        <v>1249</v>
      </c>
      <c r="F97" s="1">
        <v>45328</v>
      </c>
      <c r="G97" s="32" t="str">
        <f t="shared" si="4"/>
        <v>Feb</v>
      </c>
      <c r="H97">
        <v>1</v>
      </c>
      <c r="I97" t="str">
        <f t="shared" si="5"/>
        <v>Bronze</v>
      </c>
      <c r="J97" t="s">
        <v>1243</v>
      </c>
      <c r="K97" s="17">
        <v>32490</v>
      </c>
      <c r="L97" s="17" t="s">
        <v>1228</v>
      </c>
      <c r="M97" t="s">
        <v>2252</v>
      </c>
      <c r="N97" t="s">
        <v>1240</v>
      </c>
      <c r="O97">
        <v>7310</v>
      </c>
      <c r="P97">
        <v>1200</v>
      </c>
      <c r="Q97">
        <v>1200</v>
      </c>
      <c r="R97" t="s">
        <v>1911</v>
      </c>
    </row>
    <row r="98" spans="1:18" x14ac:dyDescent="0.25">
      <c r="A98">
        <v>1242</v>
      </c>
      <c r="B98" t="s">
        <v>42</v>
      </c>
      <c r="C98" t="s">
        <v>43</v>
      </c>
      <c r="D98" t="str">
        <f t="shared" si="3"/>
        <v>Valencia Rosalie</v>
      </c>
      <c r="E98" t="s">
        <v>1248</v>
      </c>
      <c r="F98" s="1">
        <v>45330</v>
      </c>
      <c r="G98" s="32" t="str">
        <f t="shared" si="4"/>
        <v>Feb</v>
      </c>
      <c r="H98">
        <v>3</v>
      </c>
      <c r="I98" t="str">
        <f t="shared" si="5"/>
        <v>Gold</v>
      </c>
      <c r="J98" t="s">
        <v>1242</v>
      </c>
      <c r="K98" s="17">
        <v>67620</v>
      </c>
      <c r="L98" s="17" t="s">
        <v>1228</v>
      </c>
      <c r="M98" t="s">
        <v>2252</v>
      </c>
      <c r="N98" t="s">
        <v>1229</v>
      </c>
      <c r="O98">
        <v>7250</v>
      </c>
      <c r="P98">
        <v>300</v>
      </c>
      <c r="Q98">
        <v>900</v>
      </c>
      <c r="R98" t="s">
        <v>1258</v>
      </c>
    </row>
    <row r="99" spans="1:18" x14ac:dyDescent="0.25">
      <c r="A99">
        <v>1462</v>
      </c>
      <c r="B99" t="s">
        <v>420</v>
      </c>
      <c r="C99" t="s">
        <v>421</v>
      </c>
      <c r="D99" t="str">
        <f t="shared" si="3"/>
        <v>Nuñez Mackenzie</v>
      </c>
      <c r="E99" t="s">
        <v>1205</v>
      </c>
      <c r="F99" s="1">
        <v>45330</v>
      </c>
      <c r="G99" s="32" t="str">
        <f t="shared" si="4"/>
        <v>Feb</v>
      </c>
      <c r="H99">
        <v>3</v>
      </c>
      <c r="I99" t="str">
        <f t="shared" si="5"/>
        <v>Gold</v>
      </c>
      <c r="J99" t="s">
        <v>14</v>
      </c>
      <c r="K99" s="17">
        <v>40342</v>
      </c>
      <c r="L99" s="17" t="s">
        <v>1224</v>
      </c>
      <c r="M99" t="s">
        <v>2255</v>
      </c>
      <c r="N99" t="s">
        <v>1238</v>
      </c>
      <c r="O99">
        <v>5600</v>
      </c>
      <c r="P99">
        <v>250</v>
      </c>
      <c r="Q99">
        <v>750</v>
      </c>
      <c r="R99" t="s">
        <v>1478</v>
      </c>
    </row>
    <row r="100" spans="1:18" x14ac:dyDescent="0.25">
      <c r="A100">
        <v>1680</v>
      </c>
      <c r="B100" t="s">
        <v>154</v>
      </c>
      <c r="C100" t="s">
        <v>698</v>
      </c>
      <c r="D100" t="str">
        <f t="shared" si="3"/>
        <v>Guerra Briella</v>
      </c>
      <c r="E100" t="s">
        <v>1205</v>
      </c>
      <c r="F100" s="1">
        <v>45330</v>
      </c>
      <c r="G100" s="32" t="str">
        <f t="shared" si="4"/>
        <v>Feb</v>
      </c>
      <c r="H100">
        <v>3</v>
      </c>
      <c r="I100" t="str">
        <f t="shared" si="5"/>
        <v>Gold</v>
      </c>
      <c r="J100" t="s">
        <v>1243</v>
      </c>
      <c r="K100" s="17">
        <v>99429</v>
      </c>
      <c r="L100" s="17" t="s">
        <v>1218</v>
      </c>
      <c r="M100" t="s">
        <v>2256</v>
      </c>
      <c r="N100" t="s">
        <v>1219</v>
      </c>
      <c r="O100">
        <v>2300</v>
      </c>
      <c r="P100">
        <v>250</v>
      </c>
      <c r="Q100">
        <v>750</v>
      </c>
      <c r="R100" t="s">
        <v>1697</v>
      </c>
    </row>
    <row r="101" spans="1:18" x14ac:dyDescent="0.25">
      <c r="A101">
        <v>1279</v>
      </c>
      <c r="B101" t="s">
        <v>115</v>
      </c>
      <c r="C101" t="s">
        <v>116</v>
      </c>
      <c r="D101" t="str">
        <f t="shared" si="3"/>
        <v>Rollins Leah</v>
      </c>
      <c r="E101" t="s">
        <v>1205</v>
      </c>
      <c r="F101" s="1">
        <v>45331</v>
      </c>
      <c r="G101" s="32" t="str">
        <f t="shared" si="4"/>
        <v>Feb</v>
      </c>
      <c r="H101">
        <v>1</v>
      </c>
      <c r="I101" t="str">
        <f t="shared" si="5"/>
        <v>Bronze</v>
      </c>
      <c r="J101" t="s">
        <v>14</v>
      </c>
      <c r="K101" s="17">
        <v>88519</v>
      </c>
      <c r="L101" s="17" t="s">
        <v>1220</v>
      </c>
      <c r="M101" t="s">
        <v>2252</v>
      </c>
      <c r="N101" t="s">
        <v>1221</v>
      </c>
      <c r="O101">
        <v>3350</v>
      </c>
      <c r="P101">
        <v>250</v>
      </c>
      <c r="Q101">
        <v>250</v>
      </c>
      <c r="R101" t="s">
        <v>1295</v>
      </c>
    </row>
    <row r="102" spans="1:18" x14ac:dyDescent="0.25">
      <c r="A102">
        <v>1556</v>
      </c>
      <c r="B102" t="s">
        <v>545</v>
      </c>
      <c r="C102" t="s">
        <v>546</v>
      </c>
      <c r="D102" t="str">
        <f t="shared" si="3"/>
        <v>Russo Olivia</v>
      </c>
      <c r="E102" t="s">
        <v>1208</v>
      </c>
      <c r="F102" s="1">
        <v>45331</v>
      </c>
      <c r="G102" s="32" t="str">
        <f t="shared" si="4"/>
        <v>Feb</v>
      </c>
      <c r="H102">
        <v>2</v>
      </c>
      <c r="I102" t="str">
        <f t="shared" si="5"/>
        <v>Silver</v>
      </c>
      <c r="J102" t="s">
        <v>1242</v>
      </c>
      <c r="K102" s="17">
        <v>95907</v>
      </c>
      <c r="L102" s="17" t="s">
        <v>1214</v>
      </c>
      <c r="M102" t="s">
        <v>2256</v>
      </c>
      <c r="N102" t="s">
        <v>1236</v>
      </c>
      <c r="O102">
        <v>6000</v>
      </c>
      <c r="P102">
        <v>800</v>
      </c>
      <c r="Q102">
        <v>1600</v>
      </c>
      <c r="R102" t="s">
        <v>1572</v>
      </c>
    </row>
    <row r="103" spans="1:18" x14ac:dyDescent="0.25">
      <c r="A103">
        <v>1358</v>
      </c>
      <c r="B103" t="s">
        <v>252</v>
      </c>
      <c r="C103" t="s">
        <v>253</v>
      </c>
      <c r="D103" t="str">
        <f t="shared" si="3"/>
        <v>Berger Avianna</v>
      </c>
      <c r="E103" t="s">
        <v>1248</v>
      </c>
      <c r="F103" s="1">
        <v>45332</v>
      </c>
      <c r="G103" s="32" t="str">
        <f t="shared" si="4"/>
        <v>Feb</v>
      </c>
      <c r="H103">
        <v>3</v>
      </c>
      <c r="I103" t="str">
        <f t="shared" si="5"/>
        <v>Gold</v>
      </c>
      <c r="J103" t="s">
        <v>1243</v>
      </c>
      <c r="K103" s="17">
        <v>79205</v>
      </c>
      <c r="L103" s="17" t="s">
        <v>1220</v>
      </c>
      <c r="M103" t="s">
        <v>2253</v>
      </c>
      <c r="N103" t="s">
        <v>1221</v>
      </c>
      <c r="O103">
        <v>3350</v>
      </c>
      <c r="P103">
        <v>300</v>
      </c>
      <c r="Q103">
        <v>900</v>
      </c>
      <c r="R103" t="s">
        <v>1374</v>
      </c>
    </row>
    <row r="104" spans="1:18" x14ac:dyDescent="0.25">
      <c r="A104">
        <v>1456</v>
      </c>
      <c r="B104" t="s">
        <v>411</v>
      </c>
      <c r="C104" t="s">
        <v>27</v>
      </c>
      <c r="D104" t="str">
        <f t="shared" si="3"/>
        <v>Miles Lewis</v>
      </c>
      <c r="E104" t="s">
        <v>1207</v>
      </c>
      <c r="F104" s="1">
        <v>45333</v>
      </c>
      <c r="G104" s="32" t="str">
        <f t="shared" si="4"/>
        <v>Feb</v>
      </c>
      <c r="H104">
        <v>3</v>
      </c>
      <c r="I104" t="str">
        <f t="shared" si="5"/>
        <v>Gold</v>
      </c>
      <c r="J104" t="s">
        <v>1243</v>
      </c>
      <c r="K104" s="17">
        <v>40604</v>
      </c>
      <c r="L104" s="17" t="s">
        <v>1224</v>
      </c>
      <c r="M104" t="s">
        <v>2253</v>
      </c>
      <c r="N104" t="s">
        <v>1225</v>
      </c>
      <c r="O104">
        <v>5290</v>
      </c>
      <c r="P104">
        <v>250</v>
      </c>
      <c r="Q104">
        <v>750</v>
      </c>
      <c r="R104" t="s">
        <v>1472</v>
      </c>
    </row>
    <row r="105" spans="1:18" x14ac:dyDescent="0.25">
      <c r="A105">
        <v>2014</v>
      </c>
      <c r="B105" t="s">
        <v>1023</v>
      </c>
      <c r="C105" t="s">
        <v>682</v>
      </c>
      <c r="D105" t="str">
        <f t="shared" si="3"/>
        <v>Stephenson Amari</v>
      </c>
      <c r="E105" t="s">
        <v>1203</v>
      </c>
      <c r="F105" s="1">
        <v>45333</v>
      </c>
      <c r="G105" s="32" t="str">
        <f t="shared" si="4"/>
        <v>Feb</v>
      </c>
      <c r="H105">
        <v>2</v>
      </c>
      <c r="I105" t="str">
        <f t="shared" si="5"/>
        <v>Silver</v>
      </c>
      <c r="J105" t="s">
        <v>14</v>
      </c>
      <c r="K105" s="17">
        <v>39827</v>
      </c>
      <c r="L105" s="17" t="s">
        <v>1214</v>
      </c>
      <c r="M105" t="s">
        <v>2252</v>
      </c>
      <c r="N105" t="s">
        <v>1215</v>
      </c>
      <c r="O105">
        <v>6725</v>
      </c>
      <c r="P105">
        <v>600</v>
      </c>
      <c r="Q105">
        <v>1200</v>
      </c>
      <c r="R105" t="s">
        <v>2031</v>
      </c>
    </row>
    <row r="106" spans="1:18" x14ac:dyDescent="0.25">
      <c r="A106">
        <v>1514</v>
      </c>
      <c r="B106" t="s">
        <v>493</v>
      </c>
      <c r="C106" t="s">
        <v>494</v>
      </c>
      <c r="D106" t="str">
        <f t="shared" si="3"/>
        <v>Estes Genesis</v>
      </c>
      <c r="E106" t="s">
        <v>1208</v>
      </c>
      <c r="F106" s="1">
        <v>45334</v>
      </c>
      <c r="G106" s="32" t="str">
        <f t="shared" si="4"/>
        <v>Feb</v>
      </c>
      <c r="H106">
        <v>3</v>
      </c>
      <c r="I106" t="str">
        <f t="shared" si="5"/>
        <v>Gold</v>
      </c>
      <c r="J106" t="s">
        <v>14</v>
      </c>
      <c r="K106" s="17">
        <v>112</v>
      </c>
      <c r="L106" s="17" t="s">
        <v>1216</v>
      </c>
      <c r="M106" t="s">
        <v>2255</v>
      </c>
      <c r="N106" t="s">
        <v>1217</v>
      </c>
      <c r="O106">
        <v>2600</v>
      </c>
      <c r="P106">
        <v>800</v>
      </c>
      <c r="Q106">
        <v>2400</v>
      </c>
      <c r="R106" t="s">
        <v>1530</v>
      </c>
    </row>
    <row r="107" spans="1:18" x14ac:dyDescent="0.25">
      <c r="A107">
        <v>1683</v>
      </c>
      <c r="B107" t="s">
        <v>702</v>
      </c>
      <c r="C107" t="s">
        <v>703</v>
      </c>
      <c r="D107" t="str">
        <f t="shared" si="3"/>
        <v>Small Ada</v>
      </c>
      <c r="E107" t="s">
        <v>1207</v>
      </c>
      <c r="F107" s="1">
        <v>45334</v>
      </c>
      <c r="G107" s="32" t="str">
        <f t="shared" si="4"/>
        <v>Feb</v>
      </c>
      <c r="H107">
        <v>3</v>
      </c>
      <c r="I107" t="str">
        <f t="shared" si="5"/>
        <v>Gold</v>
      </c>
      <c r="J107" t="s">
        <v>14</v>
      </c>
      <c r="K107" s="17">
        <v>29457</v>
      </c>
      <c r="L107" s="17" t="s">
        <v>1222</v>
      </c>
      <c r="M107" t="s">
        <v>2256</v>
      </c>
      <c r="N107" t="s">
        <v>1223</v>
      </c>
      <c r="O107">
        <v>4217</v>
      </c>
      <c r="P107">
        <v>250</v>
      </c>
      <c r="Q107">
        <v>750</v>
      </c>
      <c r="R107" t="s">
        <v>1700</v>
      </c>
    </row>
    <row r="108" spans="1:18" x14ac:dyDescent="0.25">
      <c r="A108">
        <v>1857</v>
      </c>
      <c r="B108" t="s">
        <v>884</v>
      </c>
      <c r="C108" t="s">
        <v>674</v>
      </c>
      <c r="D108" t="str">
        <f t="shared" si="3"/>
        <v>Hubbard Kyle</v>
      </c>
      <c r="E108" t="s">
        <v>1208</v>
      </c>
      <c r="F108" s="1">
        <v>45334</v>
      </c>
      <c r="G108" s="32" t="str">
        <f t="shared" si="4"/>
        <v>Feb</v>
      </c>
      <c r="H108">
        <v>1</v>
      </c>
      <c r="I108" t="str">
        <f t="shared" si="5"/>
        <v>Bronze</v>
      </c>
      <c r="J108" t="s">
        <v>14</v>
      </c>
      <c r="K108" s="17">
        <v>88383</v>
      </c>
      <c r="L108" s="17" t="s">
        <v>1224</v>
      </c>
      <c r="M108" t="s">
        <v>2256</v>
      </c>
      <c r="N108" t="s">
        <v>1238</v>
      </c>
      <c r="O108">
        <v>5600</v>
      </c>
      <c r="P108">
        <v>800</v>
      </c>
      <c r="Q108">
        <v>800</v>
      </c>
      <c r="R108" t="s">
        <v>1874</v>
      </c>
    </row>
    <row r="109" spans="1:18" x14ac:dyDescent="0.25">
      <c r="A109">
        <v>2121</v>
      </c>
      <c r="B109" t="s">
        <v>62</v>
      </c>
      <c r="C109" t="s">
        <v>673</v>
      </c>
      <c r="D109" t="str">
        <f t="shared" si="3"/>
        <v>Klein Brody</v>
      </c>
      <c r="E109" t="s">
        <v>1248</v>
      </c>
      <c r="F109" s="1">
        <v>45334</v>
      </c>
      <c r="G109" s="32" t="str">
        <f t="shared" si="4"/>
        <v>Feb</v>
      </c>
      <c r="H109">
        <v>2</v>
      </c>
      <c r="I109" t="str">
        <f t="shared" si="5"/>
        <v>Silver</v>
      </c>
      <c r="J109" t="s">
        <v>14</v>
      </c>
      <c r="K109" s="17">
        <v>31117</v>
      </c>
      <c r="L109" s="17" t="s">
        <v>1228</v>
      </c>
      <c r="M109" t="s">
        <v>2253</v>
      </c>
      <c r="N109" t="s">
        <v>1229</v>
      </c>
      <c r="O109">
        <v>7250</v>
      </c>
      <c r="P109">
        <v>300</v>
      </c>
      <c r="Q109">
        <v>600</v>
      </c>
      <c r="R109" t="s">
        <v>2139</v>
      </c>
    </row>
    <row r="110" spans="1:18" x14ac:dyDescent="0.25">
      <c r="A110">
        <v>1657</v>
      </c>
      <c r="B110" t="s">
        <v>668</v>
      </c>
      <c r="C110" t="s">
        <v>669</v>
      </c>
      <c r="D110" t="str">
        <f t="shared" si="3"/>
        <v>Leal Enzo</v>
      </c>
      <c r="E110" t="s">
        <v>1248</v>
      </c>
      <c r="F110" s="1">
        <v>45335</v>
      </c>
      <c r="G110" s="32" t="str">
        <f t="shared" si="4"/>
        <v>Feb</v>
      </c>
      <c r="H110">
        <v>2</v>
      </c>
      <c r="I110" t="str">
        <f t="shared" si="5"/>
        <v>Silver</v>
      </c>
      <c r="J110" t="s">
        <v>14</v>
      </c>
      <c r="K110" s="17">
        <v>32118</v>
      </c>
      <c r="L110" s="17" t="s">
        <v>1214</v>
      </c>
      <c r="M110" t="s">
        <v>2252</v>
      </c>
      <c r="N110" t="s">
        <v>1236</v>
      </c>
      <c r="O110">
        <v>6000</v>
      </c>
      <c r="P110">
        <v>300</v>
      </c>
      <c r="Q110">
        <v>600</v>
      </c>
      <c r="R110" t="s">
        <v>1674</v>
      </c>
    </row>
    <row r="111" spans="1:18" x14ac:dyDescent="0.25">
      <c r="A111">
        <v>1789</v>
      </c>
      <c r="B111" t="s">
        <v>815</v>
      </c>
      <c r="C111" t="s">
        <v>816</v>
      </c>
      <c r="D111" t="str">
        <f t="shared" si="3"/>
        <v>Wheeler Sullivan</v>
      </c>
      <c r="E111" t="s">
        <v>1207</v>
      </c>
      <c r="F111" s="1">
        <v>45335</v>
      </c>
      <c r="G111" s="32" t="str">
        <f t="shared" si="4"/>
        <v>Feb</v>
      </c>
      <c r="H111">
        <v>1</v>
      </c>
      <c r="I111" t="str">
        <f t="shared" si="5"/>
        <v>Bronze</v>
      </c>
      <c r="J111" t="s">
        <v>14</v>
      </c>
      <c r="K111" s="17">
        <v>96462</v>
      </c>
      <c r="L111" s="17" t="s">
        <v>1224</v>
      </c>
      <c r="M111" t="s">
        <v>2253</v>
      </c>
      <c r="N111" t="s">
        <v>1225</v>
      </c>
      <c r="O111">
        <v>5290</v>
      </c>
      <c r="P111">
        <v>250</v>
      </c>
      <c r="Q111">
        <v>250</v>
      </c>
      <c r="R111" t="s">
        <v>1806</v>
      </c>
    </row>
    <row r="112" spans="1:18" x14ac:dyDescent="0.25">
      <c r="A112">
        <v>2085</v>
      </c>
      <c r="B112" t="s">
        <v>1087</v>
      </c>
      <c r="C112" t="s">
        <v>1088</v>
      </c>
      <c r="D112" t="str">
        <f t="shared" si="3"/>
        <v>Rogers Phoebe</v>
      </c>
      <c r="E112" t="s">
        <v>1205</v>
      </c>
      <c r="F112" s="1">
        <v>45335</v>
      </c>
      <c r="G112" s="32" t="str">
        <f t="shared" si="4"/>
        <v>Feb</v>
      </c>
      <c r="H112">
        <v>3</v>
      </c>
      <c r="I112" t="str">
        <f t="shared" si="5"/>
        <v>Gold</v>
      </c>
      <c r="J112" t="s">
        <v>1243</v>
      </c>
      <c r="K112" s="17">
        <v>10602</v>
      </c>
      <c r="L112" s="17" t="s">
        <v>1214</v>
      </c>
      <c r="M112" t="s">
        <v>2254</v>
      </c>
      <c r="N112" t="s">
        <v>1215</v>
      </c>
      <c r="O112">
        <v>6725</v>
      </c>
      <c r="P112">
        <v>250</v>
      </c>
      <c r="Q112">
        <v>750</v>
      </c>
      <c r="R112" t="s">
        <v>2102</v>
      </c>
    </row>
    <row r="113" spans="1:18" x14ac:dyDescent="0.25">
      <c r="A113">
        <v>1418</v>
      </c>
      <c r="B113" t="s">
        <v>349</v>
      </c>
      <c r="C113" t="s">
        <v>350</v>
      </c>
      <c r="D113" t="str">
        <f t="shared" si="3"/>
        <v>Alvarado Zayn</v>
      </c>
      <c r="E113" t="s">
        <v>1205</v>
      </c>
      <c r="F113" s="1">
        <v>45337</v>
      </c>
      <c r="G113" s="32" t="str">
        <f t="shared" si="4"/>
        <v>Feb</v>
      </c>
      <c r="H113">
        <v>3</v>
      </c>
      <c r="I113" t="str">
        <f t="shared" si="5"/>
        <v>Gold</v>
      </c>
      <c r="J113" t="s">
        <v>14</v>
      </c>
      <c r="K113" s="17">
        <v>44704</v>
      </c>
      <c r="L113" s="17" t="s">
        <v>1220</v>
      </c>
      <c r="M113" t="s">
        <v>2254</v>
      </c>
      <c r="N113" t="s">
        <v>1226</v>
      </c>
      <c r="O113">
        <v>3220</v>
      </c>
      <c r="P113">
        <v>250</v>
      </c>
      <c r="Q113">
        <v>750</v>
      </c>
      <c r="R113" t="s">
        <v>1434</v>
      </c>
    </row>
    <row r="114" spans="1:18" x14ac:dyDescent="0.25">
      <c r="A114">
        <v>1602</v>
      </c>
      <c r="B114" t="s">
        <v>182</v>
      </c>
      <c r="C114" t="s">
        <v>602</v>
      </c>
      <c r="D114" t="str">
        <f t="shared" si="3"/>
        <v>Coleman Ruby</v>
      </c>
      <c r="E114" t="s">
        <v>1248</v>
      </c>
      <c r="F114" s="1">
        <v>45337</v>
      </c>
      <c r="G114" s="32" t="str">
        <f t="shared" si="4"/>
        <v>Feb</v>
      </c>
      <c r="H114">
        <v>2</v>
      </c>
      <c r="I114" t="str">
        <f t="shared" si="5"/>
        <v>Silver</v>
      </c>
      <c r="J114" t="s">
        <v>14</v>
      </c>
      <c r="K114" s="17">
        <v>75889</v>
      </c>
      <c r="L114" s="17" t="s">
        <v>1214</v>
      </c>
      <c r="M114" t="s">
        <v>2254</v>
      </c>
      <c r="N114" t="s">
        <v>1215</v>
      </c>
      <c r="O114">
        <v>6725</v>
      </c>
      <c r="P114">
        <v>300</v>
      </c>
      <c r="Q114">
        <v>600</v>
      </c>
      <c r="R114" t="s">
        <v>1618</v>
      </c>
    </row>
    <row r="115" spans="1:18" x14ac:dyDescent="0.25">
      <c r="A115">
        <v>1639</v>
      </c>
      <c r="B115" t="s">
        <v>645</v>
      </c>
      <c r="C115" t="s">
        <v>423</v>
      </c>
      <c r="D115" t="str">
        <f t="shared" si="3"/>
        <v>Hahn Stevie</v>
      </c>
      <c r="E115" t="s">
        <v>1207</v>
      </c>
      <c r="F115" s="1">
        <v>45337</v>
      </c>
      <c r="G115" s="32" t="str">
        <f t="shared" si="4"/>
        <v>Feb</v>
      </c>
      <c r="H115">
        <v>3</v>
      </c>
      <c r="I115" t="str">
        <f t="shared" si="5"/>
        <v>Gold</v>
      </c>
      <c r="J115" t="s">
        <v>18</v>
      </c>
      <c r="K115" s="17">
        <v>24225</v>
      </c>
      <c r="L115" s="17" t="s">
        <v>1220</v>
      </c>
      <c r="M115" t="s">
        <v>2256</v>
      </c>
      <c r="N115" t="s">
        <v>1232</v>
      </c>
      <c r="O115">
        <v>3000</v>
      </c>
      <c r="P115">
        <v>250</v>
      </c>
      <c r="Q115">
        <v>750</v>
      </c>
      <c r="R115" t="s">
        <v>1656</v>
      </c>
    </row>
    <row r="116" spans="1:18" x14ac:dyDescent="0.25">
      <c r="A116">
        <v>1397</v>
      </c>
      <c r="B116" t="s">
        <v>315</v>
      </c>
      <c r="C116" t="s">
        <v>316</v>
      </c>
      <c r="D116" t="str">
        <f t="shared" si="3"/>
        <v>Aguilar Veronica</v>
      </c>
      <c r="E116" t="s">
        <v>1249</v>
      </c>
      <c r="F116" s="1">
        <v>45338</v>
      </c>
      <c r="G116" s="32" t="str">
        <f t="shared" si="4"/>
        <v>Feb</v>
      </c>
      <c r="H116">
        <v>1</v>
      </c>
      <c r="I116" t="str">
        <f t="shared" si="5"/>
        <v>Bronze</v>
      </c>
      <c r="J116" t="s">
        <v>1242</v>
      </c>
      <c r="K116" s="17">
        <v>58578</v>
      </c>
      <c r="L116" s="17" t="s">
        <v>1233</v>
      </c>
      <c r="M116" t="s">
        <v>2256</v>
      </c>
      <c r="N116" t="s">
        <v>1234</v>
      </c>
      <c r="O116">
        <v>800</v>
      </c>
      <c r="P116">
        <v>1200</v>
      </c>
      <c r="Q116">
        <v>1200</v>
      </c>
      <c r="R116" t="s">
        <v>1413</v>
      </c>
    </row>
    <row r="117" spans="1:18" x14ac:dyDescent="0.25">
      <c r="A117">
        <v>1467</v>
      </c>
      <c r="B117" t="s">
        <v>427</v>
      </c>
      <c r="C117" t="s">
        <v>428</v>
      </c>
      <c r="D117" t="str">
        <f t="shared" si="3"/>
        <v>Bean Cataleya</v>
      </c>
      <c r="E117" t="s">
        <v>1205</v>
      </c>
      <c r="F117" s="1">
        <v>45338</v>
      </c>
      <c r="G117" s="32" t="str">
        <f t="shared" si="4"/>
        <v>Feb</v>
      </c>
      <c r="H117">
        <v>2</v>
      </c>
      <c r="I117" t="str">
        <f t="shared" si="5"/>
        <v>Silver</v>
      </c>
      <c r="J117" t="s">
        <v>1242</v>
      </c>
      <c r="K117" s="17">
        <v>66601</v>
      </c>
      <c r="L117" s="17" t="s">
        <v>1224</v>
      </c>
      <c r="M117" t="s">
        <v>2254</v>
      </c>
      <c r="N117" t="s">
        <v>1238</v>
      </c>
      <c r="O117">
        <v>5600</v>
      </c>
      <c r="P117">
        <v>250</v>
      </c>
      <c r="Q117">
        <v>500</v>
      </c>
      <c r="R117" t="s">
        <v>1483</v>
      </c>
    </row>
    <row r="118" spans="1:18" x14ac:dyDescent="0.25">
      <c r="A118">
        <v>1923</v>
      </c>
      <c r="B118" t="s">
        <v>952</v>
      </c>
      <c r="C118" t="s">
        <v>953</v>
      </c>
      <c r="D118" t="str">
        <f t="shared" si="3"/>
        <v>Cantrell Sophia</v>
      </c>
      <c r="E118" t="s">
        <v>1203</v>
      </c>
      <c r="F118" s="1">
        <v>45338</v>
      </c>
      <c r="G118" s="32" t="str">
        <f t="shared" si="4"/>
        <v>Feb</v>
      </c>
      <c r="H118">
        <v>3</v>
      </c>
      <c r="I118" t="str">
        <f t="shared" si="5"/>
        <v>Gold</v>
      </c>
      <c r="J118" t="s">
        <v>1243</v>
      </c>
      <c r="K118" s="17">
        <v>60192</v>
      </c>
      <c r="L118" s="17" t="s">
        <v>1228</v>
      </c>
      <c r="M118" t="s">
        <v>2254</v>
      </c>
      <c r="N118" t="s">
        <v>1240</v>
      </c>
      <c r="O118">
        <v>7310</v>
      </c>
      <c r="P118">
        <v>600</v>
      </c>
      <c r="Q118">
        <v>1800</v>
      </c>
      <c r="R118" t="s">
        <v>1940</v>
      </c>
    </row>
    <row r="119" spans="1:18" x14ac:dyDescent="0.25">
      <c r="A119">
        <v>1638</v>
      </c>
      <c r="B119" t="s">
        <v>644</v>
      </c>
      <c r="C119" t="s">
        <v>501</v>
      </c>
      <c r="D119" t="str">
        <f t="shared" si="3"/>
        <v>Zimmerman Kaleb</v>
      </c>
      <c r="E119" t="s">
        <v>1208</v>
      </c>
      <c r="F119" s="1">
        <v>45339</v>
      </c>
      <c r="G119" s="32" t="str">
        <f t="shared" si="4"/>
        <v>Feb</v>
      </c>
      <c r="H119">
        <v>1</v>
      </c>
      <c r="I119" t="str">
        <f t="shared" si="5"/>
        <v>Bronze</v>
      </c>
      <c r="J119" t="s">
        <v>1243</v>
      </c>
      <c r="K119" s="17">
        <v>44251</v>
      </c>
      <c r="L119" s="17" t="s">
        <v>1216</v>
      </c>
      <c r="M119" t="s">
        <v>2254</v>
      </c>
      <c r="N119" t="s">
        <v>1217</v>
      </c>
      <c r="O119">
        <v>2600</v>
      </c>
      <c r="P119">
        <v>800</v>
      </c>
      <c r="Q119">
        <v>800</v>
      </c>
      <c r="R119" t="s">
        <v>1655</v>
      </c>
    </row>
    <row r="120" spans="1:18" x14ac:dyDescent="0.25">
      <c r="A120">
        <v>1645</v>
      </c>
      <c r="B120" t="s">
        <v>653</v>
      </c>
      <c r="C120" t="s">
        <v>654</v>
      </c>
      <c r="D120" t="str">
        <f t="shared" si="3"/>
        <v>Rocha Londyn</v>
      </c>
      <c r="E120" t="s">
        <v>1249</v>
      </c>
      <c r="F120" s="1">
        <v>45339</v>
      </c>
      <c r="G120" s="32" t="str">
        <f t="shared" si="4"/>
        <v>Feb</v>
      </c>
      <c r="H120">
        <v>3</v>
      </c>
      <c r="I120" t="str">
        <f t="shared" si="5"/>
        <v>Gold</v>
      </c>
      <c r="J120" t="s">
        <v>14</v>
      </c>
      <c r="K120" s="17">
        <v>52732</v>
      </c>
      <c r="L120" s="17" t="s">
        <v>1228</v>
      </c>
      <c r="M120" t="s">
        <v>2255</v>
      </c>
      <c r="N120" t="s">
        <v>1230</v>
      </c>
      <c r="O120">
        <v>7000</v>
      </c>
      <c r="P120">
        <v>1200</v>
      </c>
      <c r="Q120">
        <v>3600</v>
      </c>
      <c r="R120" t="s">
        <v>1662</v>
      </c>
    </row>
    <row r="121" spans="1:18" x14ac:dyDescent="0.25">
      <c r="A121">
        <v>1282</v>
      </c>
      <c r="B121" t="s">
        <v>120</v>
      </c>
      <c r="C121" t="s">
        <v>121</v>
      </c>
      <c r="D121" t="str">
        <f t="shared" si="3"/>
        <v>Parsons Jared</v>
      </c>
      <c r="E121" t="s">
        <v>1203</v>
      </c>
      <c r="F121" s="1">
        <v>45340</v>
      </c>
      <c r="G121" s="32" t="str">
        <f t="shared" si="4"/>
        <v>Feb</v>
      </c>
      <c r="H121">
        <v>3</v>
      </c>
      <c r="I121" t="str">
        <f t="shared" si="5"/>
        <v>Gold</v>
      </c>
      <c r="J121" t="s">
        <v>14</v>
      </c>
      <c r="K121" s="17">
        <v>91009</v>
      </c>
      <c r="L121" s="17" t="s">
        <v>1224</v>
      </c>
      <c r="M121" t="s">
        <v>2254</v>
      </c>
      <c r="N121" t="s">
        <v>1238</v>
      </c>
      <c r="O121">
        <v>5600</v>
      </c>
      <c r="P121">
        <v>600</v>
      </c>
      <c r="Q121">
        <v>1800</v>
      </c>
      <c r="R121" t="s">
        <v>1298</v>
      </c>
    </row>
    <row r="122" spans="1:18" x14ac:dyDescent="0.25">
      <c r="A122">
        <v>1427</v>
      </c>
      <c r="B122" t="s">
        <v>320</v>
      </c>
      <c r="C122" t="s">
        <v>364</v>
      </c>
      <c r="D122" t="str">
        <f t="shared" si="3"/>
        <v>Carpenter Sloane</v>
      </c>
      <c r="E122" t="s">
        <v>1207</v>
      </c>
      <c r="F122" s="1">
        <v>45340</v>
      </c>
      <c r="G122" s="32" t="str">
        <f t="shared" si="4"/>
        <v>Feb</v>
      </c>
      <c r="H122">
        <v>3</v>
      </c>
      <c r="I122" t="str">
        <f t="shared" si="5"/>
        <v>Gold</v>
      </c>
      <c r="J122" t="s">
        <v>1242</v>
      </c>
      <c r="K122" s="17">
        <v>4523</v>
      </c>
      <c r="L122" s="17" t="s">
        <v>1220</v>
      </c>
      <c r="M122" t="s">
        <v>2256</v>
      </c>
      <c r="N122" t="s">
        <v>1232</v>
      </c>
      <c r="O122">
        <v>3000</v>
      </c>
      <c r="P122">
        <v>250</v>
      </c>
      <c r="Q122">
        <v>750</v>
      </c>
      <c r="R122" t="s">
        <v>1443</v>
      </c>
    </row>
    <row r="123" spans="1:18" x14ac:dyDescent="0.25">
      <c r="A123">
        <v>1490</v>
      </c>
      <c r="B123" t="s">
        <v>463</v>
      </c>
      <c r="C123" t="s">
        <v>181</v>
      </c>
      <c r="D123" t="str">
        <f t="shared" si="3"/>
        <v>Williams Alessandra</v>
      </c>
      <c r="E123" t="s">
        <v>1203</v>
      </c>
      <c r="F123" s="1">
        <v>45340</v>
      </c>
      <c r="G123" s="32" t="str">
        <f t="shared" si="4"/>
        <v>Feb</v>
      </c>
      <c r="H123">
        <v>2</v>
      </c>
      <c r="I123" t="str">
        <f t="shared" si="5"/>
        <v>Silver</v>
      </c>
      <c r="J123" t="s">
        <v>14</v>
      </c>
      <c r="K123" s="17">
        <v>36982</v>
      </c>
      <c r="L123" s="17" t="s">
        <v>1220</v>
      </c>
      <c r="M123" t="s">
        <v>2256</v>
      </c>
      <c r="N123" t="s">
        <v>1221</v>
      </c>
      <c r="O123">
        <v>3350</v>
      </c>
      <c r="P123">
        <v>600</v>
      </c>
      <c r="Q123">
        <v>1200</v>
      </c>
      <c r="R123" t="s">
        <v>1506</v>
      </c>
    </row>
    <row r="124" spans="1:18" x14ac:dyDescent="0.25">
      <c r="A124">
        <v>1780</v>
      </c>
      <c r="B124" t="s">
        <v>805</v>
      </c>
      <c r="C124" t="s">
        <v>806</v>
      </c>
      <c r="D124" t="str">
        <f t="shared" si="3"/>
        <v>Gross Gianna</v>
      </c>
      <c r="E124" t="s">
        <v>1205</v>
      </c>
      <c r="F124" s="1">
        <v>45340</v>
      </c>
      <c r="G124" s="32" t="str">
        <f t="shared" si="4"/>
        <v>Feb</v>
      </c>
      <c r="H124">
        <v>2</v>
      </c>
      <c r="I124" t="str">
        <f t="shared" si="5"/>
        <v>Silver</v>
      </c>
      <c r="J124" t="s">
        <v>1242</v>
      </c>
      <c r="K124" s="17">
        <v>52675</v>
      </c>
      <c r="L124" s="17" t="s">
        <v>1233</v>
      </c>
      <c r="M124" t="s">
        <v>2256</v>
      </c>
      <c r="N124" t="s">
        <v>1239</v>
      </c>
      <c r="O124">
        <v>870</v>
      </c>
      <c r="P124">
        <v>250</v>
      </c>
      <c r="Q124">
        <v>500</v>
      </c>
      <c r="R124" t="s">
        <v>1797</v>
      </c>
    </row>
    <row r="125" spans="1:18" x14ac:dyDescent="0.25">
      <c r="A125">
        <v>1796</v>
      </c>
      <c r="B125" t="s">
        <v>653</v>
      </c>
      <c r="C125" t="s">
        <v>825</v>
      </c>
      <c r="D125" t="str">
        <f t="shared" si="3"/>
        <v>Rocha Alicia</v>
      </c>
      <c r="E125" t="s">
        <v>1249</v>
      </c>
      <c r="F125" s="1">
        <v>45340</v>
      </c>
      <c r="G125" s="32" t="str">
        <f t="shared" si="4"/>
        <v>Feb</v>
      </c>
      <c r="H125">
        <v>3</v>
      </c>
      <c r="I125" t="str">
        <f t="shared" si="5"/>
        <v>Gold</v>
      </c>
      <c r="J125" t="s">
        <v>14</v>
      </c>
      <c r="K125" s="17">
        <v>56256</v>
      </c>
      <c r="L125" s="17" t="s">
        <v>1224</v>
      </c>
      <c r="M125" t="s">
        <v>2254</v>
      </c>
      <c r="N125" t="s">
        <v>1225</v>
      </c>
      <c r="O125">
        <v>5290</v>
      </c>
      <c r="P125">
        <v>1200</v>
      </c>
      <c r="Q125">
        <v>3600</v>
      </c>
      <c r="R125" t="s">
        <v>1813</v>
      </c>
    </row>
    <row r="126" spans="1:18" x14ac:dyDescent="0.25">
      <c r="A126">
        <v>1839</v>
      </c>
      <c r="B126" t="s">
        <v>515</v>
      </c>
      <c r="C126" t="s">
        <v>698</v>
      </c>
      <c r="D126" t="str">
        <f t="shared" si="3"/>
        <v>Flowers Briella</v>
      </c>
      <c r="E126" t="s">
        <v>1248</v>
      </c>
      <c r="F126" s="1">
        <v>45340</v>
      </c>
      <c r="G126" s="32" t="str">
        <f t="shared" si="4"/>
        <v>Feb</v>
      </c>
      <c r="H126">
        <v>2</v>
      </c>
      <c r="I126" t="str">
        <f t="shared" si="5"/>
        <v>Silver</v>
      </c>
      <c r="J126" t="s">
        <v>14</v>
      </c>
      <c r="K126" s="17">
        <v>59717</v>
      </c>
      <c r="L126" s="17" t="s">
        <v>1224</v>
      </c>
      <c r="M126" t="s">
        <v>2253</v>
      </c>
      <c r="N126" t="s">
        <v>1064</v>
      </c>
      <c r="O126">
        <v>5000</v>
      </c>
      <c r="P126">
        <v>300</v>
      </c>
      <c r="Q126">
        <v>600</v>
      </c>
      <c r="R126" t="s">
        <v>1856</v>
      </c>
    </row>
    <row r="127" spans="1:18" x14ac:dyDescent="0.25">
      <c r="A127">
        <v>1867</v>
      </c>
      <c r="B127" t="s">
        <v>711</v>
      </c>
      <c r="C127" t="s">
        <v>596</v>
      </c>
      <c r="D127" t="str">
        <f t="shared" si="3"/>
        <v>Stevenson Kyler</v>
      </c>
      <c r="E127" t="s">
        <v>1205</v>
      </c>
      <c r="F127" s="1">
        <v>45340</v>
      </c>
      <c r="G127" s="32" t="str">
        <f t="shared" si="4"/>
        <v>Feb</v>
      </c>
      <c r="H127">
        <v>3</v>
      </c>
      <c r="I127" t="str">
        <f t="shared" si="5"/>
        <v>Gold</v>
      </c>
      <c r="J127" t="s">
        <v>1243</v>
      </c>
      <c r="K127" s="17">
        <v>53905</v>
      </c>
      <c r="L127" s="17" t="s">
        <v>1224</v>
      </c>
      <c r="M127" t="s">
        <v>2253</v>
      </c>
      <c r="N127" t="s">
        <v>1238</v>
      </c>
      <c r="O127">
        <v>5600</v>
      </c>
      <c r="P127">
        <v>250</v>
      </c>
      <c r="Q127">
        <v>750</v>
      </c>
      <c r="R127" t="s">
        <v>1884</v>
      </c>
    </row>
    <row r="128" spans="1:18" x14ac:dyDescent="0.25">
      <c r="A128">
        <v>2185</v>
      </c>
      <c r="B128" t="s">
        <v>846</v>
      </c>
      <c r="C128" t="s">
        <v>1056</v>
      </c>
      <c r="D128" t="str">
        <f t="shared" si="3"/>
        <v>Clayton Camille</v>
      </c>
      <c r="E128" t="s">
        <v>1207</v>
      </c>
      <c r="F128" s="1">
        <v>45340</v>
      </c>
      <c r="G128" s="32" t="str">
        <f t="shared" si="4"/>
        <v>Feb</v>
      </c>
      <c r="H128">
        <v>3</v>
      </c>
      <c r="I128" t="str">
        <f t="shared" si="5"/>
        <v>Gold</v>
      </c>
      <c r="J128" t="s">
        <v>1242</v>
      </c>
      <c r="K128" s="17">
        <v>80664</v>
      </c>
      <c r="L128" s="17" t="s">
        <v>1224</v>
      </c>
      <c r="M128" t="s">
        <v>2252</v>
      </c>
      <c r="N128" t="s">
        <v>1064</v>
      </c>
      <c r="O128">
        <v>5000</v>
      </c>
      <c r="P128">
        <v>250</v>
      </c>
      <c r="Q128">
        <v>750</v>
      </c>
      <c r="R128" t="s">
        <v>2203</v>
      </c>
    </row>
    <row r="129" spans="1:18" x14ac:dyDescent="0.25">
      <c r="A129">
        <v>1629</v>
      </c>
      <c r="B129" t="s">
        <v>146</v>
      </c>
      <c r="C129" t="s">
        <v>300</v>
      </c>
      <c r="D129" t="str">
        <f t="shared" si="3"/>
        <v>Bentley Abel</v>
      </c>
      <c r="E129" t="s">
        <v>1249</v>
      </c>
      <c r="F129" s="1">
        <v>45341</v>
      </c>
      <c r="G129" s="32" t="str">
        <f t="shared" si="4"/>
        <v>Feb</v>
      </c>
      <c r="H129">
        <v>3</v>
      </c>
      <c r="I129" t="str">
        <f t="shared" si="5"/>
        <v>Gold</v>
      </c>
      <c r="J129" t="s">
        <v>1242</v>
      </c>
      <c r="K129" s="17">
        <v>44466</v>
      </c>
      <c r="L129" s="17" t="s">
        <v>1233</v>
      </c>
      <c r="M129" t="s">
        <v>2252</v>
      </c>
      <c r="N129" t="s">
        <v>1239</v>
      </c>
      <c r="O129">
        <v>870</v>
      </c>
      <c r="P129">
        <v>1200</v>
      </c>
      <c r="Q129">
        <v>3600</v>
      </c>
      <c r="R129" t="s">
        <v>1646</v>
      </c>
    </row>
    <row r="130" spans="1:18" x14ac:dyDescent="0.25">
      <c r="A130">
        <v>1869</v>
      </c>
      <c r="B130" t="s">
        <v>899</v>
      </c>
      <c r="C130" t="s">
        <v>75</v>
      </c>
      <c r="D130" t="str">
        <f t="shared" ref="D130:D193" si="6">CONCATENATE(B130, " ", C130)</f>
        <v>Tanner Noa</v>
      </c>
      <c r="E130" t="s">
        <v>1248</v>
      </c>
      <c r="F130" s="1">
        <v>45341</v>
      </c>
      <c r="G130" s="32" t="str">
        <f t="shared" ref="G130:G193" si="7">TEXT(F130, "MMM")</f>
        <v>Feb</v>
      </c>
      <c r="H130">
        <v>1</v>
      </c>
      <c r="I130" t="str">
        <f t="shared" ref="I130:I193" si="8">IF(H130=1,"Bronze",IF(H130=2,"Silver",IF(H130=3,"Gold")))</f>
        <v>Bronze</v>
      </c>
      <c r="J130" t="s">
        <v>1243</v>
      </c>
      <c r="K130" s="17">
        <v>90527</v>
      </c>
      <c r="L130" s="17" t="s">
        <v>1218</v>
      </c>
      <c r="M130" t="s">
        <v>2253</v>
      </c>
      <c r="N130" t="s">
        <v>1219</v>
      </c>
      <c r="O130">
        <v>2300</v>
      </c>
      <c r="P130">
        <v>300</v>
      </c>
      <c r="Q130">
        <v>300</v>
      </c>
      <c r="R130" t="s">
        <v>1886</v>
      </c>
    </row>
    <row r="131" spans="1:18" x14ac:dyDescent="0.25">
      <c r="A131">
        <v>1851</v>
      </c>
      <c r="B131" t="s">
        <v>688</v>
      </c>
      <c r="C131" t="s">
        <v>415</v>
      </c>
      <c r="D131" t="str">
        <f t="shared" si="6"/>
        <v>Henderson Marley</v>
      </c>
      <c r="E131" t="s">
        <v>1208</v>
      </c>
      <c r="F131" s="1">
        <v>45342</v>
      </c>
      <c r="G131" s="32" t="str">
        <f t="shared" si="7"/>
        <v>Feb</v>
      </c>
      <c r="H131">
        <v>3</v>
      </c>
      <c r="I131" t="str">
        <f t="shared" si="8"/>
        <v>Gold</v>
      </c>
      <c r="J131" t="s">
        <v>18</v>
      </c>
      <c r="K131" s="17">
        <v>63847</v>
      </c>
      <c r="L131" s="17" t="s">
        <v>1220</v>
      </c>
      <c r="M131" t="s">
        <v>2255</v>
      </c>
      <c r="N131" t="s">
        <v>1221</v>
      </c>
      <c r="O131">
        <v>3350</v>
      </c>
      <c r="P131">
        <v>800</v>
      </c>
      <c r="Q131">
        <v>2400</v>
      </c>
      <c r="R131" t="s">
        <v>1868</v>
      </c>
    </row>
    <row r="132" spans="1:18" x14ac:dyDescent="0.25">
      <c r="A132">
        <v>1909</v>
      </c>
      <c r="B132" t="s">
        <v>50</v>
      </c>
      <c r="C132" t="s">
        <v>304</v>
      </c>
      <c r="D132" t="str">
        <f t="shared" si="6"/>
        <v>Holt London</v>
      </c>
      <c r="E132" t="s">
        <v>1203</v>
      </c>
      <c r="F132" s="1">
        <v>45342</v>
      </c>
      <c r="G132" s="32" t="str">
        <f t="shared" si="7"/>
        <v>Feb</v>
      </c>
      <c r="H132">
        <v>2</v>
      </c>
      <c r="I132" t="str">
        <f t="shared" si="8"/>
        <v>Silver</v>
      </c>
      <c r="J132" t="s">
        <v>1242</v>
      </c>
      <c r="K132" s="17">
        <v>95431</v>
      </c>
      <c r="L132" s="17" t="s">
        <v>1224</v>
      </c>
      <c r="M132" t="s">
        <v>2252</v>
      </c>
      <c r="N132" t="s">
        <v>1064</v>
      </c>
      <c r="O132">
        <v>5000</v>
      </c>
      <c r="P132">
        <v>600</v>
      </c>
      <c r="Q132">
        <v>1200</v>
      </c>
      <c r="R132" t="s">
        <v>1926</v>
      </c>
    </row>
    <row r="133" spans="1:18" x14ac:dyDescent="0.25">
      <c r="A133">
        <v>1343</v>
      </c>
      <c r="B133" t="s">
        <v>229</v>
      </c>
      <c r="C133" t="s">
        <v>230</v>
      </c>
      <c r="D133" t="str">
        <f t="shared" si="6"/>
        <v>Fields Adelynn</v>
      </c>
      <c r="E133" t="s">
        <v>1207</v>
      </c>
      <c r="F133" s="1">
        <v>45343</v>
      </c>
      <c r="G133" s="32" t="str">
        <f t="shared" si="7"/>
        <v>Feb</v>
      </c>
      <c r="H133">
        <v>3</v>
      </c>
      <c r="I133" t="str">
        <f t="shared" si="8"/>
        <v>Gold</v>
      </c>
      <c r="J133" t="s">
        <v>1242</v>
      </c>
      <c r="K133" s="17">
        <v>82936</v>
      </c>
      <c r="L133" s="17" t="s">
        <v>1224</v>
      </c>
      <c r="M133" t="s">
        <v>2255</v>
      </c>
      <c r="N133" t="s">
        <v>1064</v>
      </c>
      <c r="O133">
        <v>5000</v>
      </c>
      <c r="P133">
        <v>250</v>
      </c>
      <c r="Q133">
        <v>750</v>
      </c>
      <c r="R133" t="s">
        <v>1359</v>
      </c>
    </row>
    <row r="134" spans="1:18" x14ac:dyDescent="0.25">
      <c r="A134">
        <v>2067</v>
      </c>
      <c r="B134" t="s">
        <v>1069</v>
      </c>
      <c r="C134" t="s">
        <v>1070</v>
      </c>
      <c r="D134" t="str">
        <f t="shared" si="6"/>
        <v>Mcconnell Lilah</v>
      </c>
      <c r="E134" t="s">
        <v>1249</v>
      </c>
      <c r="F134" s="1">
        <v>45343</v>
      </c>
      <c r="G134" s="32" t="str">
        <f t="shared" si="7"/>
        <v>Feb</v>
      </c>
      <c r="H134">
        <v>1</v>
      </c>
      <c r="I134" t="str">
        <f t="shared" si="8"/>
        <v>Bronze</v>
      </c>
      <c r="J134" t="s">
        <v>18</v>
      </c>
      <c r="K134" s="17">
        <v>99518</v>
      </c>
      <c r="L134" s="17" t="s">
        <v>1214</v>
      </c>
      <c r="M134" t="s">
        <v>2255</v>
      </c>
      <c r="N134" t="s">
        <v>1236</v>
      </c>
      <c r="O134">
        <v>6000</v>
      </c>
      <c r="P134">
        <v>1200</v>
      </c>
      <c r="Q134">
        <v>1200</v>
      </c>
      <c r="R134" t="s">
        <v>2084</v>
      </c>
    </row>
    <row r="135" spans="1:18" x14ac:dyDescent="0.25">
      <c r="A135">
        <v>2156</v>
      </c>
      <c r="B135" t="s">
        <v>1040</v>
      </c>
      <c r="C135" t="s">
        <v>936</v>
      </c>
      <c r="D135" t="str">
        <f t="shared" si="6"/>
        <v>Duffy Warren</v>
      </c>
      <c r="E135" t="s">
        <v>1203</v>
      </c>
      <c r="F135" s="1">
        <v>45343</v>
      </c>
      <c r="G135" s="32" t="str">
        <f t="shared" si="7"/>
        <v>Feb</v>
      </c>
      <c r="H135">
        <v>1</v>
      </c>
      <c r="I135" t="str">
        <f t="shared" si="8"/>
        <v>Bronze</v>
      </c>
      <c r="J135" t="s">
        <v>1242</v>
      </c>
      <c r="K135" s="17">
        <v>33105</v>
      </c>
      <c r="L135" s="17" t="s">
        <v>1233</v>
      </c>
      <c r="M135" t="s">
        <v>2255</v>
      </c>
      <c r="N135" t="s">
        <v>1239</v>
      </c>
      <c r="O135">
        <v>870</v>
      </c>
      <c r="P135">
        <v>600</v>
      </c>
      <c r="Q135">
        <v>600</v>
      </c>
      <c r="R135" t="s">
        <v>2174</v>
      </c>
    </row>
    <row r="136" spans="1:18" x14ac:dyDescent="0.25">
      <c r="A136">
        <v>2172</v>
      </c>
      <c r="B136" t="s">
        <v>952</v>
      </c>
      <c r="C136" t="s">
        <v>209</v>
      </c>
      <c r="D136" t="str">
        <f t="shared" si="6"/>
        <v>Cantrell Myles</v>
      </c>
      <c r="E136" t="s">
        <v>1248</v>
      </c>
      <c r="F136" s="1">
        <v>45343</v>
      </c>
      <c r="G136" s="32" t="str">
        <f t="shared" si="7"/>
        <v>Feb</v>
      </c>
      <c r="H136">
        <v>2</v>
      </c>
      <c r="I136" t="str">
        <f t="shared" si="8"/>
        <v>Silver</v>
      </c>
      <c r="J136" t="s">
        <v>1242</v>
      </c>
      <c r="K136" s="17">
        <v>27753</v>
      </c>
      <c r="L136" s="17" t="s">
        <v>1222</v>
      </c>
      <c r="M136" t="s">
        <v>2256</v>
      </c>
      <c r="N136" t="s">
        <v>1231</v>
      </c>
      <c r="O136">
        <v>4870</v>
      </c>
      <c r="P136">
        <v>300</v>
      </c>
      <c r="Q136">
        <v>600</v>
      </c>
      <c r="R136" t="s">
        <v>2190</v>
      </c>
    </row>
    <row r="137" spans="1:18" x14ac:dyDescent="0.25">
      <c r="A137">
        <v>1373</v>
      </c>
      <c r="B137" t="s">
        <v>279</v>
      </c>
      <c r="C137" t="s">
        <v>280</v>
      </c>
      <c r="D137" t="str">
        <f t="shared" si="6"/>
        <v>Shepherd Charli</v>
      </c>
      <c r="E137" t="s">
        <v>1205</v>
      </c>
      <c r="F137" s="1">
        <v>45344</v>
      </c>
      <c r="G137" s="32" t="str">
        <f t="shared" si="7"/>
        <v>Feb</v>
      </c>
      <c r="H137">
        <v>1</v>
      </c>
      <c r="I137" t="str">
        <f t="shared" si="8"/>
        <v>Bronze</v>
      </c>
      <c r="J137" t="s">
        <v>1243</v>
      </c>
      <c r="K137" s="17">
        <v>92328</v>
      </c>
      <c r="L137" s="17" t="s">
        <v>1216</v>
      </c>
      <c r="M137" t="s">
        <v>2256</v>
      </c>
      <c r="N137" t="s">
        <v>1217</v>
      </c>
      <c r="O137">
        <v>2600</v>
      </c>
      <c r="P137">
        <v>250</v>
      </c>
      <c r="Q137">
        <v>250</v>
      </c>
      <c r="R137" t="s">
        <v>1389</v>
      </c>
    </row>
    <row r="138" spans="1:18" x14ac:dyDescent="0.25">
      <c r="A138">
        <v>1437</v>
      </c>
      <c r="B138" t="s">
        <v>379</v>
      </c>
      <c r="C138" t="s">
        <v>380</v>
      </c>
      <c r="D138" t="str">
        <f t="shared" si="6"/>
        <v>Hail Raymond</v>
      </c>
      <c r="E138" t="s">
        <v>1207</v>
      </c>
      <c r="F138" s="1">
        <v>45344</v>
      </c>
      <c r="G138" s="32" t="str">
        <f t="shared" si="7"/>
        <v>Feb</v>
      </c>
      <c r="H138">
        <v>2</v>
      </c>
      <c r="I138" t="str">
        <f t="shared" si="8"/>
        <v>Silver</v>
      </c>
      <c r="J138" t="s">
        <v>14</v>
      </c>
      <c r="K138" s="17">
        <v>72041</v>
      </c>
      <c r="L138" s="17" t="s">
        <v>1233</v>
      </c>
      <c r="M138" t="s">
        <v>2253</v>
      </c>
      <c r="N138" t="s">
        <v>1239</v>
      </c>
      <c r="O138">
        <v>870</v>
      </c>
      <c r="P138">
        <v>250</v>
      </c>
      <c r="Q138">
        <v>500</v>
      </c>
      <c r="R138" t="s">
        <v>1453</v>
      </c>
    </row>
    <row r="139" spans="1:18" x14ac:dyDescent="0.25">
      <c r="A139">
        <v>1697</v>
      </c>
      <c r="B139" t="s">
        <v>691</v>
      </c>
      <c r="C139" t="s">
        <v>721</v>
      </c>
      <c r="D139" t="str">
        <f t="shared" si="6"/>
        <v>Porter Frances</v>
      </c>
      <c r="E139" t="s">
        <v>1207</v>
      </c>
      <c r="F139" s="1">
        <v>45344</v>
      </c>
      <c r="G139" s="32" t="str">
        <f t="shared" si="7"/>
        <v>Feb</v>
      </c>
      <c r="H139">
        <v>1</v>
      </c>
      <c r="I139" t="str">
        <f t="shared" si="8"/>
        <v>Bronze</v>
      </c>
      <c r="J139" t="s">
        <v>1242</v>
      </c>
      <c r="K139" s="17">
        <v>37577</v>
      </c>
      <c r="L139" s="17" t="s">
        <v>1218</v>
      </c>
      <c r="M139" t="s">
        <v>2252</v>
      </c>
      <c r="N139" t="s">
        <v>1235</v>
      </c>
      <c r="O139">
        <v>2500</v>
      </c>
      <c r="P139">
        <v>250</v>
      </c>
      <c r="Q139">
        <v>250</v>
      </c>
      <c r="R139" t="s">
        <v>1714</v>
      </c>
    </row>
    <row r="140" spans="1:18" x14ac:dyDescent="0.25">
      <c r="A140">
        <v>1379</v>
      </c>
      <c r="B140" t="s">
        <v>290</v>
      </c>
      <c r="C140" t="s">
        <v>291</v>
      </c>
      <c r="D140" t="str">
        <f t="shared" si="6"/>
        <v>Schmidt Spencer</v>
      </c>
      <c r="E140" t="s">
        <v>1248</v>
      </c>
      <c r="F140" s="1">
        <v>45345</v>
      </c>
      <c r="G140" s="32" t="str">
        <f t="shared" si="7"/>
        <v>Feb</v>
      </c>
      <c r="H140">
        <v>2</v>
      </c>
      <c r="I140" t="str">
        <f t="shared" si="8"/>
        <v>Silver</v>
      </c>
      <c r="J140" t="s">
        <v>14</v>
      </c>
      <c r="K140" s="17">
        <v>87107</v>
      </c>
      <c r="L140" s="17" t="s">
        <v>1233</v>
      </c>
      <c r="M140" t="s">
        <v>2252</v>
      </c>
      <c r="N140" t="s">
        <v>1234</v>
      </c>
      <c r="O140">
        <v>800</v>
      </c>
      <c r="P140">
        <v>300</v>
      </c>
      <c r="Q140">
        <v>600</v>
      </c>
      <c r="R140" t="s">
        <v>1395</v>
      </c>
    </row>
    <row r="141" spans="1:18" x14ac:dyDescent="0.25">
      <c r="A141">
        <v>1576</v>
      </c>
      <c r="B141" t="s">
        <v>573</v>
      </c>
      <c r="C141" t="s">
        <v>574</v>
      </c>
      <c r="D141" t="str">
        <f t="shared" si="6"/>
        <v>Ramirez Robert</v>
      </c>
      <c r="E141" t="s">
        <v>1207</v>
      </c>
      <c r="F141" s="1">
        <v>45346</v>
      </c>
      <c r="G141" s="32" t="str">
        <f t="shared" si="7"/>
        <v>Feb</v>
      </c>
      <c r="H141">
        <v>2</v>
      </c>
      <c r="I141" t="str">
        <f t="shared" si="8"/>
        <v>Silver</v>
      </c>
      <c r="J141" t="s">
        <v>14</v>
      </c>
      <c r="K141" s="17">
        <v>37481</v>
      </c>
      <c r="L141" s="17" t="s">
        <v>1233</v>
      </c>
      <c r="M141" t="s">
        <v>2252</v>
      </c>
      <c r="N141" t="s">
        <v>1234</v>
      </c>
      <c r="O141">
        <v>800</v>
      </c>
      <c r="P141">
        <v>250</v>
      </c>
      <c r="Q141">
        <v>500</v>
      </c>
      <c r="R141" t="s">
        <v>1592</v>
      </c>
    </row>
    <row r="142" spans="1:18" x14ac:dyDescent="0.25">
      <c r="A142">
        <v>1813</v>
      </c>
      <c r="B142" t="s">
        <v>839</v>
      </c>
      <c r="C142" t="s">
        <v>840</v>
      </c>
      <c r="D142" t="str">
        <f t="shared" si="6"/>
        <v>Mathis Damon</v>
      </c>
      <c r="E142" t="s">
        <v>1248</v>
      </c>
      <c r="F142" s="1">
        <v>45347</v>
      </c>
      <c r="G142" s="32" t="str">
        <f t="shared" si="7"/>
        <v>Feb</v>
      </c>
      <c r="H142">
        <v>3</v>
      </c>
      <c r="I142" t="str">
        <f t="shared" si="8"/>
        <v>Gold</v>
      </c>
      <c r="J142" t="s">
        <v>14</v>
      </c>
      <c r="K142" s="17">
        <v>34387</v>
      </c>
      <c r="L142" s="17" t="s">
        <v>1222</v>
      </c>
      <c r="M142" t="s">
        <v>2253</v>
      </c>
      <c r="N142" t="s">
        <v>1223</v>
      </c>
      <c r="O142">
        <v>4217</v>
      </c>
      <c r="P142">
        <v>300</v>
      </c>
      <c r="Q142">
        <v>900</v>
      </c>
      <c r="R142" t="s">
        <v>1830</v>
      </c>
    </row>
    <row r="143" spans="1:18" x14ac:dyDescent="0.25">
      <c r="A143">
        <v>1261</v>
      </c>
      <c r="B143" t="s">
        <v>79</v>
      </c>
      <c r="C143" t="s">
        <v>80</v>
      </c>
      <c r="D143" t="str">
        <f t="shared" si="6"/>
        <v>Kane James</v>
      </c>
      <c r="E143" t="s">
        <v>1249</v>
      </c>
      <c r="F143" s="1">
        <v>45348</v>
      </c>
      <c r="G143" s="32" t="str">
        <f t="shared" si="7"/>
        <v>Feb</v>
      </c>
      <c r="H143">
        <v>1</v>
      </c>
      <c r="I143" t="str">
        <f t="shared" si="8"/>
        <v>Bronze</v>
      </c>
      <c r="J143" t="s">
        <v>1242</v>
      </c>
      <c r="K143" s="17">
        <v>63839</v>
      </c>
      <c r="L143" s="17" t="s">
        <v>1233</v>
      </c>
      <c r="M143" t="s">
        <v>2255</v>
      </c>
      <c r="N143" t="s">
        <v>1234</v>
      </c>
      <c r="O143">
        <v>800</v>
      </c>
      <c r="P143">
        <v>1200</v>
      </c>
      <c r="Q143">
        <v>1200</v>
      </c>
      <c r="R143" t="s">
        <v>1277</v>
      </c>
    </row>
    <row r="144" spans="1:18" x14ac:dyDescent="0.25">
      <c r="A144">
        <v>1597</v>
      </c>
      <c r="B144" t="s">
        <v>383</v>
      </c>
      <c r="C144" t="s">
        <v>597</v>
      </c>
      <c r="D144" t="str">
        <f t="shared" si="6"/>
        <v>English Holden</v>
      </c>
      <c r="E144" t="s">
        <v>1205</v>
      </c>
      <c r="F144" s="1">
        <v>45348</v>
      </c>
      <c r="G144" s="32" t="str">
        <f t="shared" si="7"/>
        <v>Feb</v>
      </c>
      <c r="H144">
        <v>1</v>
      </c>
      <c r="I144" t="str">
        <f t="shared" si="8"/>
        <v>Bronze</v>
      </c>
      <c r="J144" t="s">
        <v>1242</v>
      </c>
      <c r="K144" s="17">
        <v>44917</v>
      </c>
      <c r="L144" s="17" t="s">
        <v>1214</v>
      </c>
      <c r="M144" t="s">
        <v>2255</v>
      </c>
      <c r="N144" t="s">
        <v>1236</v>
      </c>
      <c r="O144">
        <v>6000</v>
      </c>
      <c r="P144">
        <v>250</v>
      </c>
      <c r="Q144">
        <v>250</v>
      </c>
      <c r="R144" t="s">
        <v>1613</v>
      </c>
    </row>
    <row r="145" spans="1:18" x14ac:dyDescent="0.25">
      <c r="A145">
        <v>1600</v>
      </c>
      <c r="B145" t="s">
        <v>80</v>
      </c>
      <c r="C145" t="s">
        <v>164</v>
      </c>
      <c r="D145" t="str">
        <f t="shared" si="6"/>
        <v>James Parker</v>
      </c>
      <c r="E145" t="s">
        <v>1203</v>
      </c>
      <c r="F145" s="1">
        <v>45349</v>
      </c>
      <c r="G145" s="32" t="str">
        <f t="shared" si="7"/>
        <v>Feb</v>
      </c>
      <c r="H145">
        <v>2</v>
      </c>
      <c r="I145" t="str">
        <f t="shared" si="8"/>
        <v>Silver</v>
      </c>
      <c r="J145" t="s">
        <v>1243</v>
      </c>
      <c r="K145" s="17">
        <v>88447</v>
      </c>
      <c r="L145" s="17" t="s">
        <v>1218</v>
      </c>
      <c r="M145" t="s">
        <v>2256</v>
      </c>
      <c r="N145" t="s">
        <v>1219</v>
      </c>
      <c r="O145">
        <v>2300</v>
      </c>
      <c r="P145">
        <v>600</v>
      </c>
      <c r="Q145">
        <v>1200</v>
      </c>
      <c r="R145" t="s">
        <v>1616</v>
      </c>
    </row>
    <row r="146" spans="1:18" x14ac:dyDescent="0.25">
      <c r="A146">
        <v>1484</v>
      </c>
      <c r="B146" t="s">
        <v>301</v>
      </c>
      <c r="C146" t="s">
        <v>405</v>
      </c>
      <c r="D146" t="str">
        <f t="shared" si="6"/>
        <v>Acevedo King</v>
      </c>
      <c r="E146" t="s">
        <v>1249</v>
      </c>
      <c r="F146" s="1">
        <v>45350</v>
      </c>
      <c r="G146" s="32" t="str">
        <f t="shared" si="7"/>
        <v>Feb</v>
      </c>
      <c r="H146">
        <v>3</v>
      </c>
      <c r="I146" t="str">
        <f t="shared" si="8"/>
        <v>Gold</v>
      </c>
      <c r="J146" t="s">
        <v>14</v>
      </c>
      <c r="K146" s="17">
        <v>40063</v>
      </c>
      <c r="L146" s="17" t="s">
        <v>1222</v>
      </c>
      <c r="M146" t="s">
        <v>2255</v>
      </c>
      <c r="N146" t="s">
        <v>1237</v>
      </c>
      <c r="O146">
        <v>4000</v>
      </c>
      <c r="P146">
        <v>1200</v>
      </c>
      <c r="Q146">
        <v>3600</v>
      </c>
      <c r="R146" t="s">
        <v>1500</v>
      </c>
    </row>
    <row r="147" spans="1:18" x14ac:dyDescent="0.25">
      <c r="A147">
        <v>1497</v>
      </c>
      <c r="B147" t="s">
        <v>36</v>
      </c>
      <c r="C147" t="s">
        <v>471</v>
      </c>
      <c r="D147" t="str">
        <f t="shared" si="6"/>
        <v>Jacobs Marlee</v>
      </c>
      <c r="E147" t="s">
        <v>1207</v>
      </c>
      <c r="F147" s="1">
        <v>45350</v>
      </c>
      <c r="G147" s="32" t="str">
        <f t="shared" si="7"/>
        <v>Feb</v>
      </c>
      <c r="H147">
        <v>3</v>
      </c>
      <c r="I147" t="str">
        <f t="shared" si="8"/>
        <v>Gold</v>
      </c>
      <c r="J147" t="s">
        <v>1242</v>
      </c>
      <c r="K147" s="17">
        <v>48526</v>
      </c>
      <c r="L147" s="17" t="s">
        <v>1222</v>
      </c>
      <c r="M147" t="s">
        <v>2252</v>
      </c>
      <c r="N147" t="s">
        <v>1231</v>
      </c>
      <c r="O147">
        <v>4870</v>
      </c>
      <c r="P147">
        <v>250</v>
      </c>
      <c r="Q147">
        <v>750</v>
      </c>
      <c r="R147" t="s">
        <v>1513</v>
      </c>
    </row>
    <row r="148" spans="1:18" x14ac:dyDescent="0.25">
      <c r="A148">
        <v>1859</v>
      </c>
      <c r="B148" t="s">
        <v>887</v>
      </c>
      <c r="C148" t="s">
        <v>888</v>
      </c>
      <c r="D148" t="str">
        <f t="shared" si="6"/>
        <v>Montes Catalina</v>
      </c>
      <c r="E148" t="s">
        <v>1203</v>
      </c>
      <c r="F148" s="1">
        <v>45350</v>
      </c>
      <c r="G148" s="32" t="str">
        <f t="shared" si="7"/>
        <v>Feb</v>
      </c>
      <c r="H148">
        <v>2</v>
      </c>
      <c r="I148" t="str">
        <f t="shared" si="8"/>
        <v>Silver</v>
      </c>
      <c r="J148" t="s">
        <v>1242</v>
      </c>
      <c r="K148" s="17">
        <v>72471</v>
      </c>
      <c r="L148" s="17" t="s">
        <v>1220</v>
      </c>
      <c r="M148" t="s">
        <v>2253</v>
      </c>
      <c r="N148" t="s">
        <v>1221</v>
      </c>
      <c r="O148">
        <v>3350</v>
      </c>
      <c r="P148">
        <v>600</v>
      </c>
      <c r="Q148">
        <v>1200</v>
      </c>
      <c r="R148" t="s">
        <v>1876</v>
      </c>
    </row>
    <row r="149" spans="1:18" x14ac:dyDescent="0.25">
      <c r="A149">
        <v>2072</v>
      </c>
      <c r="B149" t="s">
        <v>212</v>
      </c>
      <c r="C149" t="s">
        <v>79</v>
      </c>
      <c r="D149" t="str">
        <f t="shared" si="6"/>
        <v>Mcbride Kane</v>
      </c>
      <c r="E149" t="s">
        <v>1249</v>
      </c>
      <c r="F149" s="1">
        <v>45350</v>
      </c>
      <c r="G149" s="32" t="str">
        <f t="shared" si="7"/>
        <v>Feb</v>
      </c>
      <c r="H149">
        <v>2</v>
      </c>
      <c r="I149" t="str">
        <f t="shared" si="8"/>
        <v>Silver</v>
      </c>
      <c r="J149" t="s">
        <v>1242</v>
      </c>
      <c r="K149" s="17">
        <v>80327</v>
      </c>
      <c r="L149" s="17" t="s">
        <v>1224</v>
      </c>
      <c r="M149" t="s">
        <v>2252</v>
      </c>
      <c r="N149" t="s">
        <v>1064</v>
      </c>
      <c r="O149">
        <v>5000</v>
      </c>
      <c r="P149">
        <v>1200</v>
      </c>
      <c r="Q149">
        <v>2400</v>
      </c>
      <c r="R149" t="s">
        <v>2089</v>
      </c>
    </row>
    <row r="150" spans="1:18" x14ac:dyDescent="0.25">
      <c r="A150">
        <v>2160</v>
      </c>
      <c r="B150" t="s">
        <v>1013</v>
      </c>
      <c r="C150" t="s">
        <v>1154</v>
      </c>
      <c r="D150" t="str">
        <f t="shared" si="6"/>
        <v>Drake Mckenzie</v>
      </c>
      <c r="E150" t="s">
        <v>1249</v>
      </c>
      <c r="F150" s="1">
        <v>45350</v>
      </c>
      <c r="G150" s="32" t="str">
        <f t="shared" si="7"/>
        <v>Feb</v>
      </c>
      <c r="H150">
        <v>3</v>
      </c>
      <c r="I150" t="str">
        <f t="shared" si="8"/>
        <v>Gold</v>
      </c>
      <c r="J150" t="s">
        <v>14</v>
      </c>
      <c r="K150" s="17">
        <v>8735</v>
      </c>
      <c r="L150" s="17" t="s">
        <v>1214</v>
      </c>
      <c r="M150" t="s">
        <v>2255</v>
      </c>
      <c r="N150" t="s">
        <v>1227</v>
      </c>
      <c r="O150">
        <v>6160</v>
      </c>
      <c r="P150">
        <v>1200</v>
      </c>
      <c r="Q150">
        <v>3600</v>
      </c>
      <c r="R150" t="s">
        <v>2178</v>
      </c>
    </row>
    <row r="151" spans="1:18" x14ac:dyDescent="0.25">
      <c r="A151">
        <v>1665</v>
      </c>
      <c r="B151" t="s">
        <v>677</v>
      </c>
      <c r="C151" t="s">
        <v>678</v>
      </c>
      <c r="D151" t="str">
        <f t="shared" si="6"/>
        <v>Lee Colin</v>
      </c>
      <c r="E151" t="s">
        <v>1248</v>
      </c>
      <c r="F151" s="1">
        <v>45351</v>
      </c>
      <c r="G151" s="32" t="str">
        <f t="shared" si="7"/>
        <v>Feb</v>
      </c>
      <c r="H151">
        <v>2</v>
      </c>
      <c r="I151" t="str">
        <f t="shared" si="8"/>
        <v>Silver</v>
      </c>
      <c r="J151" t="s">
        <v>14</v>
      </c>
      <c r="K151" s="17">
        <v>82249</v>
      </c>
      <c r="L151" s="17" t="s">
        <v>1222</v>
      </c>
      <c r="M151" t="s">
        <v>2254</v>
      </c>
      <c r="N151" t="s">
        <v>1237</v>
      </c>
      <c r="O151">
        <v>4000</v>
      </c>
      <c r="P151">
        <v>300</v>
      </c>
      <c r="Q151">
        <v>600</v>
      </c>
      <c r="R151" t="s">
        <v>1682</v>
      </c>
    </row>
    <row r="152" spans="1:18" x14ac:dyDescent="0.25">
      <c r="A152">
        <v>2215</v>
      </c>
      <c r="B152" t="s">
        <v>949</v>
      </c>
      <c r="C152" t="s">
        <v>1187</v>
      </c>
      <c r="D152" t="str">
        <f t="shared" si="6"/>
        <v>Rhodes Angelo</v>
      </c>
      <c r="E152" t="s">
        <v>1205</v>
      </c>
      <c r="F152" s="1">
        <v>45351</v>
      </c>
      <c r="G152" s="32" t="str">
        <f t="shared" si="7"/>
        <v>Feb</v>
      </c>
      <c r="H152">
        <v>2</v>
      </c>
      <c r="I152" t="str">
        <f t="shared" si="8"/>
        <v>Silver</v>
      </c>
      <c r="J152" t="s">
        <v>1242</v>
      </c>
      <c r="K152" s="17">
        <v>74531</v>
      </c>
      <c r="L152" s="17" t="s">
        <v>1220</v>
      </c>
      <c r="M152" t="s">
        <v>2252</v>
      </c>
      <c r="N152" t="s">
        <v>1232</v>
      </c>
      <c r="O152">
        <v>3000</v>
      </c>
      <c r="P152">
        <v>250</v>
      </c>
      <c r="Q152">
        <v>500</v>
      </c>
      <c r="R152" t="s">
        <v>2233</v>
      </c>
    </row>
    <row r="153" spans="1:18" x14ac:dyDescent="0.25">
      <c r="A153">
        <v>1632</v>
      </c>
      <c r="B153" t="s">
        <v>636</v>
      </c>
      <c r="C153" t="s">
        <v>431</v>
      </c>
      <c r="D153" t="str">
        <f t="shared" si="6"/>
        <v>Combs Grady</v>
      </c>
      <c r="E153" t="s">
        <v>1203</v>
      </c>
      <c r="F153" s="1">
        <v>45352</v>
      </c>
      <c r="G153" s="32" t="str">
        <f t="shared" si="7"/>
        <v>Mar</v>
      </c>
      <c r="H153">
        <v>3</v>
      </c>
      <c r="I153" t="str">
        <f t="shared" si="8"/>
        <v>Gold</v>
      </c>
      <c r="J153" t="s">
        <v>14</v>
      </c>
      <c r="K153" s="17">
        <v>44421</v>
      </c>
      <c r="L153" s="17" t="s">
        <v>1220</v>
      </c>
      <c r="M153" t="s">
        <v>2256</v>
      </c>
      <c r="N153" t="s">
        <v>1232</v>
      </c>
      <c r="O153">
        <v>3000</v>
      </c>
      <c r="P153">
        <v>600</v>
      </c>
      <c r="Q153">
        <v>1800</v>
      </c>
      <c r="R153" t="s">
        <v>1649</v>
      </c>
    </row>
    <row r="154" spans="1:18" x14ac:dyDescent="0.25">
      <c r="A154">
        <v>1782</v>
      </c>
      <c r="B154" t="s">
        <v>224</v>
      </c>
      <c r="C154" t="s">
        <v>258</v>
      </c>
      <c r="D154" t="str">
        <f t="shared" si="6"/>
        <v>Pearson Isabella</v>
      </c>
      <c r="E154" t="s">
        <v>1207</v>
      </c>
      <c r="F154" s="1">
        <v>45352</v>
      </c>
      <c r="G154" s="32" t="str">
        <f t="shared" si="7"/>
        <v>Mar</v>
      </c>
      <c r="H154">
        <v>2</v>
      </c>
      <c r="I154" t="str">
        <f t="shared" si="8"/>
        <v>Silver</v>
      </c>
      <c r="J154" t="s">
        <v>1242</v>
      </c>
      <c r="K154" s="17">
        <v>34467</v>
      </c>
      <c r="L154" s="17" t="s">
        <v>1224</v>
      </c>
      <c r="M154" t="s">
        <v>2253</v>
      </c>
      <c r="N154" t="s">
        <v>1225</v>
      </c>
      <c r="O154">
        <v>5290</v>
      </c>
      <c r="P154">
        <v>250</v>
      </c>
      <c r="Q154">
        <v>500</v>
      </c>
      <c r="R154" t="s">
        <v>1799</v>
      </c>
    </row>
    <row r="155" spans="1:18" x14ac:dyDescent="0.25">
      <c r="A155">
        <v>2189</v>
      </c>
      <c r="B155" t="s">
        <v>373</v>
      </c>
      <c r="C155" t="s">
        <v>1172</v>
      </c>
      <c r="D155" t="str">
        <f t="shared" si="6"/>
        <v>Kirk Tobias</v>
      </c>
      <c r="E155" t="s">
        <v>1249</v>
      </c>
      <c r="F155" s="1">
        <v>45352</v>
      </c>
      <c r="G155" s="32" t="str">
        <f t="shared" si="7"/>
        <v>Mar</v>
      </c>
      <c r="H155">
        <v>1</v>
      </c>
      <c r="I155" t="str">
        <f t="shared" si="8"/>
        <v>Bronze</v>
      </c>
      <c r="J155" t="s">
        <v>1242</v>
      </c>
      <c r="K155" s="17">
        <v>64653</v>
      </c>
      <c r="L155" s="17" t="s">
        <v>1224</v>
      </c>
      <c r="M155" t="s">
        <v>2252</v>
      </c>
      <c r="N155" t="s">
        <v>1064</v>
      </c>
      <c r="O155">
        <v>5000</v>
      </c>
      <c r="P155">
        <v>1200</v>
      </c>
      <c r="Q155">
        <v>1200</v>
      </c>
      <c r="R155" t="s">
        <v>2207</v>
      </c>
    </row>
    <row r="156" spans="1:18" x14ac:dyDescent="0.25">
      <c r="A156">
        <v>1605</v>
      </c>
      <c r="B156" t="s">
        <v>606</v>
      </c>
      <c r="C156" t="s">
        <v>607</v>
      </c>
      <c r="D156" t="str">
        <f t="shared" si="6"/>
        <v>Bernal Koa</v>
      </c>
      <c r="E156" t="s">
        <v>1249</v>
      </c>
      <c r="F156" s="1">
        <v>45353</v>
      </c>
      <c r="G156" s="32" t="str">
        <f t="shared" si="7"/>
        <v>Mar</v>
      </c>
      <c r="H156">
        <v>3</v>
      </c>
      <c r="I156" t="str">
        <f t="shared" si="8"/>
        <v>Gold</v>
      </c>
      <c r="J156" t="s">
        <v>1242</v>
      </c>
      <c r="K156" s="17">
        <v>55667</v>
      </c>
      <c r="L156" s="17" t="s">
        <v>1220</v>
      </c>
      <c r="M156" t="s">
        <v>2256</v>
      </c>
      <c r="N156" t="s">
        <v>1226</v>
      </c>
      <c r="O156">
        <v>3220</v>
      </c>
      <c r="P156">
        <v>1200</v>
      </c>
      <c r="Q156">
        <v>3600</v>
      </c>
      <c r="R156" t="s">
        <v>1621</v>
      </c>
    </row>
    <row r="157" spans="1:18" x14ac:dyDescent="0.25">
      <c r="A157">
        <v>1691</v>
      </c>
      <c r="B157" t="s">
        <v>713</v>
      </c>
      <c r="C157" t="s">
        <v>714</v>
      </c>
      <c r="D157" t="str">
        <f t="shared" si="6"/>
        <v>Pruitt Jax</v>
      </c>
      <c r="E157" t="s">
        <v>1248</v>
      </c>
      <c r="F157" s="1">
        <v>45353</v>
      </c>
      <c r="G157" s="32" t="str">
        <f t="shared" si="7"/>
        <v>Mar</v>
      </c>
      <c r="H157">
        <v>1</v>
      </c>
      <c r="I157" t="str">
        <f t="shared" si="8"/>
        <v>Bronze</v>
      </c>
      <c r="J157" t="s">
        <v>1242</v>
      </c>
      <c r="K157" s="17">
        <v>93441</v>
      </c>
      <c r="L157" s="17" t="s">
        <v>1233</v>
      </c>
      <c r="M157" t="s">
        <v>2252</v>
      </c>
      <c r="N157" t="s">
        <v>1239</v>
      </c>
      <c r="O157">
        <v>870</v>
      </c>
      <c r="P157">
        <v>300</v>
      </c>
      <c r="Q157">
        <v>300</v>
      </c>
      <c r="R157" t="s">
        <v>1708</v>
      </c>
    </row>
    <row r="158" spans="1:18" x14ac:dyDescent="0.25">
      <c r="A158">
        <v>1827</v>
      </c>
      <c r="B158" t="s">
        <v>854</v>
      </c>
      <c r="C158" t="s">
        <v>855</v>
      </c>
      <c r="D158" t="str">
        <f t="shared" si="6"/>
        <v>Kerr Summer</v>
      </c>
      <c r="E158" t="s">
        <v>1248</v>
      </c>
      <c r="F158" s="1">
        <v>45353</v>
      </c>
      <c r="G158" s="32" t="str">
        <f t="shared" si="7"/>
        <v>Mar</v>
      </c>
      <c r="H158">
        <v>2</v>
      </c>
      <c r="I158" t="str">
        <f t="shared" si="8"/>
        <v>Silver</v>
      </c>
      <c r="J158" t="s">
        <v>14</v>
      </c>
      <c r="K158" s="17">
        <v>82464</v>
      </c>
      <c r="L158" s="17" t="s">
        <v>1228</v>
      </c>
      <c r="M158" t="s">
        <v>2255</v>
      </c>
      <c r="N158" t="s">
        <v>1240</v>
      </c>
      <c r="O158">
        <v>7310</v>
      </c>
      <c r="P158">
        <v>300</v>
      </c>
      <c r="Q158">
        <v>600</v>
      </c>
      <c r="R158" t="s">
        <v>1844</v>
      </c>
    </row>
    <row r="159" spans="1:18" x14ac:dyDescent="0.25">
      <c r="A159">
        <v>2061</v>
      </c>
      <c r="B159" t="s">
        <v>149</v>
      </c>
      <c r="C159" t="s">
        <v>1065</v>
      </c>
      <c r="D159" t="str">
        <f t="shared" si="6"/>
        <v>Fleming Elaine</v>
      </c>
      <c r="E159" t="s">
        <v>1249</v>
      </c>
      <c r="F159" s="1">
        <v>45353</v>
      </c>
      <c r="G159" s="32" t="str">
        <f t="shared" si="7"/>
        <v>Mar</v>
      </c>
      <c r="H159">
        <v>1</v>
      </c>
      <c r="I159" t="str">
        <f t="shared" si="8"/>
        <v>Bronze</v>
      </c>
      <c r="J159" t="s">
        <v>1243</v>
      </c>
      <c r="K159" s="17">
        <v>29419</v>
      </c>
      <c r="L159" s="17" t="s">
        <v>1222</v>
      </c>
      <c r="M159" t="s">
        <v>2256</v>
      </c>
      <c r="N159" t="s">
        <v>1231</v>
      </c>
      <c r="O159">
        <v>4870</v>
      </c>
      <c r="P159">
        <v>1200</v>
      </c>
      <c r="Q159">
        <v>1200</v>
      </c>
      <c r="R159" t="s">
        <v>2078</v>
      </c>
    </row>
    <row r="160" spans="1:18" x14ac:dyDescent="0.25">
      <c r="A160">
        <v>2170</v>
      </c>
      <c r="B160" t="s">
        <v>1154</v>
      </c>
      <c r="C160" t="s">
        <v>757</v>
      </c>
      <c r="D160" t="str">
        <f t="shared" si="6"/>
        <v>Mckenzie Ivan</v>
      </c>
      <c r="E160" t="s">
        <v>1203</v>
      </c>
      <c r="F160" s="1">
        <v>45353</v>
      </c>
      <c r="G160" s="32" t="str">
        <f t="shared" si="7"/>
        <v>Mar</v>
      </c>
      <c r="H160">
        <v>2</v>
      </c>
      <c r="I160" t="str">
        <f t="shared" si="8"/>
        <v>Silver</v>
      </c>
      <c r="J160" t="s">
        <v>14</v>
      </c>
      <c r="K160" s="17">
        <v>6696</v>
      </c>
      <c r="L160" s="17" t="s">
        <v>1216</v>
      </c>
      <c r="M160" t="s">
        <v>2256</v>
      </c>
      <c r="N160" t="s">
        <v>1217</v>
      </c>
      <c r="O160">
        <v>2600</v>
      </c>
      <c r="P160">
        <v>600</v>
      </c>
      <c r="Q160">
        <v>1200</v>
      </c>
      <c r="R160" t="s">
        <v>2188</v>
      </c>
    </row>
    <row r="161" spans="1:18" x14ac:dyDescent="0.25">
      <c r="A161">
        <v>2214</v>
      </c>
      <c r="B161" t="s">
        <v>629</v>
      </c>
      <c r="C161" t="s">
        <v>321</v>
      </c>
      <c r="D161" t="str">
        <f t="shared" si="6"/>
        <v>Frost Jordan</v>
      </c>
      <c r="E161" t="s">
        <v>1208</v>
      </c>
      <c r="F161" s="1">
        <v>45353</v>
      </c>
      <c r="G161" s="32" t="str">
        <f t="shared" si="7"/>
        <v>Mar</v>
      </c>
      <c r="H161">
        <v>1</v>
      </c>
      <c r="I161" t="str">
        <f t="shared" si="8"/>
        <v>Bronze</v>
      </c>
      <c r="J161" t="s">
        <v>1242</v>
      </c>
      <c r="K161" s="17">
        <v>89174</v>
      </c>
      <c r="L161" s="17" t="s">
        <v>1224</v>
      </c>
      <c r="M161" t="s">
        <v>2256</v>
      </c>
      <c r="N161" t="s">
        <v>1238</v>
      </c>
      <c r="O161">
        <v>5600</v>
      </c>
      <c r="P161">
        <v>800</v>
      </c>
      <c r="Q161">
        <v>800</v>
      </c>
      <c r="R161" t="s">
        <v>2232</v>
      </c>
    </row>
    <row r="162" spans="1:18" x14ac:dyDescent="0.25">
      <c r="A162">
        <v>1301</v>
      </c>
      <c r="B162" t="s">
        <v>154</v>
      </c>
      <c r="C162" t="s">
        <v>155</v>
      </c>
      <c r="D162" t="str">
        <f t="shared" si="6"/>
        <v>Guerra Legacy</v>
      </c>
      <c r="E162" t="s">
        <v>1203</v>
      </c>
      <c r="F162" s="1">
        <v>45354</v>
      </c>
      <c r="G162" s="32" t="str">
        <f t="shared" si="7"/>
        <v>Mar</v>
      </c>
      <c r="H162">
        <v>2</v>
      </c>
      <c r="I162" t="str">
        <f t="shared" si="8"/>
        <v>Silver</v>
      </c>
      <c r="J162" t="s">
        <v>14</v>
      </c>
      <c r="K162" s="17">
        <v>56068</v>
      </c>
      <c r="L162" s="17" t="s">
        <v>1214</v>
      </c>
      <c r="M162" t="s">
        <v>2255</v>
      </c>
      <c r="N162" t="s">
        <v>1215</v>
      </c>
      <c r="O162">
        <v>6725</v>
      </c>
      <c r="P162">
        <v>600</v>
      </c>
      <c r="Q162">
        <v>1200</v>
      </c>
      <c r="R162" t="s">
        <v>1317</v>
      </c>
    </row>
    <row r="163" spans="1:18" x14ac:dyDescent="0.25">
      <c r="A163">
        <v>1363</v>
      </c>
      <c r="B163" t="s">
        <v>261</v>
      </c>
      <c r="C163" t="s">
        <v>262</v>
      </c>
      <c r="D163" t="str">
        <f t="shared" si="6"/>
        <v>Schmitt Aliyah</v>
      </c>
      <c r="E163" t="s">
        <v>1249</v>
      </c>
      <c r="F163" s="1">
        <v>45354</v>
      </c>
      <c r="G163" s="32" t="str">
        <f t="shared" si="7"/>
        <v>Mar</v>
      </c>
      <c r="H163">
        <v>2</v>
      </c>
      <c r="I163" t="str">
        <f t="shared" si="8"/>
        <v>Silver</v>
      </c>
      <c r="J163" t="s">
        <v>1243</v>
      </c>
      <c r="K163" s="17">
        <v>94708</v>
      </c>
      <c r="L163" s="17" t="s">
        <v>1222</v>
      </c>
      <c r="M163" t="s">
        <v>2255</v>
      </c>
      <c r="N163" t="s">
        <v>1231</v>
      </c>
      <c r="O163">
        <v>4870</v>
      </c>
      <c r="P163">
        <v>1200</v>
      </c>
      <c r="Q163">
        <v>2400</v>
      </c>
      <c r="R163" t="s">
        <v>1379</v>
      </c>
    </row>
    <row r="164" spans="1:18" x14ac:dyDescent="0.25">
      <c r="A164">
        <v>1374</v>
      </c>
      <c r="B164" t="s">
        <v>281</v>
      </c>
      <c r="C164" t="s">
        <v>282</v>
      </c>
      <c r="D164" t="str">
        <f t="shared" si="6"/>
        <v>Meyer Evie</v>
      </c>
      <c r="E164" t="s">
        <v>1205</v>
      </c>
      <c r="F164" s="1">
        <v>45354</v>
      </c>
      <c r="G164" s="32" t="str">
        <f t="shared" si="7"/>
        <v>Mar</v>
      </c>
      <c r="H164">
        <v>2</v>
      </c>
      <c r="I164" t="str">
        <f t="shared" si="8"/>
        <v>Silver</v>
      </c>
      <c r="J164" t="s">
        <v>14</v>
      </c>
      <c r="K164" s="17">
        <v>80522</v>
      </c>
      <c r="L164" s="17" t="s">
        <v>1216</v>
      </c>
      <c r="M164" t="s">
        <v>2253</v>
      </c>
      <c r="N164" t="s">
        <v>1217</v>
      </c>
      <c r="O164">
        <v>2600</v>
      </c>
      <c r="P164">
        <v>250</v>
      </c>
      <c r="Q164">
        <v>500</v>
      </c>
      <c r="R164" t="s">
        <v>1390</v>
      </c>
    </row>
    <row r="165" spans="1:18" x14ac:dyDescent="0.25">
      <c r="A165">
        <v>1477</v>
      </c>
      <c r="B165" t="s">
        <v>443</v>
      </c>
      <c r="C165" t="s">
        <v>444</v>
      </c>
      <c r="D165" t="str">
        <f t="shared" si="6"/>
        <v>Gonzales Cairo</v>
      </c>
      <c r="E165" t="s">
        <v>1205</v>
      </c>
      <c r="F165" s="1">
        <v>45354</v>
      </c>
      <c r="G165" s="32" t="str">
        <f t="shared" si="7"/>
        <v>Mar</v>
      </c>
      <c r="H165">
        <v>3</v>
      </c>
      <c r="I165" t="str">
        <f t="shared" si="8"/>
        <v>Gold</v>
      </c>
      <c r="J165" t="s">
        <v>14</v>
      </c>
      <c r="K165" s="17">
        <v>19685</v>
      </c>
      <c r="L165" s="17" t="s">
        <v>1216</v>
      </c>
      <c r="M165" t="s">
        <v>2254</v>
      </c>
      <c r="N165" t="s">
        <v>1217</v>
      </c>
      <c r="O165">
        <v>2600</v>
      </c>
      <c r="P165">
        <v>250</v>
      </c>
      <c r="Q165">
        <v>750</v>
      </c>
      <c r="R165" t="s">
        <v>1493</v>
      </c>
    </row>
    <row r="166" spans="1:18" x14ac:dyDescent="0.25">
      <c r="A166">
        <v>1781</v>
      </c>
      <c r="B166" t="s">
        <v>325</v>
      </c>
      <c r="C166" t="s">
        <v>807</v>
      </c>
      <c r="D166" t="str">
        <f t="shared" si="6"/>
        <v>Pitts Isaiah</v>
      </c>
      <c r="E166" t="s">
        <v>1248</v>
      </c>
      <c r="F166" s="1">
        <v>45354</v>
      </c>
      <c r="G166" s="32" t="str">
        <f t="shared" si="7"/>
        <v>Mar</v>
      </c>
      <c r="H166">
        <v>1</v>
      </c>
      <c r="I166" t="str">
        <f t="shared" si="8"/>
        <v>Bronze</v>
      </c>
      <c r="J166" t="s">
        <v>18</v>
      </c>
      <c r="K166" s="17">
        <v>14387</v>
      </c>
      <c r="L166" s="17" t="s">
        <v>1218</v>
      </c>
      <c r="M166" t="s">
        <v>2256</v>
      </c>
      <c r="N166" t="s">
        <v>836</v>
      </c>
      <c r="O166">
        <v>2000</v>
      </c>
      <c r="P166">
        <v>300</v>
      </c>
      <c r="Q166">
        <v>300</v>
      </c>
      <c r="R166" t="s">
        <v>1798</v>
      </c>
    </row>
    <row r="167" spans="1:18" x14ac:dyDescent="0.25">
      <c r="A167">
        <v>1414</v>
      </c>
      <c r="B167" t="s">
        <v>341</v>
      </c>
      <c r="C167" t="s">
        <v>342</v>
      </c>
      <c r="D167" t="str">
        <f t="shared" si="6"/>
        <v>Boone Aitana</v>
      </c>
      <c r="E167" t="s">
        <v>1208</v>
      </c>
      <c r="F167" s="1">
        <v>45355</v>
      </c>
      <c r="G167" s="32" t="str">
        <f t="shared" si="7"/>
        <v>Mar</v>
      </c>
      <c r="H167">
        <v>2</v>
      </c>
      <c r="I167" t="str">
        <f t="shared" si="8"/>
        <v>Silver</v>
      </c>
      <c r="J167" t="s">
        <v>14</v>
      </c>
      <c r="K167" s="17">
        <v>91971</v>
      </c>
      <c r="L167" s="17" t="s">
        <v>1224</v>
      </c>
      <c r="M167" t="s">
        <v>2254</v>
      </c>
      <c r="N167" t="s">
        <v>1238</v>
      </c>
      <c r="O167">
        <v>5600</v>
      </c>
      <c r="P167">
        <v>800</v>
      </c>
      <c r="Q167">
        <v>1600</v>
      </c>
      <c r="R167" t="s">
        <v>1430</v>
      </c>
    </row>
    <row r="168" spans="1:18" x14ac:dyDescent="0.25">
      <c r="A168">
        <v>1492</v>
      </c>
      <c r="B168" t="s">
        <v>465</v>
      </c>
      <c r="C168" t="s">
        <v>466</v>
      </c>
      <c r="D168" t="str">
        <f t="shared" si="6"/>
        <v>Bowen Ryker</v>
      </c>
      <c r="E168" t="s">
        <v>1249</v>
      </c>
      <c r="F168" s="1">
        <v>45355</v>
      </c>
      <c r="G168" s="32" t="str">
        <f t="shared" si="7"/>
        <v>Mar</v>
      </c>
      <c r="H168">
        <v>3</v>
      </c>
      <c r="I168" t="str">
        <f t="shared" si="8"/>
        <v>Gold</v>
      </c>
      <c r="J168" t="s">
        <v>14</v>
      </c>
      <c r="K168" s="17">
        <v>21769</v>
      </c>
      <c r="L168" s="17" t="s">
        <v>1224</v>
      </c>
      <c r="M168" t="s">
        <v>2254</v>
      </c>
      <c r="N168" t="s">
        <v>1238</v>
      </c>
      <c r="O168">
        <v>5600</v>
      </c>
      <c r="P168">
        <v>1200</v>
      </c>
      <c r="Q168">
        <v>3600</v>
      </c>
      <c r="R168" t="s">
        <v>1508</v>
      </c>
    </row>
    <row r="169" spans="1:18" x14ac:dyDescent="0.25">
      <c r="A169">
        <v>1964</v>
      </c>
      <c r="B169" t="s">
        <v>988</v>
      </c>
      <c r="C169" t="s">
        <v>989</v>
      </c>
      <c r="D169" t="str">
        <f t="shared" si="6"/>
        <v>Aguirre Baylor</v>
      </c>
      <c r="E169" t="s">
        <v>1205</v>
      </c>
      <c r="F169" s="1">
        <v>45355</v>
      </c>
      <c r="G169" s="32" t="str">
        <f t="shared" si="7"/>
        <v>Mar</v>
      </c>
      <c r="H169">
        <v>1</v>
      </c>
      <c r="I169" t="str">
        <f t="shared" si="8"/>
        <v>Bronze</v>
      </c>
      <c r="J169" t="s">
        <v>1242</v>
      </c>
      <c r="K169" s="17">
        <v>80300</v>
      </c>
      <c r="L169" s="17" t="s">
        <v>1218</v>
      </c>
      <c r="M169" t="s">
        <v>2255</v>
      </c>
      <c r="N169" t="s">
        <v>836</v>
      </c>
      <c r="O169">
        <v>2000</v>
      </c>
      <c r="P169">
        <v>250</v>
      </c>
      <c r="Q169">
        <v>250</v>
      </c>
      <c r="R169" t="s">
        <v>1981</v>
      </c>
    </row>
    <row r="170" spans="1:18" x14ac:dyDescent="0.25">
      <c r="A170">
        <v>1998</v>
      </c>
      <c r="B170" t="s">
        <v>79</v>
      </c>
      <c r="C170" t="s">
        <v>1015</v>
      </c>
      <c r="D170" t="str">
        <f t="shared" si="6"/>
        <v>Kane Fatima</v>
      </c>
      <c r="E170" t="s">
        <v>1249</v>
      </c>
      <c r="F170" s="1">
        <v>45355</v>
      </c>
      <c r="G170" s="32" t="str">
        <f t="shared" si="7"/>
        <v>Mar</v>
      </c>
      <c r="H170">
        <v>3</v>
      </c>
      <c r="I170" t="str">
        <f t="shared" si="8"/>
        <v>Gold</v>
      </c>
      <c r="J170" t="s">
        <v>18</v>
      </c>
      <c r="K170" s="17">
        <v>4051</v>
      </c>
      <c r="L170" s="17" t="s">
        <v>1233</v>
      </c>
      <c r="M170" t="s">
        <v>2254</v>
      </c>
      <c r="N170" t="s">
        <v>1234</v>
      </c>
      <c r="O170">
        <v>800</v>
      </c>
      <c r="P170">
        <v>1200</v>
      </c>
      <c r="Q170">
        <v>3600</v>
      </c>
      <c r="R170" t="s">
        <v>2015</v>
      </c>
    </row>
    <row r="171" spans="1:18" x14ac:dyDescent="0.25">
      <c r="A171">
        <v>1443</v>
      </c>
      <c r="B171" t="s">
        <v>389</v>
      </c>
      <c r="C171" t="s">
        <v>390</v>
      </c>
      <c r="D171" t="str">
        <f t="shared" si="6"/>
        <v>Cunningham Julia</v>
      </c>
      <c r="E171" t="s">
        <v>1249</v>
      </c>
      <c r="F171" s="1">
        <v>45356</v>
      </c>
      <c r="G171" s="32" t="str">
        <f t="shared" si="7"/>
        <v>Mar</v>
      </c>
      <c r="H171">
        <v>3</v>
      </c>
      <c r="I171" t="str">
        <f t="shared" si="8"/>
        <v>Gold</v>
      </c>
      <c r="J171" t="s">
        <v>14</v>
      </c>
      <c r="K171" s="17">
        <v>56662</v>
      </c>
      <c r="L171" s="17" t="s">
        <v>1214</v>
      </c>
      <c r="M171" t="s">
        <v>2253</v>
      </c>
      <c r="N171" t="s">
        <v>1215</v>
      </c>
      <c r="O171">
        <v>6725</v>
      </c>
      <c r="P171">
        <v>1200</v>
      </c>
      <c r="Q171">
        <v>3600</v>
      </c>
      <c r="R171" t="s">
        <v>1459</v>
      </c>
    </row>
    <row r="172" spans="1:18" x14ac:dyDescent="0.25">
      <c r="A172">
        <v>1990</v>
      </c>
      <c r="B172" t="s">
        <v>648</v>
      </c>
      <c r="C172" t="s">
        <v>1009</v>
      </c>
      <c r="D172" t="str">
        <f t="shared" si="6"/>
        <v>Rodriguez Itzel</v>
      </c>
      <c r="E172" t="s">
        <v>1249</v>
      </c>
      <c r="F172" s="1">
        <v>45356</v>
      </c>
      <c r="G172" s="32" t="str">
        <f t="shared" si="7"/>
        <v>Mar</v>
      </c>
      <c r="H172">
        <v>2</v>
      </c>
      <c r="I172" t="str">
        <f t="shared" si="8"/>
        <v>Silver</v>
      </c>
      <c r="J172" t="s">
        <v>14</v>
      </c>
      <c r="K172" s="17">
        <v>57574</v>
      </c>
      <c r="L172" s="17" t="s">
        <v>1214</v>
      </c>
      <c r="M172" t="s">
        <v>2255</v>
      </c>
      <c r="N172" t="s">
        <v>1227</v>
      </c>
      <c r="O172">
        <v>6160</v>
      </c>
      <c r="P172">
        <v>1200</v>
      </c>
      <c r="Q172">
        <v>2400</v>
      </c>
      <c r="R172" t="s">
        <v>2007</v>
      </c>
    </row>
    <row r="173" spans="1:18" x14ac:dyDescent="0.25">
      <c r="A173">
        <v>1442</v>
      </c>
      <c r="B173" t="s">
        <v>387</v>
      </c>
      <c r="C173" t="s">
        <v>388</v>
      </c>
      <c r="D173" t="str">
        <f t="shared" si="6"/>
        <v>Blankenship Gabriel</v>
      </c>
      <c r="E173" t="s">
        <v>1208</v>
      </c>
      <c r="F173" s="1">
        <v>45357</v>
      </c>
      <c r="G173" s="32" t="str">
        <f t="shared" si="7"/>
        <v>Mar</v>
      </c>
      <c r="H173">
        <v>2</v>
      </c>
      <c r="I173" t="str">
        <f t="shared" si="8"/>
        <v>Silver</v>
      </c>
      <c r="J173" t="s">
        <v>14</v>
      </c>
      <c r="K173" s="17">
        <v>74782</v>
      </c>
      <c r="L173" s="17" t="s">
        <v>1220</v>
      </c>
      <c r="M173" t="s">
        <v>2253</v>
      </c>
      <c r="N173" t="s">
        <v>1232</v>
      </c>
      <c r="O173">
        <v>3000</v>
      </c>
      <c r="P173">
        <v>800</v>
      </c>
      <c r="Q173">
        <v>1600</v>
      </c>
      <c r="R173" t="s">
        <v>1458</v>
      </c>
    </row>
    <row r="174" spans="1:18" x14ac:dyDescent="0.25">
      <c r="A174">
        <v>1935</v>
      </c>
      <c r="B174" t="s">
        <v>432</v>
      </c>
      <c r="C174" t="s">
        <v>363</v>
      </c>
      <c r="D174" t="str">
        <f t="shared" si="6"/>
        <v>Thomas Sadie</v>
      </c>
      <c r="E174" t="s">
        <v>1205</v>
      </c>
      <c r="F174" s="1">
        <v>45357</v>
      </c>
      <c r="G174" s="32" t="str">
        <f t="shared" si="7"/>
        <v>Mar</v>
      </c>
      <c r="H174">
        <v>1</v>
      </c>
      <c r="I174" t="str">
        <f t="shared" si="8"/>
        <v>Bronze</v>
      </c>
      <c r="J174" t="s">
        <v>1243</v>
      </c>
      <c r="K174" s="17">
        <v>82123</v>
      </c>
      <c r="L174" s="17" t="s">
        <v>1224</v>
      </c>
      <c r="M174" t="s">
        <v>2255</v>
      </c>
      <c r="N174" t="s">
        <v>1225</v>
      </c>
      <c r="O174">
        <v>5290</v>
      </c>
      <c r="P174">
        <v>250</v>
      </c>
      <c r="Q174">
        <v>250</v>
      </c>
      <c r="R174" t="s">
        <v>1952</v>
      </c>
    </row>
    <row r="175" spans="1:18" x14ac:dyDescent="0.25">
      <c r="A175">
        <v>2064</v>
      </c>
      <c r="B175" t="s">
        <v>854</v>
      </c>
      <c r="C175" t="s">
        <v>643</v>
      </c>
      <c r="D175" t="str">
        <f t="shared" si="6"/>
        <v>Kerr Garrett</v>
      </c>
      <c r="E175" t="s">
        <v>1249</v>
      </c>
      <c r="F175" s="1">
        <v>45357</v>
      </c>
      <c r="G175" s="32" t="str">
        <f t="shared" si="7"/>
        <v>Mar</v>
      </c>
      <c r="H175">
        <v>2</v>
      </c>
      <c r="I175" t="str">
        <f t="shared" si="8"/>
        <v>Silver</v>
      </c>
      <c r="J175" t="s">
        <v>1242</v>
      </c>
      <c r="K175" s="17">
        <v>29031</v>
      </c>
      <c r="L175" s="17" t="s">
        <v>1218</v>
      </c>
      <c r="M175" t="s">
        <v>2256</v>
      </c>
      <c r="N175" t="s">
        <v>836</v>
      </c>
      <c r="O175">
        <v>2000</v>
      </c>
      <c r="P175">
        <v>1200</v>
      </c>
      <c r="Q175">
        <v>2400</v>
      </c>
      <c r="R175" t="s">
        <v>2081</v>
      </c>
    </row>
    <row r="176" spans="1:18" x14ac:dyDescent="0.25">
      <c r="A176">
        <v>1774</v>
      </c>
      <c r="B176" t="s">
        <v>645</v>
      </c>
      <c r="C176" t="s">
        <v>794</v>
      </c>
      <c r="D176" t="str">
        <f t="shared" si="6"/>
        <v>Hahn Koda</v>
      </c>
      <c r="E176" t="s">
        <v>1207</v>
      </c>
      <c r="F176" s="1">
        <v>45358</v>
      </c>
      <c r="G176" s="32" t="str">
        <f t="shared" si="7"/>
        <v>Mar</v>
      </c>
      <c r="H176">
        <v>3</v>
      </c>
      <c r="I176" t="str">
        <f t="shared" si="8"/>
        <v>Gold</v>
      </c>
      <c r="J176" t="s">
        <v>1242</v>
      </c>
      <c r="K176" s="17">
        <v>90513</v>
      </c>
      <c r="L176" s="17" t="s">
        <v>1228</v>
      </c>
      <c r="M176" t="s">
        <v>2256</v>
      </c>
      <c r="N176" t="s">
        <v>1229</v>
      </c>
      <c r="O176">
        <v>7250</v>
      </c>
      <c r="P176">
        <v>250</v>
      </c>
      <c r="Q176">
        <v>750</v>
      </c>
      <c r="R176" t="s">
        <v>1791</v>
      </c>
    </row>
    <row r="177" spans="1:18" x14ac:dyDescent="0.25">
      <c r="A177">
        <v>1836</v>
      </c>
      <c r="B177" t="s">
        <v>731</v>
      </c>
      <c r="C177" t="s">
        <v>470</v>
      </c>
      <c r="D177" t="str">
        <f t="shared" si="6"/>
        <v>Lucas Amanda</v>
      </c>
      <c r="E177" t="s">
        <v>1249</v>
      </c>
      <c r="F177" s="1">
        <v>45358</v>
      </c>
      <c r="G177" s="32" t="str">
        <f t="shared" si="7"/>
        <v>Mar</v>
      </c>
      <c r="H177">
        <v>3</v>
      </c>
      <c r="I177" t="str">
        <f t="shared" si="8"/>
        <v>Gold</v>
      </c>
      <c r="J177" t="s">
        <v>1242</v>
      </c>
      <c r="K177" s="17">
        <v>15086</v>
      </c>
      <c r="L177" s="17" t="s">
        <v>1228</v>
      </c>
      <c r="M177" t="s">
        <v>2254</v>
      </c>
      <c r="N177" t="s">
        <v>1230</v>
      </c>
      <c r="O177">
        <v>7000</v>
      </c>
      <c r="P177">
        <v>1200</v>
      </c>
      <c r="Q177">
        <v>3600</v>
      </c>
      <c r="R177" t="s">
        <v>1853</v>
      </c>
    </row>
    <row r="178" spans="1:18" x14ac:dyDescent="0.25">
      <c r="A178">
        <v>1860</v>
      </c>
      <c r="B178" t="s">
        <v>872</v>
      </c>
      <c r="C178" t="s">
        <v>834</v>
      </c>
      <c r="D178" t="str">
        <f t="shared" si="6"/>
        <v>Curry Nadia</v>
      </c>
      <c r="E178" t="s">
        <v>1205</v>
      </c>
      <c r="F178" s="1">
        <v>45358</v>
      </c>
      <c r="G178" s="32" t="str">
        <f t="shared" si="7"/>
        <v>Mar</v>
      </c>
      <c r="H178">
        <v>2</v>
      </c>
      <c r="I178" t="str">
        <f t="shared" si="8"/>
        <v>Silver</v>
      </c>
      <c r="J178" t="s">
        <v>1242</v>
      </c>
      <c r="K178" s="17">
        <v>2385</v>
      </c>
      <c r="L178" s="17" t="s">
        <v>1214</v>
      </c>
      <c r="M178" t="s">
        <v>2254</v>
      </c>
      <c r="N178" t="s">
        <v>1227</v>
      </c>
      <c r="O178">
        <v>6160</v>
      </c>
      <c r="P178">
        <v>250</v>
      </c>
      <c r="Q178">
        <v>500</v>
      </c>
      <c r="R178" t="s">
        <v>1877</v>
      </c>
    </row>
    <row r="179" spans="1:18" x14ac:dyDescent="0.25">
      <c r="A179">
        <v>1971</v>
      </c>
      <c r="B179" t="s">
        <v>28</v>
      </c>
      <c r="C179" t="s">
        <v>82</v>
      </c>
      <c r="D179" t="str">
        <f t="shared" si="6"/>
        <v>Gomez Sawyer</v>
      </c>
      <c r="E179" t="s">
        <v>1249</v>
      </c>
      <c r="F179" s="1">
        <v>45358</v>
      </c>
      <c r="G179" s="32" t="str">
        <f t="shared" si="7"/>
        <v>Mar</v>
      </c>
      <c r="H179">
        <v>2</v>
      </c>
      <c r="I179" t="str">
        <f t="shared" si="8"/>
        <v>Silver</v>
      </c>
      <c r="J179" t="s">
        <v>14</v>
      </c>
      <c r="K179" s="17">
        <v>97383</v>
      </c>
      <c r="L179" s="17" t="s">
        <v>1216</v>
      </c>
      <c r="M179" t="s">
        <v>2256</v>
      </c>
      <c r="N179" t="s">
        <v>1217</v>
      </c>
      <c r="O179">
        <v>2600</v>
      </c>
      <c r="P179">
        <v>1200</v>
      </c>
      <c r="Q179">
        <v>2400</v>
      </c>
      <c r="R179" t="s">
        <v>1988</v>
      </c>
    </row>
    <row r="180" spans="1:18" x14ac:dyDescent="0.25">
      <c r="A180">
        <v>2161</v>
      </c>
      <c r="B180" t="s">
        <v>202</v>
      </c>
      <c r="C180" t="s">
        <v>466</v>
      </c>
      <c r="D180" t="str">
        <f t="shared" si="6"/>
        <v>Crawford Ryker</v>
      </c>
      <c r="E180" t="s">
        <v>1249</v>
      </c>
      <c r="F180" s="1">
        <v>45358</v>
      </c>
      <c r="G180" s="32" t="str">
        <f t="shared" si="7"/>
        <v>Mar</v>
      </c>
      <c r="H180">
        <v>2</v>
      </c>
      <c r="I180" t="str">
        <f t="shared" si="8"/>
        <v>Silver</v>
      </c>
      <c r="J180" t="s">
        <v>14</v>
      </c>
      <c r="K180" s="17">
        <v>96040</v>
      </c>
      <c r="L180" s="17" t="s">
        <v>1218</v>
      </c>
      <c r="M180" t="s">
        <v>2252</v>
      </c>
      <c r="N180" t="s">
        <v>1219</v>
      </c>
      <c r="O180">
        <v>2300</v>
      </c>
      <c r="P180">
        <v>1200</v>
      </c>
      <c r="Q180">
        <v>2400</v>
      </c>
      <c r="R180" t="s">
        <v>2179</v>
      </c>
    </row>
    <row r="181" spans="1:18" x14ac:dyDescent="0.25">
      <c r="A181">
        <v>2171</v>
      </c>
      <c r="B181" t="s">
        <v>1162</v>
      </c>
      <c r="C181" t="s">
        <v>1163</v>
      </c>
      <c r="D181" t="str">
        <f t="shared" si="6"/>
        <v>Muñoz Carmen</v>
      </c>
      <c r="E181" t="s">
        <v>1249</v>
      </c>
      <c r="F181" s="1">
        <v>45358</v>
      </c>
      <c r="G181" s="32" t="str">
        <f t="shared" si="7"/>
        <v>Mar</v>
      </c>
      <c r="H181">
        <v>1</v>
      </c>
      <c r="I181" t="str">
        <f t="shared" si="8"/>
        <v>Bronze</v>
      </c>
      <c r="J181" t="s">
        <v>1242</v>
      </c>
      <c r="K181" s="17">
        <v>12924</v>
      </c>
      <c r="L181" s="17" t="s">
        <v>1214</v>
      </c>
      <c r="M181" t="s">
        <v>2253</v>
      </c>
      <c r="N181" t="s">
        <v>1236</v>
      </c>
      <c r="O181">
        <v>6000</v>
      </c>
      <c r="P181">
        <v>1200</v>
      </c>
      <c r="Q181">
        <v>1200</v>
      </c>
      <c r="R181" t="s">
        <v>2189</v>
      </c>
    </row>
    <row r="182" spans="1:18" x14ac:dyDescent="0.25">
      <c r="A182">
        <v>1325</v>
      </c>
      <c r="B182" t="s">
        <v>197</v>
      </c>
      <c r="C182" t="s">
        <v>155</v>
      </c>
      <c r="D182" t="str">
        <f t="shared" si="6"/>
        <v>Rosales Legacy</v>
      </c>
      <c r="E182" t="s">
        <v>1205</v>
      </c>
      <c r="F182" s="1">
        <v>45359</v>
      </c>
      <c r="G182" s="32" t="str">
        <f t="shared" si="7"/>
        <v>Mar</v>
      </c>
      <c r="H182">
        <v>2</v>
      </c>
      <c r="I182" t="str">
        <f t="shared" si="8"/>
        <v>Silver</v>
      </c>
      <c r="J182" t="s">
        <v>1242</v>
      </c>
      <c r="K182" s="17">
        <v>83685</v>
      </c>
      <c r="L182" s="17" t="s">
        <v>1224</v>
      </c>
      <c r="M182" t="s">
        <v>2252</v>
      </c>
      <c r="N182" t="s">
        <v>1064</v>
      </c>
      <c r="O182">
        <v>5000</v>
      </c>
      <c r="P182">
        <v>250</v>
      </c>
      <c r="Q182">
        <v>500</v>
      </c>
      <c r="R182" t="s">
        <v>1341</v>
      </c>
    </row>
    <row r="183" spans="1:18" x14ac:dyDescent="0.25">
      <c r="A183">
        <v>1579</v>
      </c>
      <c r="B183" t="s">
        <v>171</v>
      </c>
      <c r="C183" t="s">
        <v>578</v>
      </c>
      <c r="D183" t="str">
        <f t="shared" si="6"/>
        <v>Sanchez Maya</v>
      </c>
      <c r="E183" t="s">
        <v>1249</v>
      </c>
      <c r="F183" s="1">
        <v>45359</v>
      </c>
      <c r="G183" s="32" t="str">
        <f t="shared" si="7"/>
        <v>Mar</v>
      </c>
      <c r="H183">
        <v>1</v>
      </c>
      <c r="I183" t="str">
        <f t="shared" si="8"/>
        <v>Bronze</v>
      </c>
      <c r="J183" t="s">
        <v>1243</v>
      </c>
      <c r="K183" s="17">
        <v>40799</v>
      </c>
      <c r="L183" s="17" t="s">
        <v>1224</v>
      </c>
      <c r="M183" t="s">
        <v>2254</v>
      </c>
      <c r="N183" t="s">
        <v>1064</v>
      </c>
      <c r="O183">
        <v>5000</v>
      </c>
      <c r="P183">
        <v>1200</v>
      </c>
      <c r="Q183">
        <v>1200</v>
      </c>
      <c r="R183" t="s">
        <v>1595</v>
      </c>
    </row>
    <row r="184" spans="1:18" x14ac:dyDescent="0.25">
      <c r="A184">
        <v>1967</v>
      </c>
      <c r="B184" t="s">
        <v>324</v>
      </c>
      <c r="C184" t="s">
        <v>326</v>
      </c>
      <c r="D184" t="str">
        <f t="shared" si="6"/>
        <v>Barrera Christian</v>
      </c>
      <c r="E184" t="s">
        <v>1203</v>
      </c>
      <c r="F184" s="1">
        <v>45359</v>
      </c>
      <c r="G184" s="32" t="str">
        <f t="shared" si="7"/>
        <v>Mar</v>
      </c>
      <c r="H184">
        <v>3</v>
      </c>
      <c r="I184" t="str">
        <f t="shared" si="8"/>
        <v>Gold</v>
      </c>
      <c r="J184" t="s">
        <v>14</v>
      </c>
      <c r="K184" s="17">
        <v>10147</v>
      </c>
      <c r="L184" s="17" t="s">
        <v>1218</v>
      </c>
      <c r="M184" t="s">
        <v>2256</v>
      </c>
      <c r="N184" t="s">
        <v>836</v>
      </c>
      <c r="O184">
        <v>2000</v>
      </c>
      <c r="P184">
        <v>600</v>
      </c>
      <c r="Q184">
        <v>1800</v>
      </c>
      <c r="R184" t="s">
        <v>1984</v>
      </c>
    </row>
    <row r="185" spans="1:18" x14ac:dyDescent="0.25">
      <c r="A185">
        <v>1983</v>
      </c>
      <c r="B185" t="s">
        <v>15</v>
      </c>
      <c r="C185" t="s">
        <v>1001</v>
      </c>
      <c r="D185" t="str">
        <f t="shared" si="6"/>
        <v>Kelly Kayson</v>
      </c>
      <c r="E185" t="s">
        <v>1208</v>
      </c>
      <c r="F185" s="1">
        <v>45359</v>
      </c>
      <c r="G185" s="32" t="str">
        <f t="shared" si="7"/>
        <v>Mar</v>
      </c>
      <c r="H185">
        <v>3</v>
      </c>
      <c r="I185" t="str">
        <f t="shared" si="8"/>
        <v>Gold</v>
      </c>
      <c r="J185" t="s">
        <v>1243</v>
      </c>
      <c r="K185" s="17">
        <v>63763</v>
      </c>
      <c r="L185" s="17" t="s">
        <v>1220</v>
      </c>
      <c r="M185" t="s">
        <v>2254</v>
      </c>
      <c r="N185" t="s">
        <v>1221</v>
      </c>
      <c r="O185">
        <v>3350</v>
      </c>
      <c r="P185">
        <v>800</v>
      </c>
      <c r="Q185">
        <v>2400</v>
      </c>
      <c r="R185" t="s">
        <v>2000</v>
      </c>
    </row>
    <row r="186" spans="1:18" x14ac:dyDescent="0.25">
      <c r="A186">
        <v>1263</v>
      </c>
      <c r="B186" t="s">
        <v>83</v>
      </c>
      <c r="C186" t="s">
        <v>84</v>
      </c>
      <c r="D186" t="str">
        <f t="shared" si="6"/>
        <v>Vincent Isabelle</v>
      </c>
      <c r="E186" t="s">
        <v>1249</v>
      </c>
      <c r="F186" s="1">
        <v>45360</v>
      </c>
      <c r="G186" s="32" t="str">
        <f t="shared" si="7"/>
        <v>Mar</v>
      </c>
      <c r="H186">
        <v>3</v>
      </c>
      <c r="I186" t="str">
        <f t="shared" si="8"/>
        <v>Gold</v>
      </c>
      <c r="J186" t="s">
        <v>14</v>
      </c>
      <c r="K186" s="17">
        <v>7523</v>
      </c>
      <c r="L186" s="17" t="s">
        <v>1218</v>
      </c>
      <c r="M186" t="s">
        <v>2256</v>
      </c>
      <c r="N186" t="s">
        <v>1235</v>
      </c>
      <c r="O186">
        <v>2500</v>
      </c>
      <c r="P186">
        <v>1200</v>
      </c>
      <c r="Q186">
        <v>3600</v>
      </c>
      <c r="R186" t="s">
        <v>1279</v>
      </c>
    </row>
    <row r="187" spans="1:18" x14ac:dyDescent="0.25">
      <c r="A187">
        <v>1502</v>
      </c>
      <c r="B187" t="s">
        <v>478</v>
      </c>
      <c r="C187" t="s">
        <v>479</v>
      </c>
      <c r="D187" t="str">
        <f t="shared" si="6"/>
        <v>Kramer Emersyn</v>
      </c>
      <c r="E187" t="s">
        <v>1207</v>
      </c>
      <c r="F187" s="1">
        <v>45360</v>
      </c>
      <c r="G187" s="32" t="str">
        <f t="shared" si="7"/>
        <v>Mar</v>
      </c>
      <c r="H187">
        <v>2</v>
      </c>
      <c r="I187" t="str">
        <f t="shared" si="8"/>
        <v>Silver</v>
      </c>
      <c r="J187" t="s">
        <v>1242</v>
      </c>
      <c r="K187" s="17">
        <v>68505</v>
      </c>
      <c r="L187" s="17" t="s">
        <v>1216</v>
      </c>
      <c r="M187" t="s">
        <v>2255</v>
      </c>
      <c r="N187" t="s">
        <v>1217</v>
      </c>
      <c r="O187">
        <v>2600</v>
      </c>
      <c r="P187">
        <v>250</v>
      </c>
      <c r="Q187">
        <v>500</v>
      </c>
      <c r="R187" t="s">
        <v>1518</v>
      </c>
    </row>
    <row r="188" spans="1:18" x14ac:dyDescent="0.25">
      <c r="A188">
        <v>1705</v>
      </c>
      <c r="B188" t="s">
        <v>731</v>
      </c>
      <c r="C188" t="s">
        <v>243</v>
      </c>
      <c r="D188" t="str">
        <f t="shared" si="6"/>
        <v>Lucas Rory</v>
      </c>
      <c r="E188" t="s">
        <v>1249</v>
      </c>
      <c r="F188" s="1">
        <v>45360</v>
      </c>
      <c r="G188" s="32" t="str">
        <f t="shared" si="7"/>
        <v>Mar</v>
      </c>
      <c r="H188">
        <v>2</v>
      </c>
      <c r="I188" t="str">
        <f t="shared" si="8"/>
        <v>Silver</v>
      </c>
      <c r="J188" t="s">
        <v>1242</v>
      </c>
      <c r="K188" s="17">
        <v>51599</v>
      </c>
      <c r="L188" s="17" t="s">
        <v>1218</v>
      </c>
      <c r="M188" t="s">
        <v>2252</v>
      </c>
      <c r="N188" t="s">
        <v>1219</v>
      </c>
      <c r="O188">
        <v>2300</v>
      </c>
      <c r="P188">
        <v>1200</v>
      </c>
      <c r="Q188">
        <v>2400</v>
      </c>
      <c r="R188" t="s">
        <v>1722</v>
      </c>
    </row>
    <row r="189" spans="1:18" x14ac:dyDescent="0.25">
      <c r="A189">
        <v>2040</v>
      </c>
      <c r="B189" t="s">
        <v>1044</v>
      </c>
      <c r="C189" t="s">
        <v>256</v>
      </c>
      <c r="D189" t="str">
        <f t="shared" si="6"/>
        <v>Guevara Princeton</v>
      </c>
      <c r="E189" t="s">
        <v>1207</v>
      </c>
      <c r="F189" s="1">
        <v>45360</v>
      </c>
      <c r="G189" s="32" t="str">
        <f t="shared" si="7"/>
        <v>Mar</v>
      </c>
      <c r="H189">
        <v>2</v>
      </c>
      <c r="I189" t="str">
        <f t="shared" si="8"/>
        <v>Silver</v>
      </c>
      <c r="J189" t="s">
        <v>18</v>
      </c>
      <c r="K189" s="17">
        <v>57959</v>
      </c>
      <c r="L189" s="17" t="s">
        <v>1218</v>
      </c>
      <c r="M189" t="s">
        <v>2255</v>
      </c>
      <c r="N189" t="s">
        <v>836</v>
      </c>
      <c r="O189">
        <v>2000</v>
      </c>
      <c r="P189">
        <v>250</v>
      </c>
      <c r="Q189">
        <v>500</v>
      </c>
      <c r="R189" t="s">
        <v>2057</v>
      </c>
    </row>
    <row r="190" spans="1:18" x14ac:dyDescent="0.25">
      <c r="A190">
        <v>1310</v>
      </c>
      <c r="B190" t="s">
        <v>171</v>
      </c>
      <c r="C190" t="s">
        <v>94</v>
      </c>
      <c r="D190" t="str">
        <f t="shared" si="6"/>
        <v>Sanchez Sarai</v>
      </c>
      <c r="E190" t="s">
        <v>1208</v>
      </c>
      <c r="F190" s="1">
        <v>45361</v>
      </c>
      <c r="G190" s="32" t="str">
        <f t="shared" si="7"/>
        <v>Mar</v>
      </c>
      <c r="H190">
        <v>1</v>
      </c>
      <c r="I190" t="str">
        <f t="shared" si="8"/>
        <v>Bronze</v>
      </c>
      <c r="J190" t="s">
        <v>14</v>
      </c>
      <c r="K190" s="17">
        <v>78027</v>
      </c>
      <c r="L190" s="17" t="s">
        <v>1216</v>
      </c>
      <c r="M190" t="s">
        <v>2252</v>
      </c>
      <c r="N190" t="s">
        <v>1217</v>
      </c>
      <c r="O190">
        <v>2600</v>
      </c>
      <c r="P190">
        <v>800</v>
      </c>
      <c r="Q190">
        <v>800</v>
      </c>
      <c r="R190" t="s">
        <v>1326</v>
      </c>
    </row>
    <row r="191" spans="1:18" x14ac:dyDescent="0.25">
      <c r="A191">
        <v>2007</v>
      </c>
      <c r="B191" t="s">
        <v>368</v>
      </c>
      <c r="C191" t="s">
        <v>890</v>
      </c>
      <c r="D191" t="str">
        <f t="shared" si="6"/>
        <v>Jensen Trinity</v>
      </c>
      <c r="E191" t="s">
        <v>1207</v>
      </c>
      <c r="F191" s="1">
        <v>45361</v>
      </c>
      <c r="G191" s="32" t="str">
        <f t="shared" si="7"/>
        <v>Mar</v>
      </c>
      <c r="H191">
        <v>3</v>
      </c>
      <c r="I191" t="str">
        <f t="shared" si="8"/>
        <v>Gold</v>
      </c>
      <c r="J191" t="s">
        <v>1242</v>
      </c>
      <c r="K191" s="17">
        <v>92251</v>
      </c>
      <c r="L191" s="17" t="s">
        <v>1218</v>
      </c>
      <c r="M191" t="s">
        <v>2256</v>
      </c>
      <c r="N191" t="s">
        <v>1219</v>
      </c>
      <c r="O191">
        <v>2300</v>
      </c>
      <c r="P191">
        <v>250</v>
      </c>
      <c r="Q191">
        <v>750</v>
      </c>
      <c r="R191" t="s">
        <v>2024</v>
      </c>
    </row>
    <row r="192" spans="1:18" x14ac:dyDescent="0.25">
      <c r="A192">
        <v>1521</v>
      </c>
      <c r="B192" t="s">
        <v>195</v>
      </c>
      <c r="C192" t="s">
        <v>503</v>
      </c>
      <c r="D192" t="str">
        <f t="shared" si="6"/>
        <v>Gallagher Lennox</v>
      </c>
      <c r="E192" t="s">
        <v>1249</v>
      </c>
      <c r="F192" s="1">
        <v>45362</v>
      </c>
      <c r="G192" s="32" t="str">
        <f t="shared" si="7"/>
        <v>Mar</v>
      </c>
      <c r="H192">
        <v>2</v>
      </c>
      <c r="I192" t="str">
        <f t="shared" si="8"/>
        <v>Silver</v>
      </c>
      <c r="J192" t="s">
        <v>14</v>
      </c>
      <c r="K192" s="17">
        <v>68190</v>
      </c>
      <c r="L192" s="17" t="s">
        <v>1220</v>
      </c>
      <c r="M192" t="s">
        <v>2256</v>
      </c>
      <c r="N192" t="s">
        <v>1221</v>
      </c>
      <c r="O192">
        <v>3350</v>
      </c>
      <c r="P192">
        <v>1200</v>
      </c>
      <c r="Q192">
        <v>2400</v>
      </c>
      <c r="R192" t="s">
        <v>1537</v>
      </c>
    </row>
    <row r="193" spans="1:18" x14ac:dyDescent="0.25">
      <c r="A193">
        <v>1663</v>
      </c>
      <c r="B193" t="s">
        <v>675</v>
      </c>
      <c r="C193" t="s">
        <v>662</v>
      </c>
      <c r="D193" t="str">
        <f t="shared" si="6"/>
        <v>Maynard Chloe</v>
      </c>
      <c r="E193" t="s">
        <v>1207</v>
      </c>
      <c r="F193" s="1">
        <v>45362</v>
      </c>
      <c r="G193" s="32" t="str">
        <f t="shared" si="7"/>
        <v>Mar</v>
      </c>
      <c r="H193">
        <v>2</v>
      </c>
      <c r="I193" t="str">
        <f t="shared" si="8"/>
        <v>Silver</v>
      </c>
      <c r="J193" t="s">
        <v>1243</v>
      </c>
      <c r="K193" s="17">
        <v>23102</v>
      </c>
      <c r="L193" s="17" t="s">
        <v>1222</v>
      </c>
      <c r="M193" t="s">
        <v>2256</v>
      </c>
      <c r="N193" t="s">
        <v>1231</v>
      </c>
      <c r="O193">
        <v>4870</v>
      </c>
      <c r="P193">
        <v>250</v>
      </c>
      <c r="Q193">
        <v>500</v>
      </c>
      <c r="R193" t="s">
        <v>1680</v>
      </c>
    </row>
    <row r="194" spans="1:18" x14ac:dyDescent="0.25">
      <c r="A194">
        <v>1417</v>
      </c>
      <c r="B194" t="s">
        <v>347</v>
      </c>
      <c r="C194" t="s">
        <v>348</v>
      </c>
      <c r="D194" t="str">
        <f t="shared" ref="D194:D257" si="9">CONCATENATE(B194, " ", C194)</f>
        <v>Everett Lyra</v>
      </c>
      <c r="E194" t="s">
        <v>1205</v>
      </c>
      <c r="F194" s="1">
        <v>45363</v>
      </c>
      <c r="G194" s="32" t="str">
        <f t="shared" ref="G194:G257" si="10">TEXT(F194, "MMM")</f>
        <v>Mar</v>
      </c>
      <c r="H194">
        <v>2</v>
      </c>
      <c r="I194" t="str">
        <f t="shared" ref="I194:I257" si="11">IF(H194=1,"Bronze",IF(H194=2,"Silver",IF(H194=3,"Gold")))</f>
        <v>Silver</v>
      </c>
      <c r="J194" t="s">
        <v>14</v>
      </c>
      <c r="K194" s="17">
        <v>61026</v>
      </c>
      <c r="L194" s="17" t="s">
        <v>1222</v>
      </c>
      <c r="M194" t="s">
        <v>2254</v>
      </c>
      <c r="N194" t="s">
        <v>1231</v>
      </c>
      <c r="O194">
        <v>4870</v>
      </c>
      <c r="P194">
        <v>250</v>
      </c>
      <c r="Q194">
        <v>500</v>
      </c>
      <c r="R194" t="s">
        <v>1433</v>
      </c>
    </row>
    <row r="195" spans="1:18" x14ac:dyDescent="0.25">
      <c r="A195">
        <v>1435</v>
      </c>
      <c r="B195" t="s">
        <v>376</v>
      </c>
      <c r="C195" t="s">
        <v>377</v>
      </c>
      <c r="D195" t="str">
        <f t="shared" si="9"/>
        <v>Norris Kobe</v>
      </c>
      <c r="E195" t="s">
        <v>1248</v>
      </c>
      <c r="F195" s="1">
        <v>45363</v>
      </c>
      <c r="G195" s="32" t="str">
        <f t="shared" si="10"/>
        <v>Mar</v>
      </c>
      <c r="H195">
        <v>1</v>
      </c>
      <c r="I195" t="str">
        <f t="shared" si="11"/>
        <v>Bronze</v>
      </c>
      <c r="J195" t="s">
        <v>14</v>
      </c>
      <c r="K195" s="17">
        <v>67405</v>
      </c>
      <c r="L195" s="17" t="s">
        <v>1222</v>
      </c>
      <c r="M195" t="s">
        <v>2252</v>
      </c>
      <c r="N195" t="s">
        <v>1231</v>
      </c>
      <c r="O195">
        <v>4870</v>
      </c>
      <c r="P195">
        <v>300</v>
      </c>
      <c r="Q195">
        <v>300</v>
      </c>
      <c r="R195" t="s">
        <v>1451</v>
      </c>
    </row>
    <row r="196" spans="1:18" x14ac:dyDescent="0.25">
      <c r="A196">
        <v>1866</v>
      </c>
      <c r="B196" t="s">
        <v>896</v>
      </c>
      <c r="C196" t="s">
        <v>247</v>
      </c>
      <c r="D196" t="str">
        <f t="shared" si="9"/>
        <v>Huff Edgar</v>
      </c>
      <c r="E196" t="s">
        <v>1203</v>
      </c>
      <c r="F196" s="1">
        <v>45363</v>
      </c>
      <c r="G196" s="32" t="str">
        <f t="shared" si="10"/>
        <v>Mar</v>
      </c>
      <c r="H196">
        <v>2</v>
      </c>
      <c r="I196" t="str">
        <f t="shared" si="11"/>
        <v>Silver</v>
      </c>
      <c r="J196" t="s">
        <v>1242</v>
      </c>
      <c r="K196" s="17">
        <v>3524</v>
      </c>
      <c r="L196" s="17" t="s">
        <v>1216</v>
      </c>
      <c r="M196" t="s">
        <v>2252</v>
      </c>
      <c r="N196" t="s">
        <v>1217</v>
      </c>
      <c r="O196">
        <v>2600</v>
      </c>
      <c r="P196">
        <v>600</v>
      </c>
      <c r="Q196">
        <v>1200</v>
      </c>
      <c r="R196" t="s">
        <v>1883</v>
      </c>
    </row>
    <row r="197" spans="1:18" x14ac:dyDescent="0.25">
      <c r="A197">
        <v>1950</v>
      </c>
      <c r="B197" t="s">
        <v>955</v>
      </c>
      <c r="C197" t="s">
        <v>299</v>
      </c>
      <c r="D197" t="str">
        <f t="shared" si="9"/>
        <v>George Mary</v>
      </c>
      <c r="E197" t="s">
        <v>1248</v>
      </c>
      <c r="F197" s="1">
        <v>45363</v>
      </c>
      <c r="G197" s="32" t="str">
        <f t="shared" si="10"/>
        <v>Mar</v>
      </c>
      <c r="H197">
        <v>3</v>
      </c>
      <c r="I197" t="str">
        <f t="shared" si="11"/>
        <v>Gold</v>
      </c>
      <c r="J197" t="s">
        <v>14</v>
      </c>
      <c r="K197" s="17">
        <v>68676</v>
      </c>
      <c r="L197" s="17" t="s">
        <v>1228</v>
      </c>
      <c r="M197" t="s">
        <v>2252</v>
      </c>
      <c r="N197" t="s">
        <v>1229</v>
      </c>
      <c r="O197">
        <v>7250</v>
      </c>
      <c r="P197">
        <v>300</v>
      </c>
      <c r="Q197">
        <v>900</v>
      </c>
      <c r="R197" t="s">
        <v>1967</v>
      </c>
    </row>
    <row r="198" spans="1:18" x14ac:dyDescent="0.25">
      <c r="A198">
        <v>1976</v>
      </c>
      <c r="B198" t="s">
        <v>994</v>
      </c>
      <c r="C198" t="s">
        <v>995</v>
      </c>
      <c r="D198" t="str">
        <f t="shared" si="9"/>
        <v>Swanson Carolina</v>
      </c>
      <c r="E198" t="s">
        <v>1249</v>
      </c>
      <c r="F198" s="1">
        <v>45363</v>
      </c>
      <c r="G198" s="32" t="str">
        <f t="shared" si="10"/>
        <v>Mar</v>
      </c>
      <c r="H198">
        <v>2</v>
      </c>
      <c r="I198" t="str">
        <f t="shared" si="11"/>
        <v>Silver</v>
      </c>
      <c r="J198" t="s">
        <v>18</v>
      </c>
      <c r="K198" s="17">
        <v>7522</v>
      </c>
      <c r="L198" s="17" t="s">
        <v>1224</v>
      </c>
      <c r="M198" t="s">
        <v>2254</v>
      </c>
      <c r="N198" t="s">
        <v>1225</v>
      </c>
      <c r="O198">
        <v>5290</v>
      </c>
      <c r="P198">
        <v>1200</v>
      </c>
      <c r="Q198">
        <v>2400</v>
      </c>
      <c r="R198" t="s">
        <v>1993</v>
      </c>
    </row>
    <row r="199" spans="1:18" x14ac:dyDescent="0.25">
      <c r="A199">
        <v>1446</v>
      </c>
      <c r="B199" t="s">
        <v>394</v>
      </c>
      <c r="C199" t="s">
        <v>395</v>
      </c>
      <c r="D199" t="str">
        <f t="shared" si="9"/>
        <v>Rich Paul</v>
      </c>
      <c r="E199" t="s">
        <v>1208</v>
      </c>
      <c r="F199" s="1">
        <v>45364</v>
      </c>
      <c r="G199" s="32" t="str">
        <f t="shared" si="10"/>
        <v>Mar</v>
      </c>
      <c r="H199">
        <v>1</v>
      </c>
      <c r="I199" t="str">
        <f t="shared" si="11"/>
        <v>Bronze</v>
      </c>
      <c r="J199" t="s">
        <v>14</v>
      </c>
      <c r="K199" s="17">
        <v>56698</v>
      </c>
      <c r="L199" s="17" t="s">
        <v>1224</v>
      </c>
      <c r="M199" t="s">
        <v>2256</v>
      </c>
      <c r="N199" t="s">
        <v>1064</v>
      </c>
      <c r="O199">
        <v>5000</v>
      </c>
      <c r="P199">
        <v>800</v>
      </c>
      <c r="Q199">
        <v>800</v>
      </c>
      <c r="R199" t="s">
        <v>1462</v>
      </c>
    </row>
    <row r="200" spans="1:18" x14ac:dyDescent="0.25">
      <c r="A200">
        <v>1911</v>
      </c>
      <c r="B200" t="s">
        <v>81</v>
      </c>
      <c r="C200" t="s">
        <v>913</v>
      </c>
      <c r="D200" t="str">
        <f t="shared" si="9"/>
        <v>Arias Sonny</v>
      </c>
      <c r="E200" t="s">
        <v>1207</v>
      </c>
      <c r="F200" s="1">
        <v>45364</v>
      </c>
      <c r="G200" s="32" t="str">
        <f t="shared" si="10"/>
        <v>Mar</v>
      </c>
      <c r="H200">
        <v>2</v>
      </c>
      <c r="I200" t="str">
        <f t="shared" si="11"/>
        <v>Silver</v>
      </c>
      <c r="J200" t="s">
        <v>18</v>
      </c>
      <c r="K200" s="17">
        <v>11796</v>
      </c>
      <c r="L200" s="17" t="s">
        <v>1228</v>
      </c>
      <c r="M200" t="s">
        <v>2256</v>
      </c>
      <c r="N200" t="s">
        <v>1240</v>
      </c>
      <c r="O200">
        <v>7310</v>
      </c>
      <c r="P200">
        <v>250</v>
      </c>
      <c r="Q200">
        <v>500</v>
      </c>
      <c r="R200" t="s">
        <v>1928</v>
      </c>
    </row>
    <row r="201" spans="1:18" x14ac:dyDescent="0.25">
      <c r="A201">
        <v>1997</v>
      </c>
      <c r="B201" t="s">
        <v>784</v>
      </c>
      <c r="C201" t="s">
        <v>1014</v>
      </c>
      <c r="D201" t="str">
        <f t="shared" si="9"/>
        <v>Bennett Emma</v>
      </c>
      <c r="E201" t="s">
        <v>1205</v>
      </c>
      <c r="F201" s="1">
        <v>45364</v>
      </c>
      <c r="G201" s="32" t="str">
        <f t="shared" si="10"/>
        <v>Mar</v>
      </c>
      <c r="H201">
        <v>1</v>
      </c>
      <c r="I201" t="str">
        <f t="shared" si="11"/>
        <v>Bronze</v>
      </c>
      <c r="J201" t="s">
        <v>1242</v>
      </c>
      <c r="K201" s="17">
        <v>45150</v>
      </c>
      <c r="L201" s="17" t="s">
        <v>1228</v>
      </c>
      <c r="M201" t="s">
        <v>2254</v>
      </c>
      <c r="N201" t="s">
        <v>1229</v>
      </c>
      <c r="O201">
        <v>7250</v>
      </c>
      <c r="P201">
        <v>250</v>
      </c>
      <c r="Q201">
        <v>250</v>
      </c>
      <c r="R201" t="s">
        <v>2014</v>
      </c>
    </row>
    <row r="202" spans="1:18" x14ac:dyDescent="0.25">
      <c r="A202">
        <v>1349</v>
      </c>
      <c r="B202" t="s">
        <v>237</v>
      </c>
      <c r="C202" t="s">
        <v>238</v>
      </c>
      <c r="D202" t="str">
        <f t="shared" si="9"/>
        <v>Flynn Daphne</v>
      </c>
      <c r="E202" t="s">
        <v>1203</v>
      </c>
      <c r="F202" s="1">
        <v>45365</v>
      </c>
      <c r="G202" s="32" t="str">
        <f t="shared" si="10"/>
        <v>Mar</v>
      </c>
      <c r="H202">
        <v>1</v>
      </c>
      <c r="I202" t="str">
        <f t="shared" si="11"/>
        <v>Bronze</v>
      </c>
      <c r="J202" t="s">
        <v>14</v>
      </c>
      <c r="K202" s="17">
        <v>23875</v>
      </c>
      <c r="L202" s="17" t="s">
        <v>1216</v>
      </c>
      <c r="M202" t="s">
        <v>2255</v>
      </c>
      <c r="N202" t="s">
        <v>1217</v>
      </c>
      <c r="O202">
        <v>2600</v>
      </c>
      <c r="P202">
        <v>600</v>
      </c>
      <c r="Q202">
        <v>600</v>
      </c>
      <c r="R202" t="s">
        <v>1365</v>
      </c>
    </row>
    <row r="203" spans="1:18" x14ac:dyDescent="0.25">
      <c r="A203">
        <v>1769</v>
      </c>
      <c r="B203" t="s">
        <v>793</v>
      </c>
      <c r="C203" t="s">
        <v>794</v>
      </c>
      <c r="D203" t="str">
        <f t="shared" si="9"/>
        <v>Valentine Koda</v>
      </c>
      <c r="E203" t="s">
        <v>1203</v>
      </c>
      <c r="F203" s="1">
        <v>45365</v>
      </c>
      <c r="G203" s="32" t="str">
        <f t="shared" si="10"/>
        <v>Mar</v>
      </c>
      <c r="H203">
        <v>3</v>
      </c>
      <c r="I203" t="str">
        <f t="shared" si="11"/>
        <v>Gold</v>
      </c>
      <c r="J203" t="s">
        <v>14</v>
      </c>
      <c r="K203" s="17">
        <v>27919</v>
      </c>
      <c r="L203" s="17" t="s">
        <v>1233</v>
      </c>
      <c r="M203" t="s">
        <v>2255</v>
      </c>
      <c r="N203" t="s">
        <v>1239</v>
      </c>
      <c r="O203">
        <v>870</v>
      </c>
      <c r="P203">
        <v>600</v>
      </c>
      <c r="Q203">
        <v>1800</v>
      </c>
      <c r="R203" t="s">
        <v>1786</v>
      </c>
    </row>
    <row r="204" spans="1:18" x14ac:dyDescent="0.25">
      <c r="A204">
        <v>1957</v>
      </c>
      <c r="B204" t="s">
        <v>903</v>
      </c>
      <c r="C204" t="s">
        <v>983</v>
      </c>
      <c r="D204" t="str">
        <f t="shared" si="9"/>
        <v>Colón Emiliano</v>
      </c>
      <c r="E204" t="s">
        <v>1205</v>
      </c>
      <c r="F204" s="1">
        <v>45365</v>
      </c>
      <c r="G204" s="32" t="str">
        <f t="shared" si="10"/>
        <v>Mar</v>
      </c>
      <c r="H204">
        <v>1</v>
      </c>
      <c r="I204" t="str">
        <f t="shared" si="11"/>
        <v>Bronze</v>
      </c>
      <c r="J204" t="s">
        <v>14</v>
      </c>
      <c r="K204" s="17">
        <v>46659</v>
      </c>
      <c r="L204" s="17" t="s">
        <v>1218</v>
      </c>
      <c r="M204" t="s">
        <v>2256</v>
      </c>
      <c r="N204" t="s">
        <v>836</v>
      </c>
      <c r="O204">
        <v>2000</v>
      </c>
      <c r="P204">
        <v>250</v>
      </c>
      <c r="Q204">
        <v>250</v>
      </c>
      <c r="R204" t="s">
        <v>1974</v>
      </c>
    </row>
    <row r="205" spans="1:18" x14ac:dyDescent="0.25">
      <c r="A205">
        <v>2166</v>
      </c>
      <c r="B205" t="s">
        <v>722</v>
      </c>
      <c r="C205" t="s">
        <v>1158</v>
      </c>
      <c r="D205" t="str">
        <f t="shared" si="9"/>
        <v>Brown Catherine</v>
      </c>
      <c r="E205" t="s">
        <v>1203</v>
      </c>
      <c r="F205" s="1">
        <v>45365</v>
      </c>
      <c r="G205" s="32" t="str">
        <f t="shared" si="10"/>
        <v>Mar</v>
      </c>
      <c r="H205">
        <v>2</v>
      </c>
      <c r="I205" t="str">
        <f t="shared" si="11"/>
        <v>Silver</v>
      </c>
      <c r="J205" t="s">
        <v>1242</v>
      </c>
      <c r="K205" s="17">
        <v>62727</v>
      </c>
      <c r="L205" s="17" t="s">
        <v>1224</v>
      </c>
      <c r="M205" t="s">
        <v>2256</v>
      </c>
      <c r="N205" t="s">
        <v>1225</v>
      </c>
      <c r="O205">
        <v>5290</v>
      </c>
      <c r="P205">
        <v>600</v>
      </c>
      <c r="Q205">
        <v>1200</v>
      </c>
      <c r="R205" t="s">
        <v>2184</v>
      </c>
    </row>
    <row r="206" spans="1:18" x14ac:dyDescent="0.25">
      <c r="A206">
        <v>1283</v>
      </c>
      <c r="B206" t="s">
        <v>122</v>
      </c>
      <c r="C206" t="s">
        <v>123</v>
      </c>
      <c r="D206" t="str">
        <f t="shared" si="9"/>
        <v>Flores Jackson</v>
      </c>
      <c r="E206" t="s">
        <v>1207</v>
      </c>
      <c r="F206" s="1">
        <v>45368</v>
      </c>
      <c r="G206" s="32" t="str">
        <f t="shared" si="10"/>
        <v>Mar</v>
      </c>
      <c r="H206">
        <v>1</v>
      </c>
      <c r="I206" t="str">
        <f t="shared" si="11"/>
        <v>Bronze</v>
      </c>
      <c r="J206" t="s">
        <v>14</v>
      </c>
      <c r="K206" s="17">
        <v>8270</v>
      </c>
      <c r="L206" s="17" t="s">
        <v>1218</v>
      </c>
      <c r="M206" t="s">
        <v>2255</v>
      </c>
      <c r="N206" t="s">
        <v>1235</v>
      </c>
      <c r="O206">
        <v>2500</v>
      </c>
      <c r="P206">
        <v>250</v>
      </c>
      <c r="Q206">
        <v>250</v>
      </c>
      <c r="R206" t="s">
        <v>1299</v>
      </c>
    </row>
    <row r="207" spans="1:18" x14ac:dyDescent="0.25">
      <c r="A207">
        <v>1733</v>
      </c>
      <c r="B207" t="s">
        <v>760</v>
      </c>
      <c r="C207" t="s">
        <v>52</v>
      </c>
      <c r="D207" t="str">
        <f t="shared" si="9"/>
        <v>Yu Briggs</v>
      </c>
      <c r="E207" t="s">
        <v>1203</v>
      </c>
      <c r="F207" s="1">
        <v>45368</v>
      </c>
      <c r="G207" s="32" t="str">
        <f t="shared" si="10"/>
        <v>Mar</v>
      </c>
      <c r="H207">
        <v>3</v>
      </c>
      <c r="I207" t="str">
        <f t="shared" si="11"/>
        <v>Gold</v>
      </c>
      <c r="J207" t="s">
        <v>14</v>
      </c>
      <c r="K207" s="17">
        <v>77149</v>
      </c>
      <c r="L207" s="17" t="s">
        <v>1214</v>
      </c>
      <c r="M207" t="s">
        <v>2252</v>
      </c>
      <c r="N207" t="s">
        <v>1227</v>
      </c>
      <c r="O207">
        <v>6160</v>
      </c>
      <c r="P207">
        <v>600</v>
      </c>
      <c r="Q207">
        <v>1800</v>
      </c>
      <c r="R207" t="s">
        <v>1750</v>
      </c>
    </row>
    <row r="208" spans="1:18" x14ac:dyDescent="0.25">
      <c r="A208">
        <v>1240</v>
      </c>
      <c r="B208" t="s">
        <v>38</v>
      </c>
      <c r="C208" t="s">
        <v>39</v>
      </c>
      <c r="D208" t="str">
        <f t="shared" si="9"/>
        <v>Knox Brooke</v>
      </c>
      <c r="E208" t="s">
        <v>1207</v>
      </c>
      <c r="F208" s="1">
        <v>45369</v>
      </c>
      <c r="G208" s="32" t="str">
        <f t="shared" si="10"/>
        <v>Mar</v>
      </c>
      <c r="H208">
        <v>1</v>
      </c>
      <c r="I208" t="str">
        <f t="shared" si="11"/>
        <v>Bronze</v>
      </c>
      <c r="J208" t="s">
        <v>1242</v>
      </c>
      <c r="K208" s="17">
        <v>55276</v>
      </c>
      <c r="L208" s="17" t="s">
        <v>1220</v>
      </c>
      <c r="M208" t="s">
        <v>2252</v>
      </c>
      <c r="N208" t="s">
        <v>1226</v>
      </c>
      <c r="O208">
        <v>3220</v>
      </c>
      <c r="P208">
        <v>250</v>
      </c>
      <c r="Q208">
        <v>250</v>
      </c>
      <c r="R208" t="s">
        <v>1256</v>
      </c>
    </row>
    <row r="209" spans="1:18" x14ac:dyDescent="0.25">
      <c r="A209">
        <v>1423</v>
      </c>
      <c r="B209" t="s">
        <v>358</v>
      </c>
      <c r="C209" t="s">
        <v>359</v>
      </c>
      <c r="D209" t="str">
        <f t="shared" si="9"/>
        <v>Contreras Addison</v>
      </c>
      <c r="E209" t="s">
        <v>1249</v>
      </c>
      <c r="F209" s="1">
        <v>45369</v>
      </c>
      <c r="G209" s="32" t="str">
        <f t="shared" si="10"/>
        <v>Mar</v>
      </c>
      <c r="H209">
        <v>1</v>
      </c>
      <c r="I209" t="str">
        <f t="shared" si="11"/>
        <v>Bronze</v>
      </c>
      <c r="J209" t="s">
        <v>1242</v>
      </c>
      <c r="K209" s="17">
        <v>96865</v>
      </c>
      <c r="L209" s="17" t="s">
        <v>1216</v>
      </c>
      <c r="M209" t="s">
        <v>2254</v>
      </c>
      <c r="N209" t="s">
        <v>1217</v>
      </c>
      <c r="O209">
        <v>2600</v>
      </c>
      <c r="P209">
        <v>1200</v>
      </c>
      <c r="Q209">
        <v>1200</v>
      </c>
      <c r="R209" t="s">
        <v>1439</v>
      </c>
    </row>
    <row r="210" spans="1:18" x14ac:dyDescent="0.25">
      <c r="A210">
        <v>1698</v>
      </c>
      <c r="B210" t="s">
        <v>722</v>
      </c>
      <c r="C210" t="s">
        <v>723</v>
      </c>
      <c r="D210" t="str">
        <f t="shared" si="9"/>
        <v>Brown Isabel</v>
      </c>
      <c r="E210" t="s">
        <v>1207</v>
      </c>
      <c r="F210" s="1">
        <v>45369</v>
      </c>
      <c r="G210" s="32" t="str">
        <f t="shared" si="10"/>
        <v>Mar</v>
      </c>
      <c r="H210">
        <v>3</v>
      </c>
      <c r="I210" t="str">
        <f t="shared" si="11"/>
        <v>Gold</v>
      </c>
      <c r="J210" t="s">
        <v>1242</v>
      </c>
      <c r="K210" s="17">
        <v>11820</v>
      </c>
      <c r="L210" s="17" t="s">
        <v>1220</v>
      </c>
      <c r="M210" t="s">
        <v>2254</v>
      </c>
      <c r="N210" t="s">
        <v>1226</v>
      </c>
      <c r="O210">
        <v>3220</v>
      </c>
      <c r="P210">
        <v>250</v>
      </c>
      <c r="Q210">
        <v>750</v>
      </c>
      <c r="R210" t="s">
        <v>1715</v>
      </c>
    </row>
    <row r="211" spans="1:18" x14ac:dyDescent="0.25">
      <c r="A211">
        <v>2001</v>
      </c>
      <c r="B211" t="s">
        <v>111</v>
      </c>
      <c r="C211" t="s">
        <v>597</v>
      </c>
      <c r="D211" t="str">
        <f t="shared" si="9"/>
        <v>Winters Holden</v>
      </c>
      <c r="E211" t="s">
        <v>1249</v>
      </c>
      <c r="F211" s="1">
        <v>45369</v>
      </c>
      <c r="G211" s="32" t="str">
        <f t="shared" si="10"/>
        <v>Mar</v>
      </c>
      <c r="H211">
        <v>3</v>
      </c>
      <c r="I211" t="str">
        <f t="shared" si="11"/>
        <v>Gold</v>
      </c>
      <c r="J211" t="s">
        <v>14</v>
      </c>
      <c r="K211" s="17">
        <v>68278</v>
      </c>
      <c r="L211" s="17" t="s">
        <v>1218</v>
      </c>
      <c r="M211" t="s">
        <v>2256</v>
      </c>
      <c r="N211" t="s">
        <v>1235</v>
      </c>
      <c r="O211">
        <v>2500</v>
      </c>
      <c r="P211">
        <v>1200</v>
      </c>
      <c r="Q211">
        <v>3600</v>
      </c>
      <c r="R211" t="s">
        <v>2018</v>
      </c>
    </row>
    <row r="212" spans="1:18" x14ac:dyDescent="0.25">
      <c r="A212">
        <v>1606</v>
      </c>
      <c r="B212" t="s">
        <v>608</v>
      </c>
      <c r="C212" t="s">
        <v>344</v>
      </c>
      <c r="D212" t="str">
        <f t="shared" si="9"/>
        <v>Walsh Patrick</v>
      </c>
      <c r="E212" t="s">
        <v>1203</v>
      </c>
      <c r="F212" s="1">
        <v>45370</v>
      </c>
      <c r="G212" s="32" t="str">
        <f t="shared" si="10"/>
        <v>Mar</v>
      </c>
      <c r="H212">
        <v>3</v>
      </c>
      <c r="I212" t="str">
        <f t="shared" si="11"/>
        <v>Gold</v>
      </c>
      <c r="J212" t="s">
        <v>1242</v>
      </c>
      <c r="K212" s="17">
        <v>12797</v>
      </c>
      <c r="L212" s="17" t="s">
        <v>1228</v>
      </c>
      <c r="M212" t="s">
        <v>2256</v>
      </c>
      <c r="N212" t="s">
        <v>1240</v>
      </c>
      <c r="O212">
        <v>7310</v>
      </c>
      <c r="P212">
        <v>600</v>
      </c>
      <c r="Q212">
        <v>1800</v>
      </c>
      <c r="R212" t="s">
        <v>1622</v>
      </c>
    </row>
    <row r="213" spans="1:18" x14ac:dyDescent="0.25">
      <c r="A213">
        <v>1694</v>
      </c>
      <c r="B213" t="s">
        <v>679</v>
      </c>
      <c r="C213" t="s">
        <v>426</v>
      </c>
      <c r="D213" t="str">
        <f t="shared" si="9"/>
        <v>Sandoval Santiago</v>
      </c>
      <c r="E213" t="s">
        <v>1249</v>
      </c>
      <c r="F213" s="1">
        <v>45370</v>
      </c>
      <c r="G213" s="32" t="str">
        <f t="shared" si="10"/>
        <v>Mar</v>
      </c>
      <c r="H213">
        <v>1</v>
      </c>
      <c r="I213" t="str">
        <f t="shared" si="11"/>
        <v>Bronze</v>
      </c>
      <c r="J213" t="s">
        <v>1243</v>
      </c>
      <c r="K213" s="17">
        <v>99373</v>
      </c>
      <c r="L213" s="17" t="s">
        <v>1228</v>
      </c>
      <c r="M213" t="s">
        <v>2252</v>
      </c>
      <c r="N213" t="s">
        <v>1229</v>
      </c>
      <c r="O213">
        <v>7250</v>
      </c>
      <c r="P213">
        <v>1200</v>
      </c>
      <c r="Q213">
        <v>1200</v>
      </c>
      <c r="R213" t="s">
        <v>1711</v>
      </c>
    </row>
    <row r="214" spans="1:18" x14ac:dyDescent="0.25">
      <c r="A214">
        <v>2028</v>
      </c>
      <c r="B214" t="s">
        <v>1036</v>
      </c>
      <c r="C214" t="s">
        <v>686</v>
      </c>
      <c r="D214" t="str">
        <f t="shared" si="9"/>
        <v>Brennan Alison</v>
      </c>
      <c r="E214" t="s">
        <v>1205</v>
      </c>
      <c r="F214" s="1">
        <v>45370</v>
      </c>
      <c r="G214" s="32" t="str">
        <f t="shared" si="10"/>
        <v>Mar</v>
      </c>
      <c r="H214">
        <v>3</v>
      </c>
      <c r="I214" t="str">
        <f t="shared" si="11"/>
        <v>Gold</v>
      </c>
      <c r="J214" t="s">
        <v>14</v>
      </c>
      <c r="K214" s="17">
        <v>32757</v>
      </c>
      <c r="L214" s="17" t="s">
        <v>1233</v>
      </c>
      <c r="M214" t="s">
        <v>2252</v>
      </c>
      <c r="N214" t="s">
        <v>1239</v>
      </c>
      <c r="O214">
        <v>870</v>
      </c>
      <c r="P214">
        <v>250</v>
      </c>
      <c r="Q214">
        <v>750</v>
      </c>
      <c r="R214" t="s">
        <v>2045</v>
      </c>
    </row>
    <row r="215" spans="1:18" x14ac:dyDescent="0.25">
      <c r="A215">
        <v>2057</v>
      </c>
      <c r="B215" t="s">
        <v>704</v>
      </c>
      <c r="C215" t="s">
        <v>97</v>
      </c>
      <c r="D215" t="str">
        <f t="shared" si="9"/>
        <v>Perez Avery</v>
      </c>
      <c r="E215" t="s">
        <v>1248</v>
      </c>
      <c r="F215" s="1">
        <v>45370</v>
      </c>
      <c r="G215" s="32" t="str">
        <f t="shared" si="10"/>
        <v>Mar</v>
      </c>
      <c r="H215">
        <v>2</v>
      </c>
      <c r="I215" t="str">
        <f t="shared" si="11"/>
        <v>Silver</v>
      </c>
      <c r="J215" t="s">
        <v>1242</v>
      </c>
      <c r="K215" s="17">
        <v>9470</v>
      </c>
      <c r="L215" s="17" t="s">
        <v>1222</v>
      </c>
      <c r="M215" t="s">
        <v>2253</v>
      </c>
      <c r="N215" t="s">
        <v>1231</v>
      </c>
      <c r="O215">
        <v>4870</v>
      </c>
      <c r="P215">
        <v>300</v>
      </c>
      <c r="Q215">
        <v>600</v>
      </c>
      <c r="R215" t="s">
        <v>2074</v>
      </c>
    </row>
    <row r="216" spans="1:18" x14ac:dyDescent="0.25">
      <c r="A216">
        <v>2110</v>
      </c>
      <c r="B216" t="s">
        <v>482</v>
      </c>
      <c r="C216" t="s">
        <v>415</v>
      </c>
      <c r="D216" t="str">
        <f t="shared" si="9"/>
        <v>Carson Marley</v>
      </c>
      <c r="E216" t="s">
        <v>1249</v>
      </c>
      <c r="F216" s="1">
        <v>45370</v>
      </c>
      <c r="G216" s="32" t="str">
        <f t="shared" si="10"/>
        <v>Mar</v>
      </c>
      <c r="H216">
        <v>1</v>
      </c>
      <c r="I216" t="str">
        <f t="shared" si="11"/>
        <v>Bronze</v>
      </c>
      <c r="J216" t="s">
        <v>1242</v>
      </c>
      <c r="K216" s="17">
        <v>82047</v>
      </c>
      <c r="L216" s="17" t="s">
        <v>1214</v>
      </c>
      <c r="M216" t="s">
        <v>2253</v>
      </c>
      <c r="N216" t="s">
        <v>1236</v>
      </c>
      <c r="O216">
        <v>6000</v>
      </c>
      <c r="P216">
        <v>1200</v>
      </c>
      <c r="Q216">
        <v>1200</v>
      </c>
      <c r="R216" t="s">
        <v>2128</v>
      </c>
    </row>
    <row r="217" spans="1:18" x14ac:dyDescent="0.25">
      <c r="A217">
        <v>1290</v>
      </c>
      <c r="B217" t="s">
        <v>135</v>
      </c>
      <c r="C217" t="s">
        <v>136</v>
      </c>
      <c r="D217" t="str">
        <f t="shared" si="9"/>
        <v>Maldonado Arielle</v>
      </c>
      <c r="E217" t="s">
        <v>1248</v>
      </c>
      <c r="F217" s="1">
        <v>45371</v>
      </c>
      <c r="G217" s="32" t="str">
        <f t="shared" si="10"/>
        <v>Mar</v>
      </c>
      <c r="H217">
        <v>3</v>
      </c>
      <c r="I217" t="str">
        <f t="shared" si="11"/>
        <v>Gold</v>
      </c>
      <c r="J217" t="s">
        <v>1243</v>
      </c>
      <c r="K217" s="17">
        <v>79405</v>
      </c>
      <c r="L217" s="17" t="s">
        <v>1224</v>
      </c>
      <c r="M217" t="s">
        <v>2256</v>
      </c>
      <c r="N217" t="s">
        <v>1064</v>
      </c>
      <c r="O217">
        <v>5000</v>
      </c>
      <c r="P217">
        <v>300</v>
      </c>
      <c r="Q217">
        <v>900</v>
      </c>
      <c r="R217" t="s">
        <v>1306</v>
      </c>
    </row>
    <row r="218" spans="1:18" x14ac:dyDescent="0.25">
      <c r="A218">
        <v>1351</v>
      </c>
      <c r="B218" t="s">
        <v>240</v>
      </c>
      <c r="C218" t="s">
        <v>241</v>
      </c>
      <c r="D218" t="str">
        <f t="shared" si="9"/>
        <v>Townsend Charles</v>
      </c>
      <c r="E218" t="s">
        <v>1203</v>
      </c>
      <c r="F218" s="1">
        <v>45371</v>
      </c>
      <c r="G218" s="32" t="str">
        <f t="shared" si="10"/>
        <v>Mar</v>
      </c>
      <c r="H218">
        <v>3</v>
      </c>
      <c r="I218" t="str">
        <f t="shared" si="11"/>
        <v>Gold</v>
      </c>
      <c r="J218" t="s">
        <v>1242</v>
      </c>
      <c r="K218" s="17">
        <v>21261</v>
      </c>
      <c r="L218" s="17" t="s">
        <v>1228</v>
      </c>
      <c r="M218" t="s">
        <v>2255</v>
      </c>
      <c r="N218" t="s">
        <v>1240</v>
      </c>
      <c r="O218">
        <v>7310</v>
      </c>
      <c r="P218">
        <v>600</v>
      </c>
      <c r="Q218">
        <v>1800</v>
      </c>
      <c r="R218" t="s">
        <v>1367</v>
      </c>
    </row>
    <row r="219" spans="1:18" x14ac:dyDescent="0.25">
      <c r="A219">
        <v>1494</v>
      </c>
      <c r="B219" t="s">
        <v>468</v>
      </c>
      <c r="C219" t="s">
        <v>151</v>
      </c>
      <c r="D219" t="str">
        <f t="shared" si="9"/>
        <v>Hartman Manuel</v>
      </c>
      <c r="E219" t="s">
        <v>1207</v>
      </c>
      <c r="F219" s="1">
        <v>45371</v>
      </c>
      <c r="G219" s="32" t="str">
        <f t="shared" si="10"/>
        <v>Mar</v>
      </c>
      <c r="H219">
        <v>3</v>
      </c>
      <c r="I219" t="str">
        <f t="shared" si="11"/>
        <v>Gold</v>
      </c>
      <c r="J219" t="s">
        <v>14</v>
      </c>
      <c r="K219" s="17">
        <v>67616</v>
      </c>
      <c r="L219" s="17" t="s">
        <v>1233</v>
      </c>
      <c r="M219" t="s">
        <v>2255</v>
      </c>
      <c r="N219" t="s">
        <v>1239</v>
      </c>
      <c r="O219">
        <v>870</v>
      </c>
      <c r="P219">
        <v>250</v>
      </c>
      <c r="Q219">
        <v>750</v>
      </c>
      <c r="R219" t="s">
        <v>1510</v>
      </c>
    </row>
    <row r="220" spans="1:18" x14ac:dyDescent="0.25">
      <c r="A220">
        <v>1405</v>
      </c>
      <c r="B220" t="s">
        <v>327</v>
      </c>
      <c r="C220" t="s">
        <v>328</v>
      </c>
      <c r="D220" t="str">
        <f t="shared" si="9"/>
        <v>Mccall Saylor</v>
      </c>
      <c r="E220" t="s">
        <v>1208</v>
      </c>
      <c r="F220" s="1">
        <v>45372</v>
      </c>
      <c r="G220" s="32" t="str">
        <f t="shared" si="10"/>
        <v>Mar</v>
      </c>
      <c r="H220">
        <v>3</v>
      </c>
      <c r="I220" t="str">
        <f t="shared" si="11"/>
        <v>Gold</v>
      </c>
      <c r="J220" t="s">
        <v>1243</v>
      </c>
      <c r="K220" s="17">
        <v>47246</v>
      </c>
      <c r="L220" s="17" t="s">
        <v>1218</v>
      </c>
      <c r="M220" t="s">
        <v>2252</v>
      </c>
      <c r="N220" t="s">
        <v>836</v>
      </c>
      <c r="O220">
        <v>2000</v>
      </c>
      <c r="P220">
        <v>800</v>
      </c>
      <c r="Q220">
        <v>2400</v>
      </c>
      <c r="R220" t="s">
        <v>1421</v>
      </c>
    </row>
    <row r="221" spans="1:18" x14ac:dyDescent="0.25">
      <c r="A221">
        <v>1522</v>
      </c>
      <c r="B221" t="s">
        <v>64</v>
      </c>
      <c r="C221" t="s">
        <v>504</v>
      </c>
      <c r="D221" t="str">
        <f t="shared" si="9"/>
        <v>Landry Liam</v>
      </c>
      <c r="E221" t="s">
        <v>1249</v>
      </c>
      <c r="F221" s="1">
        <v>45372</v>
      </c>
      <c r="G221" s="32" t="str">
        <f t="shared" si="10"/>
        <v>Mar</v>
      </c>
      <c r="H221">
        <v>3</v>
      </c>
      <c r="I221" t="str">
        <f t="shared" si="11"/>
        <v>Gold</v>
      </c>
      <c r="J221" t="s">
        <v>1242</v>
      </c>
      <c r="K221" s="17">
        <v>60423</v>
      </c>
      <c r="L221" s="17" t="s">
        <v>1220</v>
      </c>
      <c r="M221" t="s">
        <v>2256</v>
      </c>
      <c r="N221" t="s">
        <v>1226</v>
      </c>
      <c r="O221">
        <v>3220</v>
      </c>
      <c r="P221">
        <v>1200</v>
      </c>
      <c r="Q221">
        <v>3600</v>
      </c>
      <c r="R221" t="s">
        <v>1538</v>
      </c>
    </row>
    <row r="222" spans="1:18" x14ac:dyDescent="0.25">
      <c r="A222">
        <v>1561</v>
      </c>
      <c r="B222" t="s">
        <v>553</v>
      </c>
      <c r="C222" t="s">
        <v>554</v>
      </c>
      <c r="D222" t="str">
        <f t="shared" si="9"/>
        <v>Macdonald Angelina</v>
      </c>
      <c r="E222" t="s">
        <v>1208</v>
      </c>
      <c r="F222" s="1">
        <v>45372</v>
      </c>
      <c r="G222" s="32" t="str">
        <f t="shared" si="10"/>
        <v>Mar</v>
      </c>
      <c r="H222">
        <v>1</v>
      </c>
      <c r="I222" t="str">
        <f t="shared" si="11"/>
        <v>Bronze</v>
      </c>
      <c r="J222" t="s">
        <v>14</v>
      </c>
      <c r="K222" s="17">
        <v>55098</v>
      </c>
      <c r="L222" s="17" t="s">
        <v>1216</v>
      </c>
      <c r="M222" t="s">
        <v>2255</v>
      </c>
      <c r="N222" t="s">
        <v>1217</v>
      </c>
      <c r="O222">
        <v>2600</v>
      </c>
      <c r="P222">
        <v>800</v>
      </c>
      <c r="Q222">
        <v>800</v>
      </c>
      <c r="R222" t="s">
        <v>1577</v>
      </c>
    </row>
    <row r="223" spans="1:18" x14ac:dyDescent="0.25">
      <c r="A223">
        <v>1550</v>
      </c>
      <c r="B223" t="s">
        <v>536</v>
      </c>
      <c r="C223" t="s">
        <v>537</v>
      </c>
      <c r="D223" t="str">
        <f t="shared" si="9"/>
        <v>Case Alana</v>
      </c>
      <c r="E223" t="s">
        <v>1249</v>
      </c>
      <c r="F223" s="1">
        <v>45373</v>
      </c>
      <c r="G223" s="32" t="str">
        <f t="shared" si="10"/>
        <v>Mar</v>
      </c>
      <c r="H223">
        <v>1</v>
      </c>
      <c r="I223" t="str">
        <f t="shared" si="11"/>
        <v>Bronze</v>
      </c>
      <c r="J223" t="s">
        <v>1243</v>
      </c>
      <c r="K223" s="17">
        <v>69008</v>
      </c>
      <c r="L223" s="17" t="s">
        <v>1224</v>
      </c>
      <c r="M223" t="s">
        <v>2253</v>
      </c>
      <c r="N223" t="s">
        <v>1225</v>
      </c>
      <c r="O223">
        <v>5290</v>
      </c>
      <c r="P223">
        <v>1200</v>
      </c>
      <c r="Q223">
        <v>1200</v>
      </c>
      <c r="R223" t="s">
        <v>1566</v>
      </c>
    </row>
    <row r="224" spans="1:18" x14ac:dyDescent="0.25">
      <c r="A224">
        <v>1803</v>
      </c>
      <c r="B224" t="s">
        <v>829</v>
      </c>
      <c r="C224" t="s">
        <v>830</v>
      </c>
      <c r="D224" t="str">
        <f t="shared" si="9"/>
        <v>White Lila</v>
      </c>
      <c r="E224" t="s">
        <v>1249</v>
      </c>
      <c r="F224" s="1">
        <v>45373</v>
      </c>
      <c r="G224" s="32" t="str">
        <f t="shared" si="10"/>
        <v>Mar</v>
      </c>
      <c r="H224">
        <v>3</v>
      </c>
      <c r="I224" t="str">
        <f t="shared" si="11"/>
        <v>Gold</v>
      </c>
      <c r="J224" t="s">
        <v>1242</v>
      </c>
      <c r="K224" s="17">
        <v>52887</v>
      </c>
      <c r="L224" s="17" t="s">
        <v>1218</v>
      </c>
      <c r="M224" t="s">
        <v>2255</v>
      </c>
      <c r="N224" t="s">
        <v>1235</v>
      </c>
      <c r="O224">
        <v>2500</v>
      </c>
      <c r="P224">
        <v>1200</v>
      </c>
      <c r="Q224">
        <v>3600</v>
      </c>
      <c r="R224" t="s">
        <v>1820</v>
      </c>
    </row>
    <row r="225" spans="1:18" x14ac:dyDescent="0.25">
      <c r="A225">
        <v>1938</v>
      </c>
      <c r="B225" t="s">
        <v>969</v>
      </c>
      <c r="C225" t="s">
        <v>970</v>
      </c>
      <c r="D225" t="str">
        <f t="shared" si="9"/>
        <v>Lu Sergio</v>
      </c>
      <c r="E225" t="s">
        <v>1249</v>
      </c>
      <c r="F225" s="1">
        <v>45373</v>
      </c>
      <c r="G225" s="32" t="str">
        <f t="shared" si="10"/>
        <v>Mar</v>
      </c>
      <c r="H225">
        <v>3</v>
      </c>
      <c r="I225" t="str">
        <f t="shared" si="11"/>
        <v>Gold</v>
      </c>
      <c r="J225" t="s">
        <v>14</v>
      </c>
      <c r="K225" s="17">
        <v>62965</v>
      </c>
      <c r="L225" s="17" t="s">
        <v>1228</v>
      </c>
      <c r="M225" t="s">
        <v>2256</v>
      </c>
      <c r="N225" t="s">
        <v>1230</v>
      </c>
      <c r="O225">
        <v>7000</v>
      </c>
      <c r="P225">
        <v>1200</v>
      </c>
      <c r="Q225">
        <v>3600</v>
      </c>
      <c r="R225" t="s">
        <v>1955</v>
      </c>
    </row>
    <row r="226" spans="1:18" x14ac:dyDescent="0.25">
      <c r="A226">
        <v>1426</v>
      </c>
      <c r="B226" t="s">
        <v>91</v>
      </c>
      <c r="C226" t="s">
        <v>363</v>
      </c>
      <c r="D226" t="str">
        <f t="shared" si="9"/>
        <v>Foster Sadie</v>
      </c>
      <c r="E226" t="s">
        <v>1203</v>
      </c>
      <c r="F226" s="1">
        <v>45374</v>
      </c>
      <c r="G226" s="32" t="str">
        <f t="shared" si="10"/>
        <v>Mar</v>
      </c>
      <c r="H226">
        <v>3</v>
      </c>
      <c r="I226" t="str">
        <f t="shared" si="11"/>
        <v>Gold</v>
      </c>
      <c r="J226" t="s">
        <v>14</v>
      </c>
      <c r="K226" s="17">
        <v>9535</v>
      </c>
      <c r="L226" s="17" t="s">
        <v>1222</v>
      </c>
      <c r="M226" t="s">
        <v>2254</v>
      </c>
      <c r="N226" t="s">
        <v>1237</v>
      </c>
      <c r="O226">
        <v>4000</v>
      </c>
      <c r="P226">
        <v>600</v>
      </c>
      <c r="Q226">
        <v>1800</v>
      </c>
      <c r="R226" t="s">
        <v>1442</v>
      </c>
    </row>
    <row r="227" spans="1:18" x14ac:dyDescent="0.25">
      <c r="A227">
        <v>1969</v>
      </c>
      <c r="B227" t="s">
        <v>991</v>
      </c>
      <c r="C227" t="s">
        <v>992</v>
      </c>
      <c r="D227" t="str">
        <f t="shared" si="9"/>
        <v>Morrison Caiden</v>
      </c>
      <c r="E227" t="s">
        <v>1248</v>
      </c>
      <c r="F227" s="1">
        <v>45374</v>
      </c>
      <c r="G227" s="32" t="str">
        <f t="shared" si="10"/>
        <v>Mar</v>
      </c>
      <c r="H227">
        <v>2</v>
      </c>
      <c r="I227" t="str">
        <f t="shared" si="11"/>
        <v>Silver</v>
      </c>
      <c r="J227" t="s">
        <v>14</v>
      </c>
      <c r="K227" s="17">
        <v>62106</v>
      </c>
      <c r="L227" s="17" t="s">
        <v>1214</v>
      </c>
      <c r="M227" t="s">
        <v>2252</v>
      </c>
      <c r="N227" t="s">
        <v>1227</v>
      </c>
      <c r="O227">
        <v>6160</v>
      </c>
      <c r="P227">
        <v>300</v>
      </c>
      <c r="Q227">
        <v>600</v>
      </c>
      <c r="R227" t="s">
        <v>1986</v>
      </c>
    </row>
    <row r="228" spans="1:18" x14ac:dyDescent="0.25">
      <c r="A228">
        <v>1631</v>
      </c>
      <c r="B228" t="s">
        <v>583</v>
      </c>
      <c r="C228" t="s">
        <v>176</v>
      </c>
      <c r="D228" t="str">
        <f t="shared" si="9"/>
        <v>Elliott Cooper</v>
      </c>
      <c r="E228" t="s">
        <v>1248</v>
      </c>
      <c r="F228" s="1">
        <v>45375</v>
      </c>
      <c r="G228" s="32" t="str">
        <f t="shared" si="10"/>
        <v>Mar</v>
      </c>
      <c r="H228">
        <v>3</v>
      </c>
      <c r="I228" t="str">
        <f t="shared" si="11"/>
        <v>Gold</v>
      </c>
      <c r="J228" t="s">
        <v>14</v>
      </c>
      <c r="K228" s="17">
        <v>43628</v>
      </c>
      <c r="L228" s="17" t="s">
        <v>1228</v>
      </c>
      <c r="M228" t="s">
        <v>2252</v>
      </c>
      <c r="N228" t="s">
        <v>1230</v>
      </c>
      <c r="O228">
        <v>7000</v>
      </c>
      <c r="P228">
        <v>300</v>
      </c>
      <c r="Q228">
        <v>900</v>
      </c>
      <c r="R228" t="s">
        <v>1648</v>
      </c>
    </row>
    <row r="229" spans="1:18" x14ac:dyDescent="0.25">
      <c r="A229">
        <v>1685</v>
      </c>
      <c r="B229" t="s">
        <v>705</v>
      </c>
      <c r="C229" t="s">
        <v>162</v>
      </c>
      <c r="D229" t="str">
        <f t="shared" si="9"/>
        <v>Greene Chance</v>
      </c>
      <c r="E229" t="s">
        <v>1205</v>
      </c>
      <c r="F229" s="1">
        <v>45375</v>
      </c>
      <c r="G229" s="32" t="str">
        <f t="shared" si="10"/>
        <v>Mar</v>
      </c>
      <c r="H229">
        <v>1</v>
      </c>
      <c r="I229" t="str">
        <f t="shared" si="11"/>
        <v>Bronze</v>
      </c>
      <c r="J229" t="s">
        <v>14</v>
      </c>
      <c r="K229" s="17">
        <v>30446</v>
      </c>
      <c r="L229" s="17" t="s">
        <v>1233</v>
      </c>
      <c r="M229" t="s">
        <v>2254</v>
      </c>
      <c r="N229" t="s">
        <v>1234</v>
      </c>
      <c r="O229">
        <v>800</v>
      </c>
      <c r="P229">
        <v>250</v>
      </c>
      <c r="Q229">
        <v>250</v>
      </c>
      <c r="R229" t="s">
        <v>1702</v>
      </c>
    </row>
    <row r="230" spans="1:18" x14ac:dyDescent="0.25">
      <c r="A230">
        <v>1715</v>
      </c>
      <c r="B230" t="s">
        <v>741</v>
      </c>
      <c r="C230" t="s">
        <v>742</v>
      </c>
      <c r="D230" t="str">
        <f t="shared" si="9"/>
        <v>Ramsey Hank</v>
      </c>
      <c r="E230" t="s">
        <v>1248</v>
      </c>
      <c r="F230" s="1">
        <v>45375</v>
      </c>
      <c r="G230" s="32" t="str">
        <f t="shared" si="10"/>
        <v>Mar</v>
      </c>
      <c r="H230">
        <v>3</v>
      </c>
      <c r="I230" t="str">
        <f t="shared" si="11"/>
        <v>Gold</v>
      </c>
      <c r="J230" t="s">
        <v>1242</v>
      </c>
      <c r="K230" s="17">
        <v>8939</v>
      </c>
      <c r="L230" s="17" t="s">
        <v>1214</v>
      </c>
      <c r="M230" t="s">
        <v>2252</v>
      </c>
      <c r="N230" t="s">
        <v>1227</v>
      </c>
      <c r="O230">
        <v>6160</v>
      </c>
      <c r="P230">
        <v>300</v>
      </c>
      <c r="Q230">
        <v>900</v>
      </c>
      <c r="R230" t="s">
        <v>1732</v>
      </c>
    </row>
    <row r="231" spans="1:18" x14ac:dyDescent="0.25">
      <c r="A231">
        <v>1912</v>
      </c>
      <c r="B231" t="s">
        <v>449</v>
      </c>
      <c r="C231" t="s">
        <v>921</v>
      </c>
      <c r="D231" t="str">
        <f t="shared" si="9"/>
        <v>Frazier Sutton</v>
      </c>
      <c r="E231" t="s">
        <v>1249</v>
      </c>
      <c r="F231" s="1">
        <v>45376</v>
      </c>
      <c r="G231" s="32" t="str">
        <f t="shared" si="10"/>
        <v>Mar</v>
      </c>
      <c r="H231">
        <v>2</v>
      </c>
      <c r="I231" t="str">
        <f t="shared" si="11"/>
        <v>Silver</v>
      </c>
      <c r="J231" t="s">
        <v>18</v>
      </c>
      <c r="K231" s="17">
        <v>99945</v>
      </c>
      <c r="L231" s="17" t="s">
        <v>1233</v>
      </c>
      <c r="M231" t="s">
        <v>2255</v>
      </c>
      <c r="N231" t="s">
        <v>1239</v>
      </c>
      <c r="O231">
        <v>870</v>
      </c>
      <c r="P231">
        <v>1200</v>
      </c>
      <c r="Q231">
        <v>2400</v>
      </c>
      <c r="R231" t="s">
        <v>1929</v>
      </c>
    </row>
    <row r="232" spans="1:18" x14ac:dyDescent="0.25">
      <c r="A232">
        <v>1974</v>
      </c>
      <c r="B232" t="s">
        <v>380</v>
      </c>
      <c r="C232" t="s">
        <v>354</v>
      </c>
      <c r="D232" t="str">
        <f t="shared" si="9"/>
        <v>Raymond Declan</v>
      </c>
      <c r="E232" t="s">
        <v>1249</v>
      </c>
      <c r="F232" s="1">
        <v>45376</v>
      </c>
      <c r="G232" s="32" t="str">
        <f t="shared" si="10"/>
        <v>Mar</v>
      </c>
      <c r="H232">
        <v>3</v>
      </c>
      <c r="I232" t="str">
        <f t="shared" si="11"/>
        <v>Gold</v>
      </c>
      <c r="J232" t="s">
        <v>14</v>
      </c>
      <c r="K232" s="17">
        <v>53822</v>
      </c>
      <c r="L232" s="17" t="s">
        <v>1233</v>
      </c>
      <c r="M232" t="s">
        <v>2256</v>
      </c>
      <c r="N232" t="s">
        <v>1239</v>
      </c>
      <c r="O232">
        <v>870</v>
      </c>
      <c r="P232">
        <v>1200</v>
      </c>
      <c r="Q232">
        <v>3600</v>
      </c>
      <c r="R232" t="s">
        <v>1991</v>
      </c>
    </row>
    <row r="233" spans="1:18" x14ac:dyDescent="0.25">
      <c r="A233">
        <v>2047</v>
      </c>
      <c r="B233" t="s">
        <v>1052</v>
      </c>
      <c r="C233" t="s">
        <v>759</v>
      </c>
      <c r="D233" t="str">
        <f t="shared" si="9"/>
        <v>Hutchinson Renata</v>
      </c>
      <c r="E233" t="s">
        <v>1208</v>
      </c>
      <c r="F233" s="1">
        <v>45376</v>
      </c>
      <c r="G233" s="32" t="str">
        <f t="shared" si="10"/>
        <v>Mar</v>
      </c>
      <c r="H233">
        <v>1</v>
      </c>
      <c r="I233" t="str">
        <f t="shared" si="11"/>
        <v>Bronze</v>
      </c>
      <c r="J233" t="s">
        <v>1242</v>
      </c>
      <c r="K233" s="17">
        <v>24833</v>
      </c>
      <c r="L233" s="17" t="s">
        <v>1218</v>
      </c>
      <c r="M233" t="s">
        <v>2253</v>
      </c>
      <c r="N233" t="s">
        <v>1219</v>
      </c>
      <c r="O233">
        <v>2300</v>
      </c>
      <c r="P233">
        <v>800</v>
      </c>
      <c r="Q233">
        <v>800</v>
      </c>
      <c r="R233" t="s">
        <v>2064</v>
      </c>
    </row>
    <row r="234" spans="1:18" x14ac:dyDescent="0.25">
      <c r="A234">
        <v>2184</v>
      </c>
      <c r="B234" t="s">
        <v>198</v>
      </c>
      <c r="C234" t="s">
        <v>114</v>
      </c>
      <c r="D234" t="str">
        <f t="shared" si="9"/>
        <v>Luna Wyatt</v>
      </c>
      <c r="E234" t="s">
        <v>1249</v>
      </c>
      <c r="F234" s="1">
        <v>45376</v>
      </c>
      <c r="G234" s="32" t="str">
        <f t="shared" si="10"/>
        <v>Mar</v>
      </c>
      <c r="H234">
        <v>1</v>
      </c>
      <c r="I234" t="str">
        <f t="shared" si="11"/>
        <v>Bronze</v>
      </c>
      <c r="J234" t="s">
        <v>1242</v>
      </c>
      <c r="K234" s="17">
        <v>82748</v>
      </c>
      <c r="L234" s="17" t="s">
        <v>1222</v>
      </c>
      <c r="M234" t="s">
        <v>2252</v>
      </c>
      <c r="N234" t="s">
        <v>1223</v>
      </c>
      <c r="O234">
        <v>4217</v>
      </c>
      <c r="P234">
        <v>1200</v>
      </c>
      <c r="Q234">
        <v>1200</v>
      </c>
      <c r="R234" t="s">
        <v>2202</v>
      </c>
    </row>
    <row r="235" spans="1:18" x14ac:dyDescent="0.25">
      <c r="A235">
        <v>1608</v>
      </c>
      <c r="B235" t="s">
        <v>540</v>
      </c>
      <c r="C235" t="s">
        <v>368</v>
      </c>
      <c r="D235" t="str">
        <f t="shared" si="9"/>
        <v>Torres Jensen</v>
      </c>
      <c r="E235" t="s">
        <v>1205</v>
      </c>
      <c r="F235" s="1">
        <v>45377</v>
      </c>
      <c r="G235" s="32" t="str">
        <f t="shared" si="10"/>
        <v>Mar</v>
      </c>
      <c r="H235">
        <v>3</v>
      </c>
      <c r="I235" t="str">
        <f t="shared" si="11"/>
        <v>Gold</v>
      </c>
      <c r="J235" t="s">
        <v>1242</v>
      </c>
      <c r="K235" s="17">
        <v>23847</v>
      </c>
      <c r="L235" s="17" t="s">
        <v>1214</v>
      </c>
      <c r="M235" t="s">
        <v>2254</v>
      </c>
      <c r="N235" t="s">
        <v>1236</v>
      </c>
      <c r="O235">
        <v>6000</v>
      </c>
      <c r="P235">
        <v>250</v>
      </c>
      <c r="Q235">
        <v>750</v>
      </c>
      <c r="R235" t="s">
        <v>1624</v>
      </c>
    </row>
    <row r="236" spans="1:18" x14ac:dyDescent="0.25">
      <c r="A236">
        <v>1326</v>
      </c>
      <c r="B236" t="s">
        <v>198</v>
      </c>
      <c r="C236" t="s">
        <v>199</v>
      </c>
      <c r="D236" t="str">
        <f t="shared" si="9"/>
        <v>Luna Denver</v>
      </c>
      <c r="E236" t="s">
        <v>1205</v>
      </c>
      <c r="F236" s="1">
        <v>45378</v>
      </c>
      <c r="G236" s="32" t="str">
        <f t="shared" si="10"/>
        <v>Mar</v>
      </c>
      <c r="H236">
        <v>3</v>
      </c>
      <c r="I236" t="str">
        <f t="shared" si="11"/>
        <v>Gold</v>
      </c>
      <c r="J236" t="s">
        <v>14</v>
      </c>
      <c r="K236" s="17">
        <v>71474</v>
      </c>
      <c r="L236" s="17" t="s">
        <v>1228</v>
      </c>
      <c r="M236" t="s">
        <v>2256</v>
      </c>
      <c r="N236" t="s">
        <v>1230</v>
      </c>
      <c r="O236">
        <v>7000</v>
      </c>
      <c r="P236">
        <v>250</v>
      </c>
      <c r="Q236">
        <v>750</v>
      </c>
      <c r="R236" t="s">
        <v>1342</v>
      </c>
    </row>
    <row r="237" spans="1:18" x14ac:dyDescent="0.25">
      <c r="A237">
        <v>1615</v>
      </c>
      <c r="B237" t="s">
        <v>617</v>
      </c>
      <c r="C237" t="s">
        <v>618</v>
      </c>
      <c r="D237" t="str">
        <f t="shared" si="9"/>
        <v>Peterson Armani</v>
      </c>
      <c r="E237" t="s">
        <v>1208</v>
      </c>
      <c r="F237" s="1">
        <v>45378</v>
      </c>
      <c r="G237" s="32" t="str">
        <f t="shared" si="10"/>
        <v>Mar</v>
      </c>
      <c r="H237">
        <v>1</v>
      </c>
      <c r="I237" t="str">
        <f t="shared" si="11"/>
        <v>Bronze</v>
      </c>
      <c r="J237" t="s">
        <v>1242</v>
      </c>
      <c r="K237" s="17">
        <v>43867</v>
      </c>
      <c r="L237" s="17" t="s">
        <v>1228</v>
      </c>
      <c r="M237" t="s">
        <v>2252</v>
      </c>
      <c r="N237" t="s">
        <v>1240</v>
      </c>
      <c r="O237">
        <v>7310</v>
      </c>
      <c r="P237">
        <v>800</v>
      </c>
      <c r="Q237">
        <v>800</v>
      </c>
      <c r="R237" t="s">
        <v>1632</v>
      </c>
    </row>
    <row r="238" spans="1:18" x14ac:dyDescent="0.25">
      <c r="A238">
        <v>1706</v>
      </c>
      <c r="B238" t="s">
        <v>732</v>
      </c>
      <c r="C238" t="s">
        <v>733</v>
      </c>
      <c r="D238" t="str">
        <f t="shared" si="9"/>
        <v>Mercado Leonel</v>
      </c>
      <c r="E238" t="s">
        <v>1248</v>
      </c>
      <c r="F238" s="1">
        <v>45378</v>
      </c>
      <c r="G238" s="32" t="str">
        <f t="shared" si="10"/>
        <v>Mar</v>
      </c>
      <c r="H238">
        <v>3</v>
      </c>
      <c r="I238" t="str">
        <f t="shared" si="11"/>
        <v>Gold</v>
      </c>
      <c r="J238" t="s">
        <v>1242</v>
      </c>
      <c r="K238" s="17">
        <v>71402</v>
      </c>
      <c r="L238" s="17" t="s">
        <v>1216</v>
      </c>
      <c r="M238" t="s">
        <v>2253</v>
      </c>
      <c r="N238" t="s">
        <v>1217</v>
      </c>
      <c r="O238">
        <v>2600</v>
      </c>
      <c r="P238">
        <v>300</v>
      </c>
      <c r="Q238">
        <v>900</v>
      </c>
      <c r="R238" t="s">
        <v>1723</v>
      </c>
    </row>
    <row r="239" spans="1:18" x14ac:dyDescent="0.25">
      <c r="A239">
        <v>1899</v>
      </c>
      <c r="B239" t="s">
        <v>921</v>
      </c>
      <c r="C239" t="s">
        <v>428</v>
      </c>
      <c r="D239" t="str">
        <f t="shared" si="9"/>
        <v>Sutton Cataleya</v>
      </c>
      <c r="E239" t="s">
        <v>1205</v>
      </c>
      <c r="F239" s="1">
        <v>45378</v>
      </c>
      <c r="G239" s="32" t="str">
        <f t="shared" si="10"/>
        <v>Mar</v>
      </c>
      <c r="H239">
        <v>1</v>
      </c>
      <c r="I239" t="str">
        <f t="shared" si="11"/>
        <v>Bronze</v>
      </c>
      <c r="J239" t="s">
        <v>14</v>
      </c>
      <c r="K239" s="17">
        <v>23272</v>
      </c>
      <c r="L239" s="17" t="s">
        <v>1214</v>
      </c>
      <c r="M239" t="s">
        <v>2256</v>
      </c>
      <c r="N239" t="s">
        <v>1215</v>
      </c>
      <c r="O239">
        <v>6725</v>
      </c>
      <c r="P239">
        <v>250</v>
      </c>
      <c r="Q239">
        <v>250</v>
      </c>
      <c r="R239" t="s">
        <v>1916</v>
      </c>
    </row>
    <row r="240" spans="1:18" x14ac:dyDescent="0.25">
      <c r="A240">
        <v>2105</v>
      </c>
      <c r="B240" t="s">
        <v>543</v>
      </c>
      <c r="C240" t="s">
        <v>1102</v>
      </c>
      <c r="D240" t="str">
        <f t="shared" si="9"/>
        <v>Parra Remington</v>
      </c>
      <c r="E240" t="s">
        <v>1249</v>
      </c>
      <c r="F240" s="1">
        <v>45378</v>
      </c>
      <c r="G240" s="32" t="str">
        <f t="shared" si="10"/>
        <v>Mar</v>
      </c>
      <c r="H240">
        <v>3</v>
      </c>
      <c r="I240" t="str">
        <f t="shared" si="11"/>
        <v>Gold</v>
      </c>
      <c r="J240" t="s">
        <v>1243</v>
      </c>
      <c r="K240" s="17">
        <v>1772</v>
      </c>
      <c r="L240" s="17" t="s">
        <v>1228</v>
      </c>
      <c r="M240" t="s">
        <v>2254</v>
      </c>
      <c r="N240" t="s">
        <v>1240</v>
      </c>
      <c r="O240">
        <v>7310</v>
      </c>
      <c r="P240">
        <v>1200</v>
      </c>
      <c r="Q240">
        <v>3600</v>
      </c>
      <c r="R240" t="s">
        <v>2123</v>
      </c>
    </row>
    <row r="241" spans="1:18" x14ac:dyDescent="0.25">
      <c r="A241">
        <v>2109</v>
      </c>
      <c r="B241" t="s">
        <v>329</v>
      </c>
      <c r="C241" t="s">
        <v>1107</v>
      </c>
      <c r="D241" t="str">
        <f t="shared" si="9"/>
        <v>Martinez Journee</v>
      </c>
      <c r="E241" t="s">
        <v>1203</v>
      </c>
      <c r="F241" s="1">
        <v>45378</v>
      </c>
      <c r="G241" s="32" t="str">
        <f t="shared" si="10"/>
        <v>Mar</v>
      </c>
      <c r="H241">
        <v>3</v>
      </c>
      <c r="I241" t="str">
        <f t="shared" si="11"/>
        <v>Gold</v>
      </c>
      <c r="J241" t="s">
        <v>14</v>
      </c>
      <c r="K241" s="17">
        <v>95129</v>
      </c>
      <c r="L241" s="17" t="s">
        <v>1216</v>
      </c>
      <c r="M241" t="s">
        <v>2252</v>
      </c>
      <c r="N241" t="s">
        <v>1217</v>
      </c>
      <c r="O241">
        <v>2600</v>
      </c>
      <c r="P241">
        <v>600</v>
      </c>
      <c r="Q241">
        <v>1800</v>
      </c>
      <c r="R241" t="s">
        <v>2127</v>
      </c>
    </row>
    <row r="242" spans="1:18" x14ac:dyDescent="0.25">
      <c r="A242">
        <v>1580</v>
      </c>
      <c r="B242" t="s">
        <v>208</v>
      </c>
      <c r="C242" t="s">
        <v>579</v>
      </c>
      <c r="D242" t="str">
        <f t="shared" si="9"/>
        <v>Cardenas Ayla</v>
      </c>
      <c r="E242" t="s">
        <v>1248</v>
      </c>
      <c r="F242" s="1">
        <v>45379</v>
      </c>
      <c r="G242" s="32" t="str">
        <f t="shared" si="10"/>
        <v>Mar</v>
      </c>
      <c r="H242">
        <v>3</v>
      </c>
      <c r="I242" t="str">
        <f t="shared" si="11"/>
        <v>Gold</v>
      </c>
      <c r="J242" t="s">
        <v>14</v>
      </c>
      <c r="K242" s="17">
        <v>46981</v>
      </c>
      <c r="L242" s="17" t="s">
        <v>1233</v>
      </c>
      <c r="M242" t="s">
        <v>2253</v>
      </c>
      <c r="N242" t="s">
        <v>1239</v>
      </c>
      <c r="O242">
        <v>870</v>
      </c>
      <c r="P242">
        <v>300</v>
      </c>
      <c r="Q242">
        <v>900</v>
      </c>
      <c r="R242" t="s">
        <v>1596</v>
      </c>
    </row>
    <row r="243" spans="1:18" x14ac:dyDescent="0.25">
      <c r="A243">
        <v>1656</v>
      </c>
      <c r="B243" t="s">
        <v>426</v>
      </c>
      <c r="C243" t="s">
        <v>280</v>
      </c>
      <c r="D243" t="str">
        <f t="shared" si="9"/>
        <v>Santiago Charli</v>
      </c>
      <c r="E243" t="s">
        <v>1207</v>
      </c>
      <c r="F243" s="1">
        <v>45379</v>
      </c>
      <c r="G243" s="32" t="str">
        <f t="shared" si="10"/>
        <v>Mar</v>
      </c>
      <c r="H243">
        <v>3</v>
      </c>
      <c r="I243" t="str">
        <f t="shared" si="11"/>
        <v>Gold</v>
      </c>
      <c r="J243" t="s">
        <v>1242</v>
      </c>
      <c r="K243" s="17">
        <v>67310</v>
      </c>
      <c r="L243" s="17" t="s">
        <v>1222</v>
      </c>
      <c r="M243" t="s">
        <v>2252</v>
      </c>
      <c r="N243" t="s">
        <v>1231</v>
      </c>
      <c r="O243">
        <v>4870</v>
      </c>
      <c r="P243">
        <v>250</v>
      </c>
      <c r="Q243">
        <v>750</v>
      </c>
      <c r="R243" t="s">
        <v>1673</v>
      </c>
    </row>
    <row r="244" spans="1:18" x14ac:dyDescent="0.25">
      <c r="A244">
        <v>1669</v>
      </c>
      <c r="B244" t="s">
        <v>284</v>
      </c>
      <c r="C244" t="s">
        <v>159</v>
      </c>
      <c r="D244" t="str">
        <f t="shared" si="9"/>
        <v>Walton Rosie</v>
      </c>
      <c r="E244" t="s">
        <v>1207</v>
      </c>
      <c r="F244" s="1">
        <v>45379</v>
      </c>
      <c r="G244" s="32" t="str">
        <f t="shared" si="10"/>
        <v>Mar</v>
      </c>
      <c r="H244">
        <v>1</v>
      </c>
      <c r="I244" t="str">
        <f t="shared" si="11"/>
        <v>Bronze</v>
      </c>
      <c r="J244" t="s">
        <v>1242</v>
      </c>
      <c r="K244" s="17">
        <v>75067</v>
      </c>
      <c r="L244" s="17" t="s">
        <v>1222</v>
      </c>
      <c r="M244" t="s">
        <v>2252</v>
      </c>
      <c r="N244" t="s">
        <v>1237</v>
      </c>
      <c r="O244">
        <v>4000</v>
      </c>
      <c r="P244">
        <v>250</v>
      </c>
      <c r="Q244">
        <v>250</v>
      </c>
      <c r="R244" t="s">
        <v>1686</v>
      </c>
    </row>
    <row r="245" spans="1:18" x14ac:dyDescent="0.25">
      <c r="A245">
        <v>1745</v>
      </c>
      <c r="B245" t="s">
        <v>772</v>
      </c>
      <c r="C245" t="s">
        <v>773</v>
      </c>
      <c r="D245" t="str">
        <f t="shared" si="9"/>
        <v>Zuniga Edwin</v>
      </c>
      <c r="E245" t="s">
        <v>1248</v>
      </c>
      <c r="F245" s="1">
        <v>45379</v>
      </c>
      <c r="G245" s="32" t="str">
        <f t="shared" si="10"/>
        <v>Mar</v>
      </c>
      <c r="H245">
        <v>3</v>
      </c>
      <c r="I245" t="str">
        <f t="shared" si="11"/>
        <v>Gold</v>
      </c>
      <c r="J245" t="s">
        <v>1242</v>
      </c>
      <c r="K245" s="17">
        <v>66801</v>
      </c>
      <c r="L245" s="17" t="s">
        <v>1214</v>
      </c>
      <c r="M245" t="s">
        <v>2252</v>
      </c>
      <c r="N245" t="s">
        <v>1236</v>
      </c>
      <c r="O245">
        <v>6000</v>
      </c>
      <c r="P245">
        <v>300</v>
      </c>
      <c r="Q245">
        <v>900</v>
      </c>
      <c r="R245" t="s">
        <v>1762</v>
      </c>
    </row>
    <row r="246" spans="1:18" x14ac:dyDescent="0.25">
      <c r="A246">
        <v>1297</v>
      </c>
      <c r="B246" t="s">
        <v>147</v>
      </c>
      <c r="C246" t="s">
        <v>148</v>
      </c>
      <c r="D246" t="str">
        <f t="shared" si="9"/>
        <v>Harrington Lillian</v>
      </c>
      <c r="E246" t="s">
        <v>1207</v>
      </c>
      <c r="F246" s="1">
        <v>45382</v>
      </c>
      <c r="G246" s="32" t="str">
        <f t="shared" si="10"/>
        <v>Mar</v>
      </c>
      <c r="H246">
        <v>3</v>
      </c>
      <c r="I246" t="str">
        <f t="shared" si="11"/>
        <v>Gold</v>
      </c>
      <c r="J246" t="s">
        <v>14</v>
      </c>
      <c r="K246" s="17">
        <v>83494</v>
      </c>
      <c r="L246" s="17" t="s">
        <v>1233</v>
      </c>
      <c r="M246" t="s">
        <v>2252</v>
      </c>
      <c r="N246" t="s">
        <v>1234</v>
      </c>
      <c r="O246">
        <v>800</v>
      </c>
      <c r="P246">
        <v>250</v>
      </c>
      <c r="Q246">
        <v>750</v>
      </c>
      <c r="R246" t="s">
        <v>1313</v>
      </c>
    </row>
    <row r="247" spans="1:18" x14ac:dyDescent="0.25">
      <c r="A247">
        <v>1748</v>
      </c>
      <c r="B247" t="s">
        <v>507</v>
      </c>
      <c r="C247" t="s">
        <v>204</v>
      </c>
      <c r="D247" t="str">
        <f t="shared" si="9"/>
        <v>Donovan Austin</v>
      </c>
      <c r="E247" t="s">
        <v>1205</v>
      </c>
      <c r="F247" s="1">
        <v>45382</v>
      </c>
      <c r="G247" s="32" t="str">
        <f t="shared" si="10"/>
        <v>Mar</v>
      </c>
      <c r="H247">
        <v>2</v>
      </c>
      <c r="I247" t="str">
        <f t="shared" si="11"/>
        <v>Silver</v>
      </c>
      <c r="J247" t="s">
        <v>1243</v>
      </c>
      <c r="K247" s="17">
        <v>40623</v>
      </c>
      <c r="L247" s="17" t="s">
        <v>1224</v>
      </c>
      <c r="M247" t="s">
        <v>2255</v>
      </c>
      <c r="N247" t="s">
        <v>1238</v>
      </c>
      <c r="O247">
        <v>5600</v>
      </c>
      <c r="P247">
        <v>250</v>
      </c>
      <c r="Q247">
        <v>500</v>
      </c>
      <c r="R247" t="s">
        <v>1765</v>
      </c>
    </row>
    <row r="248" spans="1:18" x14ac:dyDescent="0.25">
      <c r="A248">
        <v>1917</v>
      </c>
      <c r="B248" t="s">
        <v>149</v>
      </c>
      <c r="C248" t="s">
        <v>944</v>
      </c>
      <c r="D248" t="str">
        <f t="shared" si="9"/>
        <v>Fleming Jacob</v>
      </c>
      <c r="E248" t="s">
        <v>1249</v>
      </c>
      <c r="F248" s="1">
        <v>45383</v>
      </c>
      <c r="G248" s="32" t="str">
        <f t="shared" si="10"/>
        <v>Apr</v>
      </c>
      <c r="H248">
        <v>2</v>
      </c>
      <c r="I248" t="str">
        <f t="shared" si="11"/>
        <v>Silver</v>
      </c>
      <c r="J248" t="s">
        <v>1242</v>
      </c>
      <c r="K248" s="17">
        <v>61170</v>
      </c>
      <c r="L248" s="17" t="s">
        <v>1233</v>
      </c>
      <c r="M248" t="s">
        <v>2253</v>
      </c>
      <c r="N248" t="s">
        <v>1239</v>
      </c>
      <c r="O248">
        <v>870</v>
      </c>
      <c r="P248">
        <v>1200</v>
      </c>
      <c r="Q248">
        <v>2400</v>
      </c>
      <c r="R248" t="s">
        <v>1934</v>
      </c>
    </row>
    <row r="249" spans="1:18" x14ac:dyDescent="0.25">
      <c r="A249">
        <v>1920</v>
      </c>
      <c r="B249" t="s">
        <v>949</v>
      </c>
      <c r="C249" t="s">
        <v>950</v>
      </c>
      <c r="D249" t="str">
        <f t="shared" si="9"/>
        <v>Rhodes Evelyn</v>
      </c>
      <c r="E249" t="s">
        <v>1208</v>
      </c>
      <c r="F249" s="1">
        <v>45383</v>
      </c>
      <c r="G249" s="32" t="str">
        <f t="shared" si="10"/>
        <v>Apr</v>
      </c>
      <c r="H249">
        <v>1</v>
      </c>
      <c r="I249" t="str">
        <f t="shared" si="11"/>
        <v>Bronze</v>
      </c>
      <c r="J249" t="s">
        <v>1242</v>
      </c>
      <c r="K249" s="17">
        <v>63539</v>
      </c>
      <c r="L249" s="17" t="s">
        <v>1233</v>
      </c>
      <c r="M249" t="s">
        <v>2252</v>
      </c>
      <c r="N249" t="s">
        <v>1239</v>
      </c>
      <c r="O249">
        <v>870</v>
      </c>
      <c r="P249">
        <v>800</v>
      </c>
      <c r="Q249">
        <v>800</v>
      </c>
      <c r="R249" t="s">
        <v>1937</v>
      </c>
    </row>
    <row r="250" spans="1:18" x14ac:dyDescent="0.25">
      <c r="A250">
        <v>1805</v>
      </c>
      <c r="B250" t="s">
        <v>675</v>
      </c>
      <c r="C250" t="s">
        <v>90</v>
      </c>
      <c r="D250" t="str">
        <f t="shared" si="9"/>
        <v>Maynard Shiloh</v>
      </c>
      <c r="E250" t="s">
        <v>1208</v>
      </c>
      <c r="F250" s="1">
        <v>45384</v>
      </c>
      <c r="G250" s="32" t="str">
        <f t="shared" si="10"/>
        <v>Apr</v>
      </c>
      <c r="H250">
        <v>3</v>
      </c>
      <c r="I250" t="str">
        <f t="shared" si="11"/>
        <v>Gold</v>
      </c>
      <c r="J250" t="s">
        <v>18</v>
      </c>
      <c r="K250" s="17">
        <v>36870</v>
      </c>
      <c r="L250" s="17" t="s">
        <v>1228</v>
      </c>
      <c r="M250" t="s">
        <v>2253</v>
      </c>
      <c r="N250" t="s">
        <v>1240</v>
      </c>
      <c r="O250">
        <v>7310</v>
      </c>
      <c r="P250">
        <v>800</v>
      </c>
      <c r="Q250">
        <v>2400</v>
      </c>
      <c r="R250" t="s">
        <v>1822</v>
      </c>
    </row>
    <row r="251" spans="1:18" x14ac:dyDescent="0.25">
      <c r="A251">
        <v>1843</v>
      </c>
      <c r="B251" t="s">
        <v>871</v>
      </c>
      <c r="C251" t="s">
        <v>90</v>
      </c>
      <c r="D251" t="str">
        <f t="shared" si="9"/>
        <v>Huffman Shiloh</v>
      </c>
      <c r="E251" t="s">
        <v>1203</v>
      </c>
      <c r="F251" s="1">
        <v>45384</v>
      </c>
      <c r="G251" s="32" t="str">
        <f t="shared" si="10"/>
        <v>Apr</v>
      </c>
      <c r="H251">
        <v>1</v>
      </c>
      <c r="I251" t="str">
        <f t="shared" si="11"/>
        <v>Bronze</v>
      </c>
      <c r="J251" t="s">
        <v>1242</v>
      </c>
      <c r="K251" s="17">
        <v>90306</v>
      </c>
      <c r="L251" s="17" t="s">
        <v>1214</v>
      </c>
      <c r="M251" t="s">
        <v>2253</v>
      </c>
      <c r="N251" t="s">
        <v>1215</v>
      </c>
      <c r="O251">
        <v>6725</v>
      </c>
      <c r="P251">
        <v>600</v>
      </c>
      <c r="Q251">
        <v>600</v>
      </c>
      <c r="R251" t="s">
        <v>1860</v>
      </c>
    </row>
    <row r="252" spans="1:18" x14ac:dyDescent="0.25">
      <c r="A252">
        <v>1404</v>
      </c>
      <c r="B252" t="s">
        <v>326</v>
      </c>
      <c r="C252" t="s">
        <v>157</v>
      </c>
      <c r="D252" t="str">
        <f t="shared" si="9"/>
        <v>Christian Brantley</v>
      </c>
      <c r="E252" t="s">
        <v>1207</v>
      </c>
      <c r="F252" s="1">
        <v>45385</v>
      </c>
      <c r="G252" s="32" t="str">
        <f t="shared" si="10"/>
        <v>Apr</v>
      </c>
      <c r="H252">
        <v>3</v>
      </c>
      <c r="I252" t="str">
        <f t="shared" si="11"/>
        <v>Gold</v>
      </c>
      <c r="J252" t="s">
        <v>1243</v>
      </c>
      <c r="K252" s="17">
        <v>60581</v>
      </c>
      <c r="L252" s="17" t="s">
        <v>1220</v>
      </c>
      <c r="M252" t="s">
        <v>2254</v>
      </c>
      <c r="N252" t="s">
        <v>1226</v>
      </c>
      <c r="O252">
        <v>3220</v>
      </c>
      <c r="P252">
        <v>250</v>
      </c>
      <c r="Q252">
        <v>750</v>
      </c>
      <c r="R252" t="s">
        <v>1420</v>
      </c>
    </row>
    <row r="253" spans="1:18" x14ac:dyDescent="0.25">
      <c r="A253">
        <v>1573</v>
      </c>
      <c r="B253" t="s">
        <v>173</v>
      </c>
      <c r="C253" t="s">
        <v>421</v>
      </c>
      <c r="D253" t="str">
        <f t="shared" si="9"/>
        <v>Pham Mackenzie</v>
      </c>
      <c r="E253" t="s">
        <v>1205</v>
      </c>
      <c r="F253" s="1">
        <v>45385</v>
      </c>
      <c r="G253" s="32" t="str">
        <f t="shared" si="10"/>
        <v>Apr</v>
      </c>
      <c r="H253">
        <v>1</v>
      </c>
      <c r="I253" t="str">
        <f t="shared" si="11"/>
        <v>Bronze</v>
      </c>
      <c r="J253" t="s">
        <v>14</v>
      </c>
      <c r="K253" s="17">
        <v>16532</v>
      </c>
      <c r="L253" s="17" t="s">
        <v>1222</v>
      </c>
      <c r="M253" t="s">
        <v>2256</v>
      </c>
      <c r="N253" t="s">
        <v>1223</v>
      </c>
      <c r="O253">
        <v>4217</v>
      </c>
      <c r="P253">
        <v>250</v>
      </c>
      <c r="Q253">
        <v>250</v>
      </c>
      <c r="R253" t="s">
        <v>1589</v>
      </c>
    </row>
    <row r="254" spans="1:18" x14ac:dyDescent="0.25">
      <c r="A254">
        <v>1764</v>
      </c>
      <c r="B254" t="s">
        <v>636</v>
      </c>
      <c r="C254" t="s">
        <v>686</v>
      </c>
      <c r="D254" t="str">
        <f t="shared" si="9"/>
        <v>Combs Alison</v>
      </c>
      <c r="E254" t="s">
        <v>1248</v>
      </c>
      <c r="F254" s="1">
        <v>45385</v>
      </c>
      <c r="G254" s="32" t="str">
        <f t="shared" si="10"/>
        <v>Apr</v>
      </c>
      <c r="H254">
        <v>1</v>
      </c>
      <c r="I254" t="str">
        <f t="shared" si="11"/>
        <v>Bronze</v>
      </c>
      <c r="J254" t="s">
        <v>1242</v>
      </c>
      <c r="K254" s="17">
        <v>76267</v>
      </c>
      <c r="L254" s="17" t="s">
        <v>1222</v>
      </c>
      <c r="M254" t="s">
        <v>2252</v>
      </c>
      <c r="N254" t="s">
        <v>1237</v>
      </c>
      <c r="O254">
        <v>4000</v>
      </c>
      <c r="P254">
        <v>300</v>
      </c>
      <c r="Q254">
        <v>300</v>
      </c>
      <c r="R254" t="s">
        <v>1781</v>
      </c>
    </row>
    <row r="255" spans="1:18" x14ac:dyDescent="0.25">
      <c r="A255">
        <v>1410</v>
      </c>
      <c r="B255" t="s">
        <v>334</v>
      </c>
      <c r="C255" t="s">
        <v>335</v>
      </c>
      <c r="D255" t="str">
        <f t="shared" si="9"/>
        <v>Hoffman Melissa</v>
      </c>
      <c r="E255" t="s">
        <v>1208</v>
      </c>
      <c r="F255" s="1">
        <v>45386</v>
      </c>
      <c r="G255" s="32" t="str">
        <f t="shared" si="10"/>
        <v>Apr</v>
      </c>
      <c r="H255">
        <v>3</v>
      </c>
      <c r="I255" t="str">
        <f t="shared" si="11"/>
        <v>Gold</v>
      </c>
      <c r="J255" t="s">
        <v>14</v>
      </c>
      <c r="K255" s="17">
        <v>67626</v>
      </c>
      <c r="L255" s="17" t="s">
        <v>1216</v>
      </c>
      <c r="M255" t="s">
        <v>2252</v>
      </c>
      <c r="N255" t="s">
        <v>1217</v>
      </c>
      <c r="O255">
        <v>2600</v>
      </c>
      <c r="P255">
        <v>800</v>
      </c>
      <c r="Q255">
        <v>2400</v>
      </c>
      <c r="R255" t="s">
        <v>1426</v>
      </c>
    </row>
    <row r="256" spans="1:18" x14ac:dyDescent="0.25">
      <c r="A256">
        <v>1558</v>
      </c>
      <c r="B256" t="s">
        <v>549</v>
      </c>
      <c r="C256" t="s">
        <v>53</v>
      </c>
      <c r="D256" t="str">
        <f t="shared" si="9"/>
        <v>Tapia Devin</v>
      </c>
      <c r="E256" t="s">
        <v>1249</v>
      </c>
      <c r="F256" s="1">
        <v>45386</v>
      </c>
      <c r="G256" s="32" t="str">
        <f t="shared" si="10"/>
        <v>Apr</v>
      </c>
      <c r="H256">
        <v>2</v>
      </c>
      <c r="I256" t="str">
        <f t="shared" si="11"/>
        <v>Silver</v>
      </c>
      <c r="J256" t="s">
        <v>1242</v>
      </c>
      <c r="K256" s="17">
        <v>99844</v>
      </c>
      <c r="L256" s="17" t="s">
        <v>1228</v>
      </c>
      <c r="M256" t="s">
        <v>2256</v>
      </c>
      <c r="N256" t="s">
        <v>1240</v>
      </c>
      <c r="O256">
        <v>7310</v>
      </c>
      <c r="P256">
        <v>1200</v>
      </c>
      <c r="Q256">
        <v>2400</v>
      </c>
      <c r="R256" t="s">
        <v>1574</v>
      </c>
    </row>
    <row r="257" spans="1:18" x14ac:dyDescent="0.25">
      <c r="A257">
        <v>2228</v>
      </c>
      <c r="B257" t="s">
        <v>1197</v>
      </c>
      <c r="C257" t="s">
        <v>1120</v>
      </c>
      <c r="D257" t="str">
        <f t="shared" si="9"/>
        <v>Salinas Willow</v>
      </c>
      <c r="E257" t="s">
        <v>1203</v>
      </c>
      <c r="F257" s="1">
        <v>45386</v>
      </c>
      <c r="G257" s="32" t="str">
        <f t="shared" si="10"/>
        <v>Apr</v>
      </c>
      <c r="H257">
        <v>1</v>
      </c>
      <c r="I257" t="str">
        <f t="shared" si="11"/>
        <v>Bronze</v>
      </c>
      <c r="J257" t="s">
        <v>18</v>
      </c>
      <c r="K257" s="17">
        <v>59307</v>
      </c>
      <c r="L257" s="17" t="s">
        <v>1220</v>
      </c>
      <c r="M257" t="s">
        <v>2253</v>
      </c>
      <c r="N257" t="s">
        <v>1232</v>
      </c>
      <c r="O257">
        <v>3000</v>
      </c>
      <c r="P257">
        <v>600</v>
      </c>
      <c r="Q257">
        <v>600</v>
      </c>
      <c r="R257" t="s">
        <v>2246</v>
      </c>
    </row>
    <row r="258" spans="1:18" x14ac:dyDescent="0.25">
      <c r="A258">
        <v>1512</v>
      </c>
      <c r="B258" t="s">
        <v>490</v>
      </c>
      <c r="C258" t="s">
        <v>491</v>
      </c>
      <c r="D258" t="str">
        <f t="shared" ref="D258:D321" si="12">CONCATENATE(B258, " ", C258)</f>
        <v>Byrd Charlotte</v>
      </c>
      <c r="E258" t="s">
        <v>1248</v>
      </c>
      <c r="F258" s="1">
        <v>45387</v>
      </c>
      <c r="G258" s="32" t="str">
        <f t="shared" ref="G258:G321" si="13">TEXT(F258, "MMM")</f>
        <v>Apr</v>
      </c>
      <c r="H258">
        <v>3</v>
      </c>
      <c r="I258" t="str">
        <f t="shared" ref="I258:I321" si="14">IF(H258=1,"Bronze",IF(H258=2,"Silver",IF(H258=3,"Gold")))</f>
        <v>Gold</v>
      </c>
      <c r="J258" t="s">
        <v>14</v>
      </c>
      <c r="K258" s="17">
        <v>66264</v>
      </c>
      <c r="L258" s="17" t="s">
        <v>1233</v>
      </c>
      <c r="M258" t="s">
        <v>2256</v>
      </c>
      <c r="N258" t="s">
        <v>1234</v>
      </c>
      <c r="O258">
        <v>800</v>
      </c>
      <c r="P258">
        <v>300</v>
      </c>
      <c r="Q258">
        <v>900</v>
      </c>
      <c r="R258" t="s">
        <v>1528</v>
      </c>
    </row>
    <row r="259" spans="1:18" x14ac:dyDescent="0.25">
      <c r="A259">
        <v>2102</v>
      </c>
      <c r="B259" t="s">
        <v>1100</v>
      </c>
      <c r="C259" t="s">
        <v>145</v>
      </c>
      <c r="D259" t="str">
        <f t="shared" si="12"/>
        <v>Burns Russell</v>
      </c>
      <c r="E259" t="s">
        <v>1248</v>
      </c>
      <c r="F259" s="1">
        <v>45387</v>
      </c>
      <c r="G259" s="32" t="str">
        <f t="shared" si="13"/>
        <v>Apr</v>
      </c>
      <c r="H259">
        <v>3</v>
      </c>
      <c r="I259" t="str">
        <f t="shared" si="14"/>
        <v>Gold</v>
      </c>
      <c r="J259" t="s">
        <v>14</v>
      </c>
      <c r="K259" s="17">
        <v>41325</v>
      </c>
      <c r="L259" s="17" t="s">
        <v>1220</v>
      </c>
      <c r="M259" t="s">
        <v>2252</v>
      </c>
      <c r="N259" t="s">
        <v>1221</v>
      </c>
      <c r="O259">
        <v>3350</v>
      </c>
      <c r="P259">
        <v>300</v>
      </c>
      <c r="Q259">
        <v>900</v>
      </c>
      <c r="R259" t="s">
        <v>2120</v>
      </c>
    </row>
    <row r="260" spans="1:18" x14ac:dyDescent="0.25">
      <c r="A260">
        <v>2188</v>
      </c>
      <c r="B260" t="s">
        <v>747</v>
      </c>
      <c r="C260" t="s">
        <v>285</v>
      </c>
      <c r="D260" t="str">
        <f t="shared" si="12"/>
        <v>Duncan Erick</v>
      </c>
      <c r="E260" t="s">
        <v>1203</v>
      </c>
      <c r="F260" s="1">
        <v>45387</v>
      </c>
      <c r="G260" s="32" t="str">
        <f t="shared" si="13"/>
        <v>Apr</v>
      </c>
      <c r="H260">
        <v>3</v>
      </c>
      <c r="I260" t="str">
        <f t="shared" si="14"/>
        <v>Gold</v>
      </c>
      <c r="J260" t="s">
        <v>18</v>
      </c>
      <c r="K260" s="17">
        <v>61</v>
      </c>
      <c r="L260" s="17" t="s">
        <v>1220</v>
      </c>
      <c r="M260" t="s">
        <v>2252</v>
      </c>
      <c r="N260" t="s">
        <v>1232</v>
      </c>
      <c r="O260">
        <v>3000</v>
      </c>
      <c r="P260">
        <v>600</v>
      </c>
      <c r="Q260">
        <v>1800</v>
      </c>
      <c r="R260" t="s">
        <v>2206</v>
      </c>
    </row>
    <row r="261" spans="1:18" x14ac:dyDescent="0.25">
      <c r="A261">
        <v>1360</v>
      </c>
      <c r="B261" t="s">
        <v>226</v>
      </c>
      <c r="C261" t="s">
        <v>256</v>
      </c>
      <c r="D261" t="str">
        <f t="shared" si="12"/>
        <v>Castaneda Princeton</v>
      </c>
      <c r="E261" t="s">
        <v>1249</v>
      </c>
      <c r="F261" s="1">
        <v>45388</v>
      </c>
      <c r="G261" s="32" t="str">
        <f t="shared" si="13"/>
        <v>Apr</v>
      </c>
      <c r="H261">
        <v>3</v>
      </c>
      <c r="I261" t="str">
        <f t="shared" si="14"/>
        <v>Gold</v>
      </c>
      <c r="J261" t="s">
        <v>14</v>
      </c>
      <c r="K261" s="17">
        <v>91500</v>
      </c>
      <c r="L261" s="17" t="s">
        <v>1216</v>
      </c>
      <c r="M261" t="s">
        <v>2256</v>
      </c>
      <c r="N261" t="s">
        <v>1217</v>
      </c>
      <c r="O261">
        <v>2600</v>
      </c>
      <c r="P261">
        <v>1200</v>
      </c>
      <c r="Q261">
        <v>3600</v>
      </c>
      <c r="R261" t="s">
        <v>1376</v>
      </c>
    </row>
    <row r="262" spans="1:18" x14ac:dyDescent="0.25">
      <c r="A262">
        <v>1826</v>
      </c>
      <c r="B262" t="s">
        <v>852</v>
      </c>
      <c r="C262" t="s">
        <v>853</v>
      </c>
      <c r="D262" t="str">
        <f t="shared" si="12"/>
        <v>Conrad Sebastian</v>
      </c>
      <c r="E262" t="s">
        <v>1249</v>
      </c>
      <c r="F262" s="1">
        <v>45388</v>
      </c>
      <c r="G262" s="32" t="str">
        <f t="shared" si="13"/>
        <v>Apr</v>
      </c>
      <c r="H262">
        <v>2</v>
      </c>
      <c r="I262" t="str">
        <f t="shared" si="14"/>
        <v>Silver</v>
      </c>
      <c r="J262" t="s">
        <v>18</v>
      </c>
      <c r="K262" s="17">
        <v>38080</v>
      </c>
      <c r="L262" s="17" t="s">
        <v>1214</v>
      </c>
      <c r="M262" t="s">
        <v>2253</v>
      </c>
      <c r="N262" t="s">
        <v>1236</v>
      </c>
      <c r="O262">
        <v>6000</v>
      </c>
      <c r="P262">
        <v>1200</v>
      </c>
      <c r="Q262">
        <v>2400</v>
      </c>
      <c r="R262" t="s">
        <v>1843</v>
      </c>
    </row>
    <row r="263" spans="1:18" x14ac:dyDescent="0.25">
      <c r="A263">
        <v>1395</v>
      </c>
      <c r="B263" t="s">
        <v>169</v>
      </c>
      <c r="C263" t="s">
        <v>313</v>
      </c>
      <c r="D263" t="str">
        <f t="shared" si="12"/>
        <v>Rubio Asher</v>
      </c>
      <c r="E263" t="s">
        <v>1249</v>
      </c>
      <c r="F263" s="1">
        <v>45389</v>
      </c>
      <c r="G263" s="32" t="str">
        <f t="shared" si="13"/>
        <v>Apr</v>
      </c>
      <c r="H263">
        <v>1</v>
      </c>
      <c r="I263" t="str">
        <f t="shared" si="14"/>
        <v>Bronze</v>
      </c>
      <c r="J263" t="s">
        <v>14</v>
      </c>
      <c r="K263" s="17">
        <v>95804</v>
      </c>
      <c r="L263" s="17" t="s">
        <v>1233</v>
      </c>
      <c r="M263" t="s">
        <v>2255</v>
      </c>
      <c r="N263" t="s">
        <v>1239</v>
      </c>
      <c r="O263">
        <v>870</v>
      </c>
      <c r="P263">
        <v>1200</v>
      </c>
      <c r="Q263">
        <v>1200</v>
      </c>
      <c r="R263" t="s">
        <v>1411</v>
      </c>
    </row>
    <row r="264" spans="1:18" x14ac:dyDescent="0.25">
      <c r="A264">
        <v>1918</v>
      </c>
      <c r="B264" t="s">
        <v>945</v>
      </c>
      <c r="C264" t="s">
        <v>946</v>
      </c>
      <c r="D264" t="str">
        <f t="shared" si="12"/>
        <v>Velez Navy</v>
      </c>
      <c r="E264" t="s">
        <v>1208</v>
      </c>
      <c r="F264" s="1">
        <v>45389</v>
      </c>
      <c r="G264" s="32" t="str">
        <f t="shared" si="13"/>
        <v>Apr</v>
      </c>
      <c r="H264">
        <v>2</v>
      </c>
      <c r="I264" t="str">
        <f t="shared" si="14"/>
        <v>Silver</v>
      </c>
      <c r="J264" t="s">
        <v>18</v>
      </c>
      <c r="K264" s="17">
        <v>97645</v>
      </c>
      <c r="L264" s="17" t="s">
        <v>1214</v>
      </c>
      <c r="M264" t="s">
        <v>2252</v>
      </c>
      <c r="N264" t="s">
        <v>1227</v>
      </c>
      <c r="O264">
        <v>6160</v>
      </c>
      <c r="P264">
        <v>800</v>
      </c>
      <c r="Q264">
        <v>1600</v>
      </c>
      <c r="R264" t="s">
        <v>1935</v>
      </c>
    </row>
    <row r="265" spans="1:18" x14ac:dyDescent="0.25">
      <c r="A265">
        <v>2032</v>
      </c>
      <c r="B265" t="s">
        <v>813</v>
      </c>
      <c r="C265" t="s">
        <v>953</v>
      </c>
      <c r="D265" t="str">
        <f t="shared" si="12"/>
        <v>Rowland Sophia</v>
      </c>
      <c r="E265" t="s">
        <v>1248</v>
      </c>
      <c r="F265" s="1">
        <v>45389</v>
      </c>
      <c r="G265" s="32" t="str">
        <f t="shared" si="13"/>
        <v>Apr</v>
      </c>
      <c r="H265">
        <v>3</v>
      </c>
      <c r="I265" t="str">
        <f t="shared" si="14"/>
        <v>Gold</v>
      </c>
      <c r="J265" t="s">
        <v>14</v>
      </c>
      <c r="K265" s="17">
        <v>79737</v>
      </c>
      <c r="L265" s="17" t="s">
        <v>1216</v>
      </c>
      <c r="M265" t="s">
        <v>2254</v>
      </c>
      <c r="N265" t="s">
        <v>1217</v>
      </c>
      <c r="O265">
        <v>2600</v>
      </c>
      <c r="P265">
        <v>300</v>
      </c>
      <c r="Q265">
        <v>900</v>
      </c>
      <c r="R265" t="s">
        <v>2049</v>
      </c>
    </row>
    <row r="266" spans="1:18" x14ac:dyDescent="0.25">
      <c r="A266">
        <v>1385</v>
      </c>
      <c r="B266" t="s">
        <v>36</v>
      </c>
      <c r="C266" t="s">
        <v>300</v>
      </c>
      <c r="D266" t="str">
        <f t="shared" si="12"/>
        <v>Jacobs Abel</v>
      </c>
      <c r="E266" t="s">
        <v>1203</v>
      </c>
      <c r="F266" s="1">
        <v>45390</v>
      </c>
      <c r="G266" s="32" t="str">
        <f t="shared" si="13"/>
        <v>Apr</v>
      </c>
      <c r="H266">
        <v>2</v>
      </c>
      <c r="I266" t="str">
        <f t="shared" si="14"/>
        <v>Silver</v>
      </c>
      <c r="J266" t="s">
        <v>1242</v>
      </c>
      <c r="K266" s="17">
        <v>70867</v>
      </c>
      <c r="L266" s="17" t="s">
        <v>1214</v>
      </c>
      <c r="M266" t="s">
        <v>2255</v>
      </c>
      <c r="N266" t="s">
        <v>1215</v>
      </c>
      <c r="O266">
        <v>6725</v>
      </c>
      <c r="P266">
        <v>600</v>
      </c>
      <c r="Q266">
        <v>1200</v>
      </c>
      <c r="R266" t="s">
        <v>1401</v>
      </c>
    </row>
    <row r="267" spans="1:18" x14ac:dyDescent="0.25">
      <c r="A267">
        <v>2198</v>
      </c>
      <c r="B267" t="s">
        <v>661</v>
      </c>
      <c r="C267" t="s">
        <v>758</v>
      </c>
      <c r="D267" t="str">
        <f t="shared" si="12"/>
        <v>Livingston Dominic</v>
      </c>
      <c r="E267" t="s">
        <v>1203</v>
      </c>
      <c r="F267" s="1">
        <v>45390</v>
      </c>
      <c r="G267" s="32" t="str">
        <f t="shared" si="13"/>
        <v>Apr</v>
      </c>
      <c r="H267">
        <v>2</v>
      </c>
      <c r="I267" t="str">
        <f t="shared" si="14"/>
        <v>Silver</v>
      </c>
      <c r="J267" t="s">
        <v>1242</v>
      </c>
      <c r="K267" s="17">
        <v>60295</v>
      </c>
      <c r="L267" s="17" t="s">
        <v>1233</v>
      </c>
      <c r="M267" t="s">
        <v>2254</v>
      </c>
      <c r="N267" t="s">
        <v>1239</v>
      </c>
      <c r="O267">
        <v>870</v>
      </c>
      <c r="P267">
        <v>600</v>
      </c>
      <c r="Q267">
        <v>1200</v>
      </c>
      <c r="R267" t="s">
        <v>2216</v>
      </c>
    </row>
    <row r="268" spans="1:18" x14ac:dyDescent="0.25">
      <c r="A268">
        <v>1415</v>
      </c>
      <c r="B268" t="s">
        <v>343</v>
      </c>
      <c r="C268" t="s">
        <v>344</v>
      </c>
      <c r="D268" t="str">
        <f t="shared" si="12"/>
        <v>Roy Patrick</v>
      </c>
      <c r="E268" t="s">
        <v>1205</v>
      </c>
      <c r="F268" s="1">
        <v>45391</v>
      </c>
      <c r="G268" s="32" t="str">
        <f t="shared" si="13"/>
        <v>Apr</v>
      </c>
      <c r="H268">
        <v>2</v>
      </c>
      <c r="I268" t="str">
        <f t="shared" si="14"/>
        <v>Silver</v>
      </c>
      <c r="J268" t="s">
        <v>14</v>
      </c>
      <c r="K268" s="17">
        <v>84042</v>
      </c>
      <c r="L268" s="17" t="s">
        <v>1222</v>
      </c>
      <c r="M268" t="s">
        <v>2254</v>
      </c>
      <c r="N268" t="s">
        <v>1231</v>
      </c>
      <c r="O268">
        <v>4870</v>
      </c>
      <c r="P268">
        <v>250</v>
      </c>
      <c r="Q268">
        <v>500</v>
      </c>
      <c r="R268" t="s">
        <v>1431</v>
      </c>
    </row>
    <row r="269" spans="1:18" x14ac:dyDescent="0.25">
      <c r="A269">
        <v>1461</v>
      </c>
      <c r="B269" t="s">
        <v>418</v>
      </c>
      <c r="C269" t="s">
        <v>419</v>
      </c>
      <c r="D269" t="str">
        <f t="shared" si="12"/>
        <v>Orozco River</v>
      </c>
      <c r="E269" t="s">
        <v>1207</v>
      </c>
      <c r="F269" s="1">
        <v>45391</v>
      </c>
      <c r="G269" s="32" t="str">
        <f t="shared" si="13"/>
        <v>Apr</v>
      </c>
      <c r="H269">
        <v>3</v>
      </c>
      <c r="I269" t="str">
        <f t="shared" si="14"/>
        <v>Gold</v>
      </c>
      <c r="J269" t="s">
        <v>1242</v>
      </c>
      <c r="K269" s="17">
        <v>36180</v>
      </c>
      <c r="L269" s="17" t="s">
        <v>1214</v>
      </c>
      <c r="M269" t="s">
        <v>2254</v>
      </c>
      <c r="N269" t="s">
        <v>1236</v>
      </c>
      <c r="O269">
        <v>6000</v>
      </c>
      <c r="P269">
        <v>250</v>
      </c>
      <c r="Q269">
        <v>750</v>
      </c>
      <c r="R269" t="s">
        <v>1477</v>
      </c>
    </row>
    <row r="270" spans="1:18" x14ac:dyDescent="0.25">
      <c r="A270">
        <v>1568</v>
      </c>
      <c r="B270" t="s">
        <v>565</v>
      </c>
      <c r="C270" t="s">
        <v>399</v>
      </c>
      <c r="D270" t="str">
        <f t="shared" si="12"/>
        <v>Miranda Diego</v>
      </c>
      <c r="E270" t="s">
        <v>1208</v>
      </c>
      <c r="F270" s="1">
        <v>45391</v>
      </c>
      <c r="G270" s="32" t="str">
        <f t="shared" si="13"/>
        <v>Apr</v>
      </c>
      <c r="H270">
        <v>2</v>
      </c>
      <c r="I270" t="str">
        <f t="shared" si="14"/>
        <v>Silver</v>
      </c>
      <c r="J270" t="s">
        <v>14</v>
      </c>
      <c r="K270" s="17">
        <v>92421</v>
      </c>
      <c r="L270" s="17" t="s">
        <v>1218</v>
      </c>
      <c r="M270" t="s">
        <v>2255</v>
      </c>
      <c r="N270" t="s">
        <v>836</v>
      </c>
      <c r="O270">
        <v>2000</v>
      </c>
      <c r="P270">
        <v>800</v>
      </c>
      <c r="Q270">
        <v>1600</v>
      </c>
      <c r="R270" t="s">
        <v>1584</v>
      </c>
    </row>
    <row r="271" spans="1:18" x14ac:dyDescent="0.25">
      <c r="A271">
        <v>1666</v>
      </c>
      <c r="B271" t="s">
        <v>679</v>
      </c>
      <c r="C271" t="s">
        <v>680</v>
      </c>
      <c r="D271" t="str">
        <f t="shared" si="12"/>
        <v>Sandoval Kash</v>
      </c>
      <c r="E271" t="s">
        <v>1208</v>
      </c>
      <c r="F271" s="1">
        <v>45391</v>
      </c>
      <c r="G271" s="32" t="str">
        <f t="shared" si="13"/>
        <v>Apr</v>
      </c>
      <c r="H271">
        <v>2</v>
      </c>
      <c r="I271" t="str">
        <f t="shared" si="14"/>
        <v>Silver</v>
      </c>
      <c r="J271" t="s">
        <v>14</v>
      </c>
      <c r="K271" s="17">
        <v>45460</v>
      </c>
      <c r="L271" s="17" t="s">
        <v>1233</v>
      </c>
      <c r="M271" t="s">
        <v>2254</v>
      </c>
      <c r="N271" t="s">
        <v>1239</v>
      </c>
      <c r="O271">
        <v>870</v>
      </c>
      <c r="P271">
        <v>800</v>
      </c>
      <c r="Q271">
        <v>1600</v>
      </c>
      <c r="R271" t="s">
        <v>1683</v>
      </c>
    </row>
    <row r="272" spans="1:18" x14ac:dyDescent="0.25">
      <c r="A272">
        <v>2210</v>
      </c>
      <c r="B272" t="s">
        <v>198</v>
      </c>
      <c r="C272" t="s">
        <v>853</v>
      </c>
      <c r="D272" t="str">
        <f t="shared" si="12"/>
        <v>Luna Sebastian</v>
      </c>
      <c r="E272" t="s">
        <v>1249</v>
      </c>
      <c r="F272" s="1">
        <v>45392</v>
      </c>
      <c r="G272" s="32" t="str">
        <f t="shared" si="13"/>
        <v>Apr</v>
      </c>
      <c r="H272">
        <v>3</v>
      </c>
      <c r="I272" t="str">
        <f t="shared" si="14"/>
        <v>Gold</v>
      </c>
      <c r="J272" t="s">
        <v>14</v>
      </c>
      <c r="K272" s="17">
        <v>53193</v>
      </c>
      <c r="L272" s="17" t="s">
        <v>1224</v>
      </c>
      <c r="M272" t="s">
        <v>2254</v>
      </c>
      <c r="N272" t="s">
        <v>1225</v>
      </c>
      <c r="O272">
        <v>5290</v>
      </c>
      <c r="P272">
        <v>1200</v>
      </c>
      <c r="Q272">
        <v>3600</v>
      </c>
      <c r="R272" t="s">
        <v>2228</v>
      </c>
    </row>
    <row r="273" spans="1:18" x14ac:dyDescent="0.25">
      <c r="A273">
        <v>2042</v>
      </c>
      <c r="B273" t="s">
        <v>675</v>
      </c>
      <c r="C273" t="s">
        <v>170</v>
      </c>
      <c r="D273" t="str">
        <f t="shared" si="12"/>
        <v>Maynard Tatum</v>
      </c>
      <c r="E273" t="s">
        <v>1248</v>
      </c>
      <c r="F273" s="1">
        <v>45393</v>
      </c>
      <c r="G273" s="32" t="str">
        <f t="shared" si="13"/>
        <v>Apr</v>
      </c>
      <c r="H273">
        <v>1</v>
      </c>
      <c r="I273" t="str">
        <f t="shared" si="14"/>
        <v>Bronze</v>
      </c>
      <c r="J273" t="s">
        <v>14</v>
      </c>
      <c r="K273" s="17">
        <v>54417</v>
      </c>
      <c r="L273" s="17" t="s">
        <v>1228</v>
      </c>
      <c r="M273" t="s">
        <v>2255</v>
      </c>
      <c r="N273" t="s">
        <v>1240</v>
      </c>
      <c r="O273">
        <v>7310</v>
      </c>
      <c r="P273">
        <v>300</v>
      </c>
      <c r="Q273">
        <v>300</v>
      </c>
      <c r="R273" t="s">
        <v>2059</v>
      </c>
    </row>
    <row r="274" spans="1:18" x14ac:dyDescent="0.25">
      <c r="A274">
        <v>1785</v>
      </c>
      <c r="B274" t="s">
        <v>240</v>
      </c>
      <c r="C274" t="s">
        <v>404</v>
      </c>
      <c r="D274" t="str">
        <f t="shared" si="12"/>
        <v>Townsend Baker</v>
      </c>
      <c r="E274" t="s">
        <v>1203</v>
      </c>
      <c r="F274" s="1">
        <v>45394</v>
      </c>
      <c r="G274" s="32" t="str">
        <f t="shared" si="13"/>
        <v>Apr</v>
      </c>
      <c r="H274">
        <v>1</v>
      </c>
      <c r="I274" t="str">
        <f t="shared" si="14"/>
        <v>Bronze</v>
      </c>
      <c r="J274" t="s">
        <v>18</v>
      </c>
      <c r="K274" s="17">
        <v>2823</v>
      </c>
      <c r="L274" s="17" t="s">
        <v>1218</v>
      </c>
      <c r="M274" t="s">
        <v>2253</v>
      </c>
      <c r="N274" t="s">
        <v>1219</v>
      </c>
      <c r="O274">
        <v>2300</v>
      </c>
      <c r="P274">
        <v>600</v>
      </c>
      <c r="Q274">
        <v>600</v>
      </c>
      <c r="R274" t="s">
        <v>1802</v>
      </c>
    </row>
    <row r="275" spans="1:18" x14ac:dyDescent="0.25">
      <c r="A275">
        <v>1498</v>
      </c>
      <c r="B275" t="s">
        <v>456</v>
      </c>
      <c r="C275" t="s">
        <v>472</v>
      </c>
      <c r="D275" t="str">
        <f t="shared" si="12"/>
        <v>Mcpherson Xiomara</v>
      </c>
      <c r="E275" t="s">
        <v>1208</v>
      </c>
      <c r="F275" s="1">
        <v>45395</v>
      </c>
      <c r="G275" s="32" t="str">
        <f t="shared" si="13"/>
        <v>Apr</v>
      </c>
      <c r="H275">
        <v>3</v>
      </c>
      <c r="I275" t="str">
        <f t="shared" si="14"/>
        <v>Gold</v>
      </c>
      <c r="J275" t="s">
        <v>14</v>
      </c>
      <c r="K275" s="17">
        <v>2688</v>
      </c>
      <c r="L275" s="17" t="s">
        <v>1214</v>
      </c>
      <c r="M275" t="s">
        <v>2254</v>
      </c>
      <c r="N275" t="s">
        <v>1215</v>
      </c>
      <c r="O275">
        <v>6725</v>
      </c>
      <c r="P275">
        <v>800</v>
      </c>
      <c r="Q275">
        <v>2400</v>
      </c>
      <c r="R275" t="s">
        <v>1514</v>
      </c>
    </row>
    <row r="276" spans="1:18" x14ac:dyDescent="0.25">
      <c r="A276">
        <v>1962</v>
      </c>
      <c r="B276" t="s">
        <v>242</v>
      </c>
      <c r="C276" t="s">
        <v>853</v>
      </c>
      <c r="D276" t="str">
        <f t="shared" si="12"/>
        <v>Pollard Sebastian</v>
      </c>
      <c r="E276" t="s">
        <v>1203</v>
      </c>
      <c r="F276" s="1">
        <v>45395</v>
      </c>
      <c r="G276" s="32" t="str">
        <f t="shared" si="13"/>
        <v>Apr</v>
      </c>
      <c r="H276">
        <v>3</v>
      </c>
      <c r="I276" t="str">
        <f t="shared" si="14"/>
        <v>Gold</v>
      </c>
      <c r="J276" t="s">
        <v>18</v>
      </c>
      <c r="K276" s="17">
        <v>35501</v>
      </c>
      <c r="L276" s="17" t="s">
        <v>1220</v>
      </c>
      <c r="M276" t="s">
        <v>2253</v>
      </c>
      <c r="N276" t="s">
        <v>1232</v>
      </c>
      <c r="O276">
        <v>3000</v>
      </c>
      <c r="P276">
        <v>600</v>
      </c>
      <c r="Q276">
        <v>1800</v>
      </c>
      <c r="R276" t="s">
        <v>1979</v>
      </c>
    </row>
    <row r="277" spans="1:18" x14ac:dyDescent="0.25">
      <c r="A277">
        <v>2175</v>
      </c>
      <c r="B277" t="s">
        <v>26</v>
      </c>
      <c r="C277" t="s">
        <v>1164</v>
      </c>
      <c r="D277" t="str">
        <f t="shared" si="12"/>
        <v>Hughes Kenneth</v>
      </c>
      <c r="E277" t="s">
        <v>1249</v>
      </c>
      <c r="F277" s="1">
        <v>45395</v>
      </c>
      <c r="G277" s="32" t="str">
        <f t="shared" si="13"/>
        <v>Apr</v>
      </c>
      <c r="H277">
        <v>1</v>
      </c>
      <c r="I277" t="str">
        <f t="shared" si="14"/>
        <v>Bronze</v>
      </c>
      <c r="J277" t="s">
        <v>1243</v>
      </c>
      <c r="K277" s="17">
        <v>23915</v>
      </c>
      <c r="L277" s="17" t="s">
        <v>1218</v>
      </c>
      <c r="M277" t="s">
        <v>2252</v>
      </c>
      <c r="N277" t="s">
        <v>836</v>
      </c>
      <c r="O277">
        <v>2000</v>
      </c>
      <c r="P277">
        <v>1200</v>
      </c>
      <c r="Q277">
        <v>1200</v>
      </c>
      <c r="R277" t="s">
        <v>2193</v>
      </c>
    </row>
    <row r="278" spans="1:18" x14ac:dyDescent="0.25">
      <c r="A278">
        <v>2225</v>
      </c>
      <c r="B278" t="s">
        <v>770</v>
      </c>
      <c r="C278" t="s">
        <v>968</v>
      </c>
      <c r="D278" t="str">
        <f t="shared" si="12"/>
        <v>Shields Elliot</v>
      </c>
      <c r="E278" t="s">
        <v>1203</v>
      </c>
      <c r="F278" s="1">
        <v>45395</v>
      </c>
      <c r="G278" s="32" t="str">
        <f t="shared" si="13"/>
        <v>Apr</v>
      </c>
      <c r="H278">
        <v>1</v>
      </c>
      <c r="I278" t="str">
        <f t="shared" si="14"/>
        <v>Bronze</v>
      </c>
      <c r="J278" t="s">
        <v>14</v>
      </c>
      <c r="K278" s="17">
        <v>46201</v>
      </c>
      <c r="L278" s="17" t="s">
        <v>1214</v>
      </c>
      <c r="M278" t="s">
        <v>2255</v>
      </c>
      <c r="N278" t="s">
        <v>1215</v>
      </c>
      <c r="O278">
        <v>6725</v>
      </c>
      <c r="P278">
        <v>600</v>
      </c>
      <c r="Q278">
        <v>600</v>
      </c>
      <c r="R278" t="s">
        <v>2243</v>
      </c>
    </row>
    <row r="279" spans="1:18" x14ac:dyDescent="0.25">
      <c r="A279">
        <v>1308</v>
      </c>
      <c r="B279" t="s">
        <v>167</v>
      </c>
      <c r="C279" t="s">
        <v>168</v>
      </c>
      <c r="D279" t="str">
        <f t="shared" si="12"/>
        <v>Wong Emerson</v>
      </c>
      <c r="E279" t="s">
        <v>1207</v>
      </c>
      <c r="F279" s="1">
        <v>45396</v>
      </c>
      <c r="G279" s="32" t="str">
        <f t="shared" si="13"/>
        <v>Apr</v>
      </c>
      <c r="H279">
        <v>3</v>
      </c>
      <c r="I279" t="str">
        <f t="shared" si="14"/>
        <v>Gold</v>
      </c>
      <c r="J279" t="s">
        <v>14</v>
      </c>
      <c r="K279" s="17">
        <v>98908</v>
      </c>
      <c r="L279" s="17" t="s">
        <v>1233</v>
      </c>
      <c r="M279" t="s">
        <v>2254</v>
      </c>
      <c r="N279" t="s">
        <v>1239</v>
      </c>
      <c r="O279">
        <v>870</v>
      </c>
      <c r="P279">
        <v>250</v>
      </c>
      <c r="Q279">
        <v>750</v>
      </c>
      <c r="R279" t="s">
        <v>1324</v>
      </c>
    </row>
    <row r="280" spans="1:18" x14ac:dyDescent="0.25">
      <c r="A280">
        <v>1329</v>
      </c>
      <c r="B280" t="s">
        <v>204</v>
      </c>
      <c r="C280" t="s">
        <v>205</v>
      </c>
      <c r="D280" t="str">
        <f t="shared" si="12"/>
        <v>Austin Margaret</v>
      </c>
      <c r="E280" t="s">
        <v>1248</v>
      </c>
      <c r="F280" s="1">
        <v>45396</v>
      </c>
      <c r="G280" s="32" t="str">
        <f t="shared" si="13"/>
        <v>Apr</v>
      </c>
      <c r="H280">
        <v>2</v>
      </c>
      <c r="I280" t="str">
        <f t="shared" si="14"/>
        <v>Silver</v>
      </c>
      <c r="J280" t="s">
        <v>14</v>
      </c>
      <c r="K280" s="17">
        <v>1932</v>
      </c>
      <c r="L280" s="17" t="s">
        <v>1222</v>
      </c>
      <c r="M280" t="s">
        <v>2252</v>
      </c>
      <c r="N280" t="s">
        <v>1231</v>
      </c>
      <c r="O280">
        <v>4870</v>
      </c>
      <c r="P280">
        <v>300</v>
      </c>
      <c r="Q280">
        <v>600</v>
      </c>
      <c r="R280" t="s">
        <v>1345</v>
      </c>
    </row>
    <row r="281" spans="1:18" x14ac:dyDescent="0.25">
      <c r="A281">
        <v>1587</v>
      </c>
      <c r="B281" t="s">
        <v>213</v>
      </c>
      <c r="C281" t="s">
        <v>586</v>
      </c>
      <c r="D281" t="str">
        <f t="shared" si="12"/>
        <v>Ellis Esme</v>
      </c>
      <c r="E281" t="s">
        <v>1249</v>
      </c>
      <c r="F281" s="1">
        <v>45396</v>
      </c>
      <c r="G281" s="32" t="str">
        <f t="shared" si="13"/>
        <v>Apr</v>
      </c>
      <c r="H281">
        <v>1</v>
      </c>
      <c r="I281" t="str">
        <f t="shared" si="14"/>
        <v>Bronze</v>
      </c>
      <c r="J281" t="s">
        <v>14</v>
      </c>
      <c r="K281" s="17">
        <v>59012</v>
      </c>
      <c r="L281" s="17" t="s">
        <v>1218</v>
      </c>
      <c r="M281" t="s">
        <v>2253</v>
      </c>
      <c r="N281" t="s">
        <v>836</v>
      </c>
      <c r="O281">
        <v>2000</v>
      </c>
      <c r="P281">
        <v>1200</v>
      </c>
      <c r="Q281">
        <v>1200</v>
      </c>
      <c r="R281" t="s">
        <v>1603</v>
      </c>
    </row>
    <row r="282" spans="1:18" x14ac:dyDescent="0.25">
      <c r="A282">
        <v>2191</v>
      </c>
      <c r="B282" t="s">
        <v>1174</v>
      </c>
      <c r="C282" t="s">
        <v>132</v>
      </c>
      <c r="D282" t="str">
        <f t="shared" si="12"/>
        <v>Rojas Eliza</v>
      </c>
      <c r="E282" t="s">
        <v>1205</v>
      </c>
      <c r="F282" s="1">
        <v>45396</v>
      </c>
      <c r="G282" s="32" t="str">
        <f t="shared" si="13"/>
        <v>Apr</v>
      </c>
      <c r="H282">
        <v>1</v>
      </c>
      <c r="I282" t="str">
        <f t="shared" si="14"/>
        <v>Bronze</v>
      </c>
      <c r="J282" t="s">
        <v>14</v>
      </c>
      <c r="K282" s="17">
        <v>60582</v>
      </c>
      <c r="L282" s="17" t="s">
        <v>1218</v>
      </c>
      <c r="M282" t="s">
        <v>2252</v>
      </c>
      <c r="N282" t="s">
        <v>1219</v>
      </c>
      <c r="O282">
        <v>2300</v>
      </c>
      <c r="P282">
        <v>250</v>
      </c>
      <c r="Q282">
        <v>250</v>
      </c>
      <c r="R282" t="s">
        <v>2209</v>
      </c>
    </row>
    <row r="283" spans="1:18" x14ac:dyDescent="0.25">
      <c r="A283">
        <v>1321</v>
      </c>
      <c r="B283" t="s">
        <v>190</v>
      </c>
      <c r="C283" t="s">
        <v>191</v>
      </c>
      <c r="D283" t="str">
        <f t="shared" si="12"/>
        <v>Ballard Amir</v>
      </c>
      <c r="E283" t="s">
        <v>1205</v>
      </c>
      <c r="F283" s="1">
        <v>45398</v>
      </c>
      <c r="G283" s="32" t="str">
        <f t="shared" si="13"/>
        <v>Apr</v>
      </c>
      <c r="H283">
        <v>1</v>
      </c>
      <c r="I283" t="str">
        <f t="shared" si="14"/>
        <v>Bronze</v>
      </c>
      <c r="J283" t="s">
        <v>14</v>
      </c>
      <c r="K283" s="17">
        <v>61223</v>
      </c>
      <c r="L283" s="17" t="s">
        <v>1228</v>
      </c>
      <c r="M283" t="s">
        <v>2255</v>
      </c>
      <c r="N283" t="s">
        <v>1230</v>
      </c>
      <c r="O283">
        <v>7000</v>
      </c>
      <c r="P283">
        <v>250</v>
      </c>
      <c r="Q283">
        <v>250</v>
      </c>
      <c r="R283" t="s">
        <v>1337</v>
      </c>
    </row>
    <row r="284" spans="1:18" x14ac:dyDescent="0.25">
      <c r="A284">
        <v>1861</v>
      </c>
      <c r="B284" t="s">
        <v>889</v>
      </c>
      <c r="C284" t="s">
        <v>890</v>
      </c>
      <c r="D284" t="str">
        <f t="shared" si="12"/>
        <v>Rowe Trinity</v>
      </c>
      <c r="E284" t="s">
        <v>1208</v>
      </c>
      <c r="F284" s="1">
        <v>45398</v>
      </c>
      <c r="G284" s="32" t="str">
        <f t="shared" si="13"/>
        <v>Apr</v>
      </c>
      <c r="H284">
        <v>3</v>
      </c>
      <c r="I284" t="str">
        <f t="shared" si="14"/>
        <v>Gold</v>
      </c>
      <c r="J284" t="s">
        <v>14</v>
      </c>
      <c r="K284" s="17">
        <v>43006</v>
      </c>
      <c r="L284" s="17" t="s">
        <v>1222</v>
      </c>
      <c r="M284" t="s">
        <v>2253</v>
      </c>
      <c r="N284" t="s">
        <v>1237</v>
      </c>
      <c r="O284">
        <v>4000</v>
      </c>
      <c r="P284">
        <v>800</v>
      </c>
      <c r="Q284">
        <v>2400</v>
      </c>
      <c r="R284" t="s">
        <v>1878</v>
      </c>
    </row>
    <row r="285" spans="1:18" x14ac:dyDescent="0.25">
      <c r="A285">
        <v>1895</v>
      </c>
      <c r="B285" t="s">
        <v>926</v>
      </c>
      <c r="C285" t="s">
        <v>927</v>
      </c>
      <c r="D285" t="str">
        <f t="shared" si="12"/>
        <v>Hanson Kayla</v>
      </c>
      <c r="E285" t="s">
        <v>1205</v>
      </c>
      <c r="F285" s="1">
        <v>45398</v>
      </c>
      <c r="G285" s="32" t="str">
        <f t="shared" si="13"/>
        <v>Apr</v>
      </c>
      <c r="H285">
        <v>2</v>
      </c>
      <c r="I285" t="str">
        <f t="shared" si="14"/>
        <v>Silver</v>
      </c>
      <c r="J285" t="s">
        <v>1242</v>
      </c>
      <c r="K285" s="17">
        <v>49154</v>
      </c>
      <c r="L285" s="17" t="s">
        <v>1228</v>
      </c>
      <c r="M285" t="s">
        <v>2252</v>
      </c>
      <c r="N285" t="s">
        <v>1240</v>
      </c>
      <c r="O285">
        <v>7310</v>
      </c>
      <c r="P285">
        <v>250</v>
      </c>
      <c r="Q285">
        <v>500</v>
      </c>
      <c r="R285" t="s">
        <v>1912</v>
      </c>
    </row>
    <row r="286" spans="1:18" x14ac:dyDescent="0.25">
      <c r="A286">
        <v>1937</v>
      </c>
      <c r="B286" t="s">
        <v>967</v>
      </c>
      <c r="C286" t="s">
        <v>968</v>
      </c>
      <c r="D286" t="str">
        <f t="shared" si="12"/>
        <v>Petersen Elliot</v>
      </c>
      <c r="E286" t="s">
        <v>1205</v>
      </c>
      <c r="F286" s="1">
        <v>45398</v>
      </c>
      <c r="G286" s="32" t="str">
        <f t="shared" si="13"/>
        <v>Apr</v>
      </c>
      <c r="H286">
        <v>3</v>
      </c>
      <c r="I286" t="str">
        <f t="shared" si="14"/>
        <v>Gold</v>
      </c>
      <c r="J286" t="s">
        <v>14</v>
      </c>
      <c r="K286" s="17">
        <v>40065</v>
      </c>
      <c r="L286" s="17" t="s">
        <v>1216</v>
      </c>
      <c r="M286" t="s">
        <v>2253</v>
      </c>
      <c r="N286" t="s">
        <v>1217</v>
      </c>
      <c r="O286">
        <v>2600</v>
      </c>
      <c r="P286">
        <v>250</v>
      </c>
      <c r="Q286">
        <v>750</v>
      </c>
      <c r="R286" t="s">
        <v>1954</v>
      </c>
    </row>
    <row r="287" spans="1:18" x14ac:dyDescent="0.25">
      <c r="A287">
        <v>2118</v>
      </c>
      <c r="B287" t="s">
        <v>1117</v>
      </c>
      <c r="C287" t="s">
        <v>749</v>
      </c>
      <c r="D287" t="str">
        <f t="shared" si="12"/>
        <v>Ventura Haven</v>
      </c>
      <c r="E287" t="s">
        <v>1203</v>
      </c>
      <c r="F287" s="1">
        <v>45398</v>
      </c>
      <c r="G287" s="32" t="str">
        <f t="shared" si="13"/>
        <v>Apr</v>
      </c>
      <c r="H287">
        <v>1</v>
      </c>
      <c r="I287" t="str">
        <f t="shared" si="14"/>
        <v>Bronze</v>
      </c>
      <c r="J287" t="s">
        <v>1243</v>
      </c>
      <c r="K287" s="17">
        <v>24277</v>
      </c>
      <c r="L287" s="17" t="s">
        <v>1228</v>
      </c>
      <c r="M287" t="s">
        <v>2255</v>
      </c>
      <c r="N287" t="s">
        <v>1240</v>
      </c>
      <c r="O287">
        <v>7310</v>
      </c>
      <c r="P287">
        <v>600</v>
      </c>
      <c r="Q287">
        <v>600</v>
      </c>
      <c r="R287" t="s">
        <v>2136</v>
      </c>
    </row>
    <row r="288" spans="1:18" x14ac:dyDescent="0.25">
      <c r="A288">
        <v>1356</v>
      </c>
      <c r="B288" t="s">
        <v>248</v>
      </c>
      <c r="C288" t="s">
        <v>249</v>
      </c>
      <c r="D288" t="str">
        <f t="shared" si="12"/>
        <v>Johnston Ace</v>
      </c>
      <c r="E288" t="s">
        <v>1207</v>
      </c>
      <c r="F288" s="1">
        <v>45399</v>
      </c>
      <c r="G288" s="32" t="str">
        <f t="shared" si="13"/>
        <v>Apr</v>
      </c>
      <c r="H288">
        <v>1</v>
      </c>
      <c r="I288" t="str">
        <f t="shared" si="14"/>
        <v>Bronze</v>
      </c>
      <c r="J288" t="s">
        <v>1242</v>
      </c>
      <c r="K288" s="17">
        <v>50865</v>
      </c>
      <c r="L288" s="17" t="s">
        <v>1216</v>
      </c>
      <c r="M288" t="s">
        <v>2254</v>
      </c>
      <c r="N288" t="s">
        <v>1217</v>
      </c>
      <c r="O288">
        <v>2600</v>
      </c>
      <c r="P288">
        <v>250</v>
      </c>
      <c r="Q288">
        <v>250</v>
      </c>
      <c r="R288" t="s">
        <v>1372</v>
      </c>
    </row>
    <row r="289" spans="1:18" x14ac:dyDescent="0.25">
      <c r="A289">
        <v>1256</v>
      </c>
      <c r="B289" t="s">
        <v>70</v>
      </c>
      <c r="C289" t="s">
        <v>71</v>
      </c>
      <c r="D289" t="str">
        <f t="shared" si="12"/>
        <v>Benjamin Frank</v>
      </c>
      <c r="E289" t="s">
        <v>1249</v>
      </c>
      <c r="F289" s="1">
        <v>45400</v>
      </c>
      <c r="G289" s="32" t="str">
        <f t="shared" si="13"/>
        <v>Apr</v>
      </c>
      <c r="H289">
        <v>1</v>
      </c>
      <c r="I289" t="str">
        <f t="shared" si="14"/>
        <v>Bronze</v>
      </c>
      <c r="J289" t="s">
        <v>1242</v>
      </c>
      <c r="K289" s="17">
        <v>31985</v>
      </c>
      <c r="L289" s="17" t="s">
        <v>1214</v>
      </c>
      <c r="M289" t="s">
        <v>2254</v>
      </c>
      <c r="N289" t="s">
        <v>1215</v>
      </c>
      <c r="O289">
        <v>6725</v>
      </c>
      <c r="P289">
        <v>1200</v>
      </c>
      <c r="Q289">
        <v>1200</v>
      </c>
      <c r="R289" t="s">
        <v>1272</v>
      </c>
    </row>
    <row r="290" spans="1:18" x14ac:dyDescent="0.25">
      <c r="A290">
        <v>1340</v>
      </c>
      <c r="B290" t="s">
        <v>224</v>
      </c>
      <c r="C290" t="s">
        <v>225</v>
      </c>
      <c r="D290" t="str">
        <f t="shared" si="12"/>
        <v>Pearson Amira</v>
      </c>
      <c r="E290" t="s">
        <v>1207</v>
      </c>
      <c r="F290" s="1">
        <v>45400</v>
      </c>
      <c r="G290" s="32" t="str">
        <f t="shared" si="13"/>
        <v>Apr</v>
      </c>
      <c r="H290">
        <v>3</v>
      </c>
      <c r="I290" t="str">
        <f t="shared" si="14"/>
        <v>Gold</v>
      </c>
      <c r="J290" t="s">
        <v>14</v>
      </c>
      <c r="K290" s="17">
        <v>3099</v>
      </c>
      <c r="L290" s="17" t="s">
        <v>1214</v>
      </c>
      <c r="M290" t="s">
        <v>2254</v>
      </c>
      <c r="N290" t="s">
        <v>1215</v>
      </c>
      <c r="O290">
        <v>6725</v>
      </c>
      <c r="P290">
        <v>250</v>
      </c>
      <c r="Q290">
        <v>750</v>
      </c>
      <c r="R290" t="s">
        <v>1356</v>
      </c>
    </row>
    <row r="291" spans="1:18" x14ac:dyDescent="0.25">
      <c r="A291">
        <v>1425</v>
      </c>
      <c r="B291" t="s">
        <v>361</v>
      </c>
      <c r="C291" t="s">
        <v>362</v>
      </c>
      <c r="D291" t="str">
        <f t="shared" si="12"/>
        <v>Owens Maximus</v>
      </c>
      <c r="E291" t="s">
        <v>1208</v>
      </c>
      <c r="F291" s="1">
        <v>45400</v>
      </c>
      <c r="G291" s="32" t="str">
        <f t="shared" si="13"/>
        <v>Apr</v>
      </c>
      <c r="H291">
        <v>2</v>
      </c>
      <c r="I291" t="str">
        <f t="shared" si="14"/>
        <v>Silver</v>
      </c>
      <c r="J291" t="s">
        <v>1242</v>
      </c>
      <c r="K291" s="17">
        <v>62344</v>
      </c>
      <c r="L291" s="17" t="s">
        <v>1220</v>
      </c>
      <c r="M291" t="s">
        <v>2252</v>
      </c>
      <c r="N291" t="s">
        <v>1221</v>
      </c>
      <c r="O291">
        <v>3350</v>
      </c>
      <c r="P291">
        <v>800</v>
      </c>
      <c r="Q291">
        <v>1600</v>
      </c>
      <c r="R291" t="s">
        <v>1441</v>
      </c>
    </row>
    <row r="292" spans="1:18" x14ac:dyDescent="0.25">
      <c r="A292">
        <v>1537</v>
      </c>
      <c r="B292" t="s">
        <v>317</v>
      </c>
      <c r="C292" t="s">
        <v>102</v>
      </c>
      <c r="D292" t="str">
        <f t="shared" si="12"/>
        <v>Mahoney Collins</v>
      </c>
      <c r="E292" t="s">
        <v>1205</v>
      </c>
      <c r="F292" s="1">
        <v>45400</v>
      </c>
      <c r="G292" s="32" t="str">
        <f t="shared" si="13"/>
        <v>Apr</v>
      </c>
      <c r="H292">
        <v>1</v>
      </c>
      <c r="I292" t="str">
        <f t="shared" si="14"/>
        <v>Bronze</v>
      </c>
      <c r="J292" t="s">
        <v>14</v>
      </c>
      <c r="K292" s="17">
        <v>37713</v>
      </c>
      <c r="L292" s="17" t="s">
        <v>1220</v>
      </c>
      <c r="M292" t="s">
        <v>2255</v>
      </c>
      <c r="N292" t="s">
        <v>1226</v>
      </c>
      <c r="O292">
        <v>3220</v>
      </c>
      <c r="P292">
        <v>250</v>
      </c>
      <c r="Q292">
        <v>250</v>
      </c>
      <c r="R292" t="s">
        <v>1553</v>
      </c>
    </row>
    <row r="293" spans="1:18" x14ac:dyDescent="0.25">
      <c r="A293">
        <v>1545</v>
      </c>
      <c r="B293" t="s">
        <v>530</v>
      </c>
      <c r="C293" t="s">
        <v>302</v>
      </c>
      <c r="D293" t="str">
        <f t="shared" si="12"/>
        <v>Odom Annalise</v>
      </c>
      <c r="E293" t="s">
        <v>1205</v>
      </c>
      <c r="F293" s="1">
        <v>45401</v>
      </c>
      <c r="G293" s="32" t="str">
        <f t="shared" si="13"/>
        <v>Apr</v>
      </c>
      <c r="H293">
        <v>3</v>
      </c>
      <c r="I293" t="str">
        <f t="shared" si="14"/>
        <v>Gold</v>
      </c>
      <c r="J293" t="s">
        <v>1242</v>
      </c>
      <c r="K293" s="17">
        <v>11663</v>
      </c>
      <c r="L293" s="17" t="s">
        <v>1228</v>
      </c>
      <c r="M293" t="s">
        <v>2256</v>
      </c>
      <c r="N293" t="s">
        <v>1230</v>
      </c>
      <c r="O293">
        <v>7000</v>
      </c>
      <c r="P293">
        <v>250</v>
      </c>
      <c r="Q293">
        <v>750</v>
      </c>
      <c r="R293" t="s">
        <v>1561</v>
      </c>
    </row>
    <row r="294" spans="1:18" x14ac:dyDescent="0.25">
      <c r="A294">
        <v>1794</v>
      </c>
      <c r="B294" t="s">
        <v>822</v>
      </c>
      <c r="C294" t="s">
        <v>414</v>
      </c>
      <c r="D294" t="str">
        <f t="shared" si="12"/>
        <v>Hall Fernando</v>
      </c>
      <c r="E294" t="s">
        <v>1205</v>
      </c>
      <c r="F294" s="1">
        <v>45401</v>
      </c>
      <c r="G294" s="32" t="str">
        <f t="shared" si="13"/>
        <v>Apr</v>
      </c>
      <c r="H294">
        <v>3</v>
      </c>
      <c r="I294" t="str">
        <f t="shared" si="14"/>
        <v>Gold</v>
      </c>
      <c r="J294" t="s">
        <v>14</v>
      </c>
      <c r="K294" s="17">
        <v>47173</v>
      </c>
      <c r="L294" s="17" t="s">
        <v>1220</v>
      </c>
      <c r="M294" t="s">
        <v>2255</v>
      </c>
      <c r="N294" t="s">
        <v>1221</v>
      </c>
      <c r="O294">
        <v>3350</v>
      </c>
      <c r="P294">
        <v>250</v>
      </c>
      <c r="Q294">
        <v>750</v>
      </c>
      <c r="R294" t="s">
        <v>1811</v>
      </c>
    </row>
    <row r="295" spans="1:18" x14ac:dyDescent="0.25">
      <c r="A295">
        <v>1816</v>
      </c>
      <c r="B295" t="s">
        <v>843</v>
      </c>
      <c r="C295" t="s">
        <v>844</v>
      </c>
      <c r="D295" t="str">
        <f t="shared" si="12"/>
        <v>Hanna Rowan</v>
      </c>
      <c r="E295" t="s">
        <v>1205</v>
      </c>
      <c r="F295" s="1">
        <v>45401</v>
      </c>
      <c r="G295" s="32" t="str">
        <f t="shared" si="13"/>
        <v>Apr</v>
      </c>
      <c r="H295">
        <v>1</v>
      </c>
      <c r="I295" t="str">
        <f t="shared" si="14"/>
        <v>Bronze</v>
      </c>
      <c r="J295" t="s">
        <v>1242</v>
      </c>
      <c r="K295" s="17">
        <v>59633</v>
      </c>
      <c r="L295" s="17" t="s">
        <v>1228</v>
      </c>
      <c r="M295" t="s">
        <v>2252</v>
      </c>
      <c r="N295" t="s">
        <v>1240</v>
      </c>
      <c r="O295">
        <v>7310</v>
      </c>
      <c r="P295">
        <v>250</v>
      </c>
      <c r="Q295">
        <v>250</v>
      </c>
      <c r="R295" t="s">
        <v>1833</v>
      </c>
    </row>
    <row r="296" spans="1:18" x14ac:dyDescent="0.25">
      <c r="A296">
        <v>2048</v>
      </c>
      <c r="B296" t="s">
        <v>40</v>
      </c>
      <c r="C296" t="s">
        <v>1053</v>
      </c>
      <c r="D296" t="str">
        <f t="shared" si="12"/>
        <v>Rice Millie</v>
      </c>
      <c r="E296" t="s">
        <v>1208</v>
      </c>
      <c r="F296" s="1">
        <v>45401</v>
      </c>
      <c r="G296" s="32" t="str">
        <f t="shared" si="13"/>
        <v>Apr</v>
      </c>
      <c r="H296">
        <v>2</v>
      </c>
      <c r="I296" t="str">
        <f t="shared" si="14"/>
        <v>Silver</v>
      </c>
      <c r="J296" t="s">
        <v>18</v>
      </c>
      <c r="K296" s="17">
        <v>20321</v>
      </c>
      <c r="L296" s="17" t="s">
        <v>1222</v>
      </c>
      <c r="M296" t="s">
        <v>2256</v>
      </c>
      <c r="N296" t="s">
        <v>1231</v>
      </c>
      <c r="O296">
        <v>4870</v>
      </c>
      <c r="P296">
        <v>800</v>
      </c>
      <c r="Q296">
        <v>1600</v>
      </c>
      <c r="R296" t="s">
        <v>2065</v>
      </c>
    </row>
    <row r="297" spans="1:18" x14ac:dyDescent="0.25">
      <c r="A297">
        <v>1695</v>
      </c>
      <c r="B297" t="s">
        <v>474</v>
      </c>
      <c r="C297" t="s">
        <v>718</v>
      </c>
      <c r="D297" t="str">
        <f t="shared" si="12"/>
        <v>Kaur Matteo</v>
      </c>
      <c r="E297" t="s">
        <v>1248</v>
      </c>
      <c r="F297" s="1">
        <v>45402</v>
      </c>
      <c r="G297" s="32" t="str">
        <f t="shared" si="13"/>
        <v>Apr</v>
      </c>
      <c r="H297">
        <v>1</v>
      </c>
      <c r="I297" t="str">
        <f t="shared" si="14"/>
        <v>Bronze</v>
      </c>
      <c r="J297" t="s">
        <v>14</v>
      </c>
      <c r="K297" s="17">
        <v>40214</v>
      </c>
      <c r="L297" s="17" t="s">
        <v>1214</v>
      </c>
      <c r="M297" t="s">
        <v>2256</v>
      </c>
      <c r="N297" t="s">
        <v>1227</v>
      </c>
      <c r="O297">
        <v>6160</v>
      </c>
      <c r="P297">
        <v>300</v>
      </c>
      <c r="Q297">
        <v>300</v>
      </c>
      <c r="R297" t="s">
        <v>1712</v>
      </c>
    </row>
    <row r="298" spans="1:18" x14ac:dyDescent="0.25">
      <c r="A298">
        <v>1877</v>
      </c>
      <c r="B298" t="s">
        <v>906</v>
      </c>
      <c r="C298" t="s">
        <v>907</v>
      </c>
      <c r="D298" t="str">
        <f t="shared" si="12"/>
        <v>Mullins Regina</v>
      </c>
      <c r="E298" t="s">
        <v>1208</v>
      </c>
      <c r="F298" s="1">
        <v>45402</v>
      </c>
      <c r="G298" s="32" t="str">
        <f t="shared" si="13"/>
        <v>Apr</v>
      </c>
      <c r="H298">
        <v>3</v>
      </c>
      <c r="I298" t="str">
        <f t="shared" si="14"/>
        <v>Gold</v>
      </c>
      <c r="J298" t="s">
        <v>14</v>
      </c>
      <c r="K298" s="17">
        <v>74881</v>
      </c>
      <c r="L298" s="17" t="s">
        <v>1220</v>
      </c>
      <c r="M298" t="s">
        <v>2252</v>
      </c>
      <c r="N298" t="s">
        <v>1232</v>
      </c>
      <c r="O298">
        <v>3000</v>
      </c>
      <c r="P298">
        <v>800</v>
      </c>
      <c r="Q298">
        <v>2400</v>
      </c>
      <c r="R298" t="s">
        <v>1894</v>
      </c>
    </row>
    <row r="299" spans="1:18" x14ac:dyDescent="0.25">
      <c r="A299">
        <v>1396</v>
      </c>
      <c r="B299" t="s">
        <v>314</v>
      </c>
      <c r="C299" t="s">
        <v>90</v>
      </c>
      <c r="D299" t="str">
        <f t="shared" si="12"/>
        <v>Galindo Shiloh</v>
      </c>
      <c r="E299" t="s">
        <v>1208</v>
      </c>
      <c r="F299" s="1">
        <v>45403</v>
      </c>
      <c r="G299" s="32" t="str">
        <f t="shared" si="13"/>
        <v>Apr</v>
      </c>
      <c r="H299">
        <v>2</v>
      </c>
      <c r="I299" t="str">
        <f t="shared" si="14"/>
        <v>Silver</v>
      </c>
      <c r="J299" t="s">
        <v>14</v>
      </c>
      <c r="K299" s="17">
        <v>87491</v>
      </c>
      <c r="L299" s="17" t="s">
        <v>1214</v>
      </c>
      <c r="M299" t="s">
        <v>2253</v>
      </c>
      <c r="N299" t="s">
        <v>1227</v>
      </c>
      <c r="O299">
        <v>6160</v>
      </c>
      <c r="P299">
        <v>800</v>
      </c>
      <c r="Q299">
        <v>1600</v>
      </c>
      <c r="R299" t="s">
        <v>1412</v>
      </c>
    </row>
    <row r="300" spans="1:18" x14ac:dyDescent="0.25">
      <c r="A300">
        <v>1852</v>
      </c>
      <c r="B300" t="s">
        <v>624</v>
      </c>
      <c r="C300" t="s">
        <v>878</v>
      </c>
      <c r="D300" t="str">
        <f t="shared" si="12"/>
        <v>Lane Abraham</v>
      </c>
      <c r="E300" t="s">
        <v>1207</v>
      </c>
      <c r="F300" s="1">
        <v>45403</v>
      </c>
      <c r="G300" s="32" t="str">
        <f t="shared" si="13"/>
        <v>Apr</v>
      </c>
      <c r="H300">
        <v>2</v>
      </c>
      <c r="I300" t="str">
        <f t="shared" si="14"/>
        <v>Silver</v>
      </c>
      <c r="J300" t="s">
        <v>14</v>
      </c>
      <c r="K300" s="17">
        <v>94308</v>
      </c>
      <c r="L300" s="17" t="s">
        <v>1214</v>
      </c>
      <c r="M300" t="s">
        <v>2252</v>
      </c>
      <c r="N300" t="s">
        <v>1227</v>
      </c>
      <c r="O300">
        <v>6160</v>
      </c>
      <c r="P300">
        <v>250</v>
      </c>
      <c r="Q300">
        <v>500</v>
      </c>
      <c r="R300" t="s">
        <v>1869</v>
      </c>
    </row>
    <row r="301" spans="1:18" x14ac:dyDescent="0.25">
      <c r="A301">
        <v>1293</v>
      </c>
      <c r="B301" t="s">
        <v>140</v>
      </c>
      <c r="C301" t="s">
        <v>141</v>
      </c>
      <c r="D301" t="str">
        <f t="shared" si="12"/>
        <v>Baldwin Adalynn</v>
      </c>
      <c r="E301" t="s">
        <v>1249</v>
      </c>
      <c r="F301" s="1">
        <v>45404</v>
      </c>
      <c r="G301" s="32" t="str">
        <f t="shared" si="13"/>
        <v>Apr</v>
      </c>
      <c r="H301">
        <v>2</v>
      </c>
      <c r="I301" t="str">
        <f t="shared" si="14"/>
        <v>Silver</v>
      </c>
      <c r="J301" t="s">
        <v>1242</v>
      </c>
      <c r="K301" s="17">
        <v>6714</v>
      </c>
      <c r="L301" s="17" t="s">
        <v>1218</v>
      </c>
      <c r="M301" t="s">
        <v>2253</v>
      </c>
      <c r="N301" t="s">
        <v>836</v>
      </c>
      <c r="O301">
        <v>2000</v>
      </c>
      <c r="P301">
        <v>1200</v>
      </c>
      <c r="Q301">
        <v>2400</v>
      </c>
      <c r="R301" t="s">
        <v>1309</v>
      </c>
    </row>
    <row r="302" spans="1:18" x14ac:dyDescent="0.25">
      <c r="A302">
        <v>1930</v>
      </c>
      <c r="B302" t="s">
        <v>962</v>
      </c>
      <c r="C302" t="s">
        <v>750</v>
      </c>
      <c r="D302" t="str">
        <f t="shared" si="12"/>
        <v>Becker Eden</v>
      </c>
      <c r="E302" t="s">
        <v>1203</v>
      </c>
      <c r="F302" s="1">
        <v>45404</v>
      </c>
      <c r="G302" s="32" t="str">
        <f t="shared" si="13"/>
        <v>Apr</v>
      </c>
      <c r="H302">
        <v>1</v>
      </c>
      <c r="I302" t="str">
        <f t="shared" si="14"/>
        <v>Bronze</v>
      </c>
      <c r="J302" t="s">
        <v>1242</v>
      </c>
      <c r="K302" s="17">
        <v>29705</v>
      </c>
      <c r="L302" s="17" t="s">
        <v>1233</v>
      </c>
      <c r="M302" t="s">
        <v>2252</v>
      </c>
      <c r="N302" t="s">
        <v>1239</v>
      </c>
      <c r="O302">
        <v>870</v>
      </c>
      <c r="P302">
        <v>600</v>
      </c>
      <c r="Q302">
        <v>600</v>
      </c>
      <c r="R302" t="s">
        <v>1947</v>
      </c>
    </row>
    <row r="303" spans="1:18" x14ac:dyDescent="0.25">
      <c r="A303">
        <v>2037</v>
      </c>
      <c r="B303" t="s">
        <v>1042</v>
      </c>
      <c r="C303" t="s">
        <v>1043</v>
      </c>
      <c r="D303" t="str">
        <f t="shared" si="12"/>
        <v>Lang Gracelynn</v>
      </c>
      <c r="E303" t="s">
        <v>1248</v>
      </c>
      <c r="F303" s="1">
        <v>45404</v>
      </c>
      <c r="G303" s="32" t="str">
        <f t="shared" si="13"/>
        <v>Apr</v>
      </c>
      <c r="H303">
        <v>3</v>
      </c>
      <c r="I303" t="str">
        <f t="shared" si="14"/>
        <v>Gold</v>
      </c>
      <c r="J303" t="s">
        <v>1242</v>
      </c>
      <c r="K303" s="17">
        <v>75092</v>
      </c>
      <c r="L303" s="17" t="s">
        <v>1228</v>
      </c>
      <c r="M303" t="s">
        <v>2253</v>
      </c>
      <c r="N303" t="s">
        <v>1230</v>
      </c>
      <c r="O303">
        <v>7000</v>
      </c>
      <c r="P303">
        <v>300</v>
      </c>
      <c r="Q303">
        <v>900</v>
      </c>
      <c r="R303" t="s">
        <v>2054</v>
      </c>
    </row>
    <row r="304" spans="1:18" x14ac:dyDescent="0.25">
      <c r="A304">
        <v>2222</v>
      </c>
      <c r="B304" t="s">
        <v>869</v>
      </c>
      <c r="C304" t="s">
        <v>933</v>
      </c>
      <c r="D304" t="str">
        <f t="shared" si="12"/>
        <v>Gonzalez Sterling</v>
      </c>
      <c r="E304" t="s">
        <v>1249</v>
      </c>
      <c r="F304" s="1">
        <v>45404</v>
      </c>
      <c r="G304" s="32" t="str">
        <f t="shared" si="13"/>
        <v>Apr</v>
      </c>
      <c r="H304">
        <v>3</v>
      </c>
      <c r="I304" t="str">
        <f t="shared" si="14"/>
        <v>Gold</v>
      </c>
      <c r="J304" t="s">
        <v>14</v>
      </c>
      <c r="K304" s="17">
        <v>68826</v>
      </c>
      <c r="L304" s="17" t="s">
        <v>1214</v>
      </c>
      <c r="M304" t="s">
        <v>2253</v>
      </c>
      <c r="N304" t="s">
        <v>1227</v>
      </c>
      <c r="O304">
        <v>6160</v>
      </c>
      <c r="P304">
        <v>1200</v>
      </c>
      <c r="Q304">
        <v>3600</v>
      </c>
      <c r="R304" t="s">
        <v>2240</v>
      </c>
    </row>
    <row r="305" spans="1:18" x14ac:dyDescent="0.25">
      <c r="A305">
        <v>1538</v>
      </c>
      <c r="B305" t="s">
        <v>521</v>
      </c>
      <c r="C305" t="s">
        <v>518</v>
      </c>
      <c r="D305" t="str">
        <f t="shared" si="12"/>
        <v>Tate Cora</v>
      </c>
      <c r="E305" t="s">
        <v>1208</v>
      </c>
      <c r="F305" s="1">
        <v>45405</v>
      </c>
      <c r="G305" s="32" t="str">
        <f t="shared" si="13"/>
        <v>Apr</v>
      </c>
      <c r="H305">
        <v>1</v>
      </c>
      <c r="I305" t="str">
        <f t="shared" si="14"/>
        <v>Bronze</v>
      </c>
      <c r="J305" t="s">
        <v>1242</v>
      </c>
      <c r="K305" s="17">
        <v>6150</v>
      </c>
      <c r="L305" s="17" t="s">
        <v>1214</v>
      </c>
      <c r="M305" t="s">
        <v>2254</v>
      </c>
      <c r="N305" t="s">
        <v>1236</v>
      </c>
      <c r="O305">
        <v>6000</v>
      </c>
      <c r="P305">
        <v>800</v>
      </c>
      <c r="Q305">
        <v>800</v>
      </c>
      <c r="R305" t="s">
        <v>1554</v>
      </c>
    </row>
    <row r="306" spans="1:18" x14ac:dyDescent="0.25">
      <c r="A306">
        <v>1373</v>
      </c>
      <c r="B306" t="s">
        <v>279</v>
      </c>
      <c r="C306" t="s">
        <v>280</v>
      </c>
      <c r="D306" t="str">
        <f t="shared" si="12"/>
        <v>Shepherd Charli</v>
      </c>
      <c r="E306" t="s">
        <v>1249</v>
      </c>
      <c r="F306" s="1">
        <v>45405</v>
      </c>
      <c r="G306" s="32" t="str">
        <f t="shared" si="13"/>
        <v>Apr</v>
      </c>
      <c r="H306">
        <v>2</v>
      </c>
      <c r="I306" t="str">
        <f t="shared" si="14"/>
        <v>Silver</v>
      </c>
      <c r="J306" t="s">
        <v>1242</v>
      </c>
      <c r="K306" s="17">
        <v>65657</v>
      </c>
      <c r="L306" s="17" t="s">
        <v>1233</v>
      </c>
      <c r="M306" t="s">
        <v>2256</v>
      </c>
      <c r="N306" t="s">
        <v>1239</v>
      </c>
      <c r="O306">
        <v>870</v>
      </c>
      <c r="P306">
        <v>1200</v>
      </c>
      <c r="Q306">
        <v>2400</v>
      </c>
      <c r="R306" t="s">
        <v>1631</v>
      </c>
    </row>
    <row r="307" spans="1:18" x14ac:dyDescent="0.25">
      <c r="A307">
        <v>1328</v>
      </c>
      <c r="B307" t="s">
        <v>202</v>
      </c>
      <c r="C307" t="s">
        <v>203</v>
      </c>
      <c r="D307" t="str">
        <f t="shared" si="12"/>
        <v>Crawford Hugo</v>
      </c>
      <c r="E307" t="s">
        <v>1249</v>
      </c>
      <c r="F307" s="1">
        <v>45406</v>
      </c>
      <c r="G307" s="32" t="str">
        <f t="shared" si="13"/>
        <v>Apr</v>
      </c>
      <c r="H307">
        <v>3</v>
      </c>
      <c r="I307" t="str">
        <f t="shared" si="14"/>
        <v>Gold</v>
      </c>
      <c r="J307" t="s">
        <v>18</v>
      </c>
      <c r="K307" s="17">
        <v>73847</v>
      </c>
      <c r="L307" s="17" t="s">
        <v>1233</v>
      </c>
      <c r="M307" t="s">
        <v>2252</v>
      </c>
      <c r="N307" t="s">
        <v>1234</v>
      </c>
      <c r="O307">
        <v>800</v>
      </c>
      <c r="P307">
        <v>1200</v>
      </c>
      <c r="Q307">
        <v>3600</v>
      </c>
      <c r="R307" t="s">
        <v>1344</v>
      </c>
    </row>
    <row r="308" spans="1:18" x14ac:dyDescent="0.25">
      <c r="A308">
        <v>1334</v>
      </c>
      <c r="B308" t="s">
        <v>214</v>
      </c>
      <c r="C308" t="s">
        <v>215</v>
      </c>
      <c r="D308" t="str">
        <f t="shared" si="12"/>
        <v>Singh Zuri</v>
      </c>
      <c r="E308" t="s">
        <v>1205</v>
      </c>
      <c r="F308" s="1">
        <v>45407</v>
      </c>
      <c r="G308" s="32" t="str">
        <f t="shared" si="13"/>
        <v>Apr</v>
      </c>
      <c r="H308">
        <v>2</v>
      </c>
      <c r="I308" t="str">
        <f t="shared" si="14"/>
        <v>Silver</v>
      </c>
      <c r="J308" t="s">
        <v>14</v>
      </c>
      <c r="K308" s="17">
        <v>63594</v>
      </c>
      <c r="L308" s="17" t="s">
        <v>1233</v>
      </c>
      <c r="M308" t="s">
        <v>2255</v>
      </c>
      <c r="N308" t="s">
        <v>1234</v>
      </c>
      <c r="O308">
        <v>800</v>
      </c>
      <c r="P308">
        <v>250</v>
      </c>
      <c r="Q308">
        <v>500</v>
      </c>
      <c r="R308" t="s">
        <v>1350</v>
      </c>
    </row>
    <row r="309" spans="1:18" x14ac:dyDescent="0.25">
      <c r="A309">
        <v>1485</v>
      </c>
      <c r="B309" t="s">
        <v>454</v>
      </c>
      <c r="C309" t="s">
        <v>455</v>
      </c>
      <c r="D309" t="str">
        <f t="shared" si="12"/>
        <v>Lozano Lorenzo</v>
      </c>
      <c r="E309" t="s">
        <v>1205</v>
      </c>
      <c r="F309" s="1">
        <v>45409</v>
      </c>
      <c r="G309" s="32" t="str">
        <f t="shared" si="13"/>
        <v>Apr</v>
      </c>
      <c r="H309">
        <v>2</v>
      </c>
      <c r="I309" t="str">
        <f t="shared" si="14"/>
        <v>Silver</v>
      </c>
      <c r="J309" t="s">
        <v>1242</v>
      </c>
      <c r="K309" s="17">
        <v>78175</v>
      </c>
      <c r="L309" s="17" t="s">
        <v>1222</v>
      </c>
      <c r="M309" t="s">
        <v>2252</v>
      </c>
      <c r="N309" t="s">
        <v>1237</v>
      </c>
      <c r="O309">
        <v>4000</v>
      </c>
      <c r="P309">
        <v>250</v>
      </c>
      <c r="Q309">
        <v>500</v>
      </c>
      <c r="R309" t="s">
        <v>1501</v>
      </c>
    </row>
    <row r="310" spans="1:18" x14ac:dyDescent="0.25">
      <c r="A310">
        <v>1500</v>
      </c>
      <c r="B310" t="s">
        <v>474</v>
      </c>
      <c r="C310" t="s">
        <v>475</v>
      </c>
      <c r="D310" t="str">
        <f t="shared" si="12"/>
        <v>Kaur Athena</v>
      </c>
      <c r="E310" t="s">
        <v>1249</v>
      </c>
      <c r="F310" s="1">
        <v>45409</v>
      </c>
      <c r="G310" s="32" t="str">
        <f t="shared" si="13"/>
        <v>Apr</v>
      </c>
      <c r="H310">
        <v>1</v>
      </c>
      <c r="I310" t="str">
        <f t="shared" si="14"/>
        <v>Bronze</v>
      </c>
      <c r="J310" t="s">
        <v>1242</v>
      </c>
      <c r="K310" s="17">
        <v>37590</v>
      </c>
      <c r="L310" s="17" t="s">
        <v>1220</v>
      </c>
      <c r="M310" t="s">
        <v>2253</v>
      </c>
      <c r="N310" t="s">
        <v>1232</v>
      </c>
      <c r="O310">
        <v>3000</v>
      </c>
      <c r="P310">
        <v>1200</v>
      </c>
      <c r="Q310">
        <v>1200</v>
      </c>
      <c r="R310" t="s">
        <v>1516</v>
      </c>
    </row>
    <row r="311" spans="1:18" x14ac:dyDescent="0.25">
      <c r="A311">
        <v>1730</v>
      </c>
      <c r="B311" t="s">
        <v>206</v>
      </c>
      <c r="C311" t="s">
        <v>757</v>
      </c>
      <c r="D311" t="str">
        <f t="shared" si="12"/>
        <v>Weiss Ivan</v>
      </c>
      <c r="E311" t="s">
        <v>1249</v>
      </c>
      <c r="F311" s="1">
        <v>45409</v>
      </c>
      <c r="G311" s="32" t="str">
        <f t="shared" si="13"/>
        <v>Apr</v>
      </c>
      <c r="H311">
        <v>2</v>
      </c>
      <c r="I311" t="str">
        <f t="shared" si="14"/>
        <v>Silver</v>
      </c>
      <c r="J311" t="s">
        <v>1242</v>
      </c>
      <c r="K311" s="17">
        <v>62647</v>
      </c>
      <c r="L311" s="17" t="s">
        <v>1220</v>
      </c>
      <c r="M311" t="s">
        <v>2253</v>
      </c>
      <c r="N311" t="s">
        <v>1232</v>
      </c>
      <c r="O311">
        <v>3000</v>
      </c>
      <c r="P311">
        <v>1200</v>
      </c>
      <c r="Q311">
        <v>2400</v>
      </c>
      <c r="R311" t="s">
        <v>1747</v>
      </c>
    </row>
    <row r="312" spans="1:18" x14ac:dyDescent="0.25">
      <c r="A312">
        <v>1453</v>
      </c>
      <c r="B312" t="s">
        <v>406</v>
      </c>
      <c r="C312" t="s">
        <v>407</v>
      </c>
      <c r="D312" t="str">
        <f t="shared" si="12"/>
        <v>Sierra Dante</v>
      </c>
      <c r="E312" t="s">
        <v>1249</v>
      </c>
      <c r="F312" s="1">
        <v>45410</v>
      </c>
      <c r="G312" s="32" t="str">
        <f t="shared" si="13"/>
        <v>Apr</v>
      </c>
      <c r="H312">
        <v>2</v>
      </c>
      <c r="I312" t="str">
        <f t="shared" si="14"/>
        <v>Silver</v>
      </c>
      <c r="J312" t="s">
        <v>1242</v>
      </c>
      <c r="K312" s="17">
        <v>87660</v>
      </c>
      <c r="L312" s="17" t="s">
        <v>1228</v>
      </c>
      <c r="M312" t="s">
        <v>2255</v>
      </c>
      <c r="N312" t="s">
        <v>1230</v>
      </c>
      <c r="O312">
        <v>7000</v>
      </c>
      <c r="P312">
        <v>1200</v>
      </c>
      <c r="Q312">
        <v>2400</v>
      </c>
      <c r="R312" t="s">
        <v>1469</v>
      </c>
    </row>
    <row r="313" spans="1:18" x14ac:dyDescent="0.25">
      <c r="A313">
        <v>1319</v>
      </c>
      <c r="B313" t="s">
        <v>186</v>
      </c>
      <c r="C313" t="s">
        <v>187</v>
      </c>
      <c r="D313" t="str">
        <f t="shared" si="12"/>
        <v>Truong Nina</v>
      </c>
      <c r="E313" t="s">
        <v>1249</v>
      </c>
      <c r="F313" s="1">
        <v>45411</v>
      </c>
      <c r="G313" s="32" t="str">
        <f t="shared" si="13"/>
        <v>Apr</v>
      </c>
      <c r="H313">
        <v>2</v>
      </c>
      <c r="I313" t="str">
        <f t="shared" si="14"/>
        <v>Silver</v>
      </c>
      <c r="J313" t="s">
        <v>14</v>
      </c>
      <c r="K313" s="17">
        <v>69174</v>
      </c>
      <c r="L313" s="17" t="s">
        <v>1228</v>
      </c>
      <c r="M313" t="s">
        <v>2253</v>
      </c>
      <c r="N313" t="s">
        <v>1229</v>
      </c>
      <c r="O313">
        <v>7250</v>
      </c>
      <c r="P313">
        <v>1200</v>
      </c>
      <c r="Q313">
        <v>2400</v>
      </c>
      <c r="R313" t="s">
        <v>1335</v>
      </c>
    </row>
    <row r="314" spans="1:18" x14ac:dyDescent="0.25">
      <c r="A314">
        <v>1572</v>
      </c>
      <c r="B314" t="s">
        <v>570</v>
      </c>
      <c r="C314" t="s">
        <v>159</v>
      </c>
      <c r="D314" t="str">
        <f t="shared" si="12"/>
        <v>Hammond Rosie</v>
      </c>
      <c r="E314" t="s">
        <v>1208</v>
      </c>
      <c r="F314" s="1">
        <v>45411</v>
      </c>
      <c r="G314" s="32" t="str">
        <f t="shared" si="13"/>
        <v>Apr</v>
      </c>
      <c r="H314">
        <v>3</v>
      </c>
      <c r="I314" t="str">
        <f t="shared" si="14"/>
        <v>Gold</v>
      </c>
      <c r="J314" t="s">
        <v>1242</v>
      </c>
      <c r="K314" s="17">
        <v>49586</v>
      </c>
      <c r="L314" s="17" t="s">
        <v>1228</v>
      </c>
      <c r="M314" t="s">
        <v>2255</v>
      </c>
      <c r="N314" t="s">
        <v>1229</v>
      </c>
      <c r="O314">
        <v>7250</v>
      </c>
      <c r="P314">
        <v>800</v>
      </c>
      <c r="Q314">
        <v>2400</v>
      </c>
      <c r="R314" t="s">
        <v>1588</v>
      </c>
    </row>
    <row r="315" spans="1:18" x14ac:dyDescent="0.25">
      <c r="A315">
        <v>1585</v>
      </c>
      <c r="B315" t="s">
        <v>585</v>
      </c>
      <c r="C315" t="s">
        <v>346</v>
      </c>
      <c r="D315" t="str">
        <f t="shared" si="12"/>
        <v>Norman Calvin</v>
      </c>
      <c r="E315" t="s">
        <v>1249</v>
      </c>
      <c r="F315" s="1">
        <v>45411</v>
      </c>
      <c r="G315" s="32" t="str">
        <f t="shared" si="13"/>
        <v>Apr</v>
      </c>
      <c r="H315">
        <v>1</v>
      </c>
      <c r="I315" t="str">
        <f t="shared" si="14"/>
        <v>Bronze</v>
      </c>
      <c r="J315" t="s">
        <v>18</v>
      </c>
      <c r="K315" s="17">
        <v>74413</v>
      </c>
      <c r="L315" s="17" t="s">
        <v>1214</v>
      </c>
      <c r="M315" t="s">
        <v>2254</v>
      </c>
      <c r="N315" t="s">
        <v>1227</v>
      </c>
      <c r="O315">
        <v>6160</v>
      </c>
      <c r="P315">
        <v>1200</v>
      </c>
      <c r="Q315">
        <v>1200</v>
      </c>
      <c r="R315" t="s">
        <v>1601</v>
      </c>
    </row>
    <row r="316" spans="1:18" x14ac:dyDescent="0.25">
      <c r="A316">
        <v>1864</v>
      </c>
      <c r="B316" t="s">
        <v>894</v>
      </c>
      <c r="C316" t="s">
        <v>444</v>
      </c>
      <c r="D316" t="str">
        <f t="shared" si="12"/>
        <v>Page Cairo</v>
      </c>
      <c r="E316" t="s">
        <v>1208</v>
      </c>
      <c r="F316" s="1">
        <v>45411</v>
      </c>
      <c r="G316" s="32" t="str">
        <f t="shared" si="13"/>
        <v>Apr</v>
      </c>
      <c r="H316">
        <v>2</v>
      </c>
      <c r="I316" t="str">
        <f t="shared" si="14"/>
        <v>Silver</v>
      </c>
      <c r="J316" t="s">
        <v>14</v>
      </c>
      <c r="K316" s="17">
        <v>76892</v>
      </c>
      <c r="L316" s="17" t="s">
        <v>1218</v>
      </c>
      <c r="M316" t="s">
        <v>2255</v>
      </c>
      <c r="N316" t="s">
        <v>1235</v>
      </c>
      <c r="O316">
        <v>2500</v>
      </c>
      <c r="P316">
        <v>800</v>
      </c>
      <c r="Q316">
        <v>1600</v>
      </c>
      <c r="R316" t="s">
        <v>1881</v>
      </c>
    </row>
    <row r="317" spans="1:18" x14ac:dyDescent="0.25">
      <c r="A317">
        <v>1936</v>
      </c>
      <c r="B317" t="s">
        <v>954</v>
      </c>
      <c r="C317" t="s">
        <v>833</v>
      </c>
      <c r="D317" t="str">
        <f t="shared" si="12"/>
        <v>Quinn Steven</v>
      </c>
      <c r="E317" t="s">
        <v>1208</v>
      </c>
      <c r="F317" s="1">
        <v>45411</v>
      </c>
      <c r="G317" s="32" t="str">
        <f t="shared" si="13"/>
        <v>Apr</v>
      </c>
      <c r="H317">
        <v>2</v>
      </c>
      <c r="I317" t="str">
        <f t="shared" si="14"/>
        <v>Silver</v>
      </c>
      <c r="J317" t="s">
        <v>1242</v>
      </c>
      <c r="K317" s="17">
        <v>90013</v>
      </c>
      <c r="L317" s="17" t="s">
        <v>1216</v>
      </c>
      <c r="M317" t="s">
        <v>2256</v>
      </c>
      <c r="N317" t="s">
        <v>1217</v>
      </c>
      <c r="O317">
        <v>2600</v>
      </c>
      <c r="P317">
        <v>800</v>
      </c>
      <c r="Q317">
        <v>1600</v>
      </c>
      <c r="R317" t="s">
        <v>1953</v>
      </c>
    </row>
    <row r="318" spans="1:18" x14ac:dyDescent="0.25">
      <c r="A318">
        <v>2056</v>
      </c>
      <c r="B318" t="s">
        <v>629</v>
      </c>
      <c r="C318" t="s">
        <v>596</v>
      </c>
      <c r="D318" t="str">
        <f t="shared" si="12"/>
        <v>Frost Kyler</v>
      </c>
      <c r="E318" t="s">
        <v>1207</v>
      </c>
      <c r="F318" s="1">
        <v>45411</v>
      </c>
      <c r="G318" s="32" t="str">
        <f t="shared" si="13"/>
        <v>Apr</v>
      </c>
      <c r="H318">
        <v>2</v>
      </c>
      <c r="I318" t="str">
        <f t="shared" si="14"/>
        <v>Silver</v>
      </c>
      <c r="J318" t="s">
        <v>14</v>
      </c>
      <c r="K318" s="17">
        <v>95026</v>
      </c>
      <c r="L318" s="17" t="s">
        <v>1228</v>
      </c>
      <c r="M318" t="s">
        <v>2256</v>
      </c>
      <c r="N318" t="s">
        <v>1240</v>
      </c>
      <c r="O318">
        <v>7310</v>
      </c>
      <c r="P318">
        <v>250</v>
      </c>
      <c r="Q318">
        <v>500</v>
      </c>
      <c r="R318" t="s">
        <v>2073</v>
      </c>
    </row>
    <row r="319" spans="1:18" x14ac:dyDescent="0.25">
      <c r="A319">
        <v>1342</v>
      </c>
      <c r="B319" t="s">
        <v>227</v>
      </c>
      <c r="C319" t="s">
        <v>228</v>
      </c>
      <c r="D319" t="str">
        <f t="shared" si="12"/>
        <v>Jarvis Adelina</v>
      </c>
      <c r="E319" t="s">
        <v>1249</v>
      </c>
      <c r="F319" s="1">
        <v>45412</v>
      </c>
      <c r="G319" s="32" t="str">
        <f t="shared" si="13"/>
        <v>Apr</v>
      </c>
      <c r="H319">
        <v>1</v>
      </c>
      <c r="I319" t="str">
        <f t="shared" si="14"/>
        <v>Bronze</v>
      </c>
      <c r="J319" t="s">
        <v>1242</v>
      </c>
      <c r="K319" s="17">
        <v>76592</v>
      </c>
      <c r="L319" s="17" t="s">
        <v>1222</v>
      </c>
      <c r="M319" t="s">
        <v>2256</v>
      </c>
      <c r="N319" t="s">
        <v>1237</v>
      </c>
      <c r="O319">
        <v>4000</v>
      </c>
      <c r="P319">
        <v>1200</v>
      </c>
      <c r="Q319">
        <v>1200</v>
      </c>
      <c r="R319" t="s">
        <v>1358</v>
      </c>
    </row>
    <row r="320" spans="1:18" x14ac:dyDescent="0.25">
      <c r="A320">
        <v>1515</v>
      </c>
      <c r="B320" t="s">
        <v>495</v>
      </c>
      <c r="C320" t="s">
        <v>496</v>
      </c>
      <c r="D320" t="str">
        <f t="shared" si="12"/>
        <v>Dodson Noah</v>
      </c>
      <c r="E320" t="s">
        <v>1248</v>
      </c>
      <c r="F320" s="1">
        <v>45413</v>
      </c>
      <c r="G320" s="32" t="str">
        <f t="shared" si="13"/>
        <v>May</v>
      </c>
      <c r="H320">
        <v>2</v>
      </c>
      <c r="I320" t="str">
        <f t="shared" si="14"/>
        <v>Silver</v>
      </c>
      <c r="J320" t="s">
        <v>1242</v>
      </c>
      <c r="K320" s="17">
        <v>10013</v>
      </c>
      <c r="L320" s="17" t="s">
        <v>1224</v>
      </c>
      <c r="M320" t="s">
        <v>2256</v>
      </c>
      <c r="N320" t="s">
        <v>1238</v>
      </c>
      <c r="O320">
        <v>5600</v>
      </c>
      <c r="P320">
        <v>300</v>
      </c>
      <c r="Q320">
        <v>600</v>
      </c>
      <c r="R320" t="s">
        <v>1531</v>
      </c>
    </row>
    <row r="321" spans="1:18" x14ac:dyDescent="0.25">
      <c r="A321">
        <v>2086</v>
      </c>
      <c r="B321" t="s">
        <v>378</v>
      </c>
      <c r="C321" t="s">
        <v>1032</v>
      </c>
      <c r="D321" t="str">
        <f t="shared" si="12"/>
        <v>Huerta Liliana</v>
      </c>
      <c r="E321" t="s">
        <v>1203</v>
      </c>
      <c r="F321" s="1">
        <v>45413</v>
      </c>
      <c r="G321" s="32" t="str">
        <f t="shared" si="13"/>
        <v>May</v>
      </c>
      <c r="H321">
        <v>3</v>
      </c>
      <c r="I321" t="str">
        <f t="shared" si="14"/>
        <v>Gold</v>
      </c>
      <c r="J321" t="s">
        <v>1242</v>
      </c>
      <c r="K321" s="17">
        <v>69103</v>
      </c>
      <c r="L321" s="17" t="s">
        <v>1220</v>
      </c>
      <c r="M321" t="s">
        <v>2252</v>
      </c>
      <c r="N321" t="s">
        <v>1226</v>
      </c>
      <c r="O321">
        <v>3220</v>
      </c>
      <c r="P321">
        <v>600</v>
      </c>
      <c r="Q321">
        <v>1800</v>
      </c>
      <c r="R321" t="s">
        <v>2103</v>
      </c>
    </row>
    <row r="322" spans="1:18" x14ac:dyDescent="0.25">
      <c r="A322">
        <v>1244</v>
      </c>
      <c r="B322" t="s">
        <v>46</v>
      </c>
      <c r="C322" t="s">
        <v>47</v>
      </c>
      <c r="D322" t="str">
        <f t="shared" ref="D322:D385" si="15">CONCATENATE(B322, " ", C322)</f>
        <v>Olson Walter</v>
      </c>
      <c r="E322" t="s">
        <v>1205</v>
      </c>
      <c r="F322" s="1">
        <v>45414</v>
      </c>
      <c r="G322" s="32" t="str">
        <f t="shared" ref="G322:G385" si="16">TEXT(F322, "MMM")</f>
        <v>May</v>
      </c>
      <c r="H322">
        <v>1</v>
      </c>
      <c r="I322" t="str">
        <f t="shared" ref="I322:I385" si="17">IF(H322=1,"Bronze",IF(H322=2,"Silver",IF(H322=3,"Gold")))</f>
        <v>Bronze</v>
      </c>
      <c r="J322" t="s">
        <v>14</v>
      </c>
      <c r="K322" s="17">
        <v>32742</v>
      </c>
      <c r="L322" s="17" t="s">
        <v>1222</v>
      </c>
      <c r="M322" t="s">
        <v>2254</v>
      </c>
      <c r="N322" t="s">
        <v>1231</v>
      </c>
      <c r="O322">
        <v>4870</v>
      </c>
      <c r="P322">
        <v>250</v>
      </c>
      <c r="Q322">
        <v>250</v>
      </c>
      <c r="R322" t="s">
        <v>1260</v>
      </c>
    </row>
    <row r="323" spans="1:18" x14ac:dyDescent="0.25">
      <c r="A323">
        <v>1459</v>
      </c>
      <c r="B323" t="s">
        <v>404</v>
      </c>
      <c r="C323" t="s">
        <v>415</v>
      </c>
      <c r="D323" t="str">
        <f t="shared" si="15"/>
        <v>Baker Marley</v>
      </c>
      <c r="E323" t="s">
        <v>1208</v>
      </c>
      <c r="F323" s="1">
        <v>45414</v>
      </c>
      <c r="G323" s="32" t="str">
        <f t="shared" si="16"/>
        <v>May</v>
      </c>
      <c r="H323">
        <v>2</v>
      </c>
      <c r="I323" t="str">
        <f t="shared" si="17"/>
        <v>Silver</v>
      </c>
      <c r="J323" t="s">
        <v>1242</v>
      </c>
      <c r="K323" s="17">
        <v>83005</v>
      </c>
      <c r="L323" s="17" t="s">
        <v>1228</v>
      </c>
      <c r="M323" t="s">
        <v>2255</v>
      </c>
      <c r="N323" t="s">
        <v>1240</v>
      </c>
      <c r="O323">
        <v>7310</v>
      </c>
      <c r="P323">
        <v>800</v>
      </c>
      <c r="Q323">
        <v>1600</v>
      </c>
      <c r="R323" t="s">
        <v>1475</v>
      </c>
    </row>
    <row r="324" spans="1:18" x14ac:dyDescent="0.25">
      <c r="A324">
        <v>1642</v>
      </c>
      <c r="B324" t="s">
        <v>650</v>
      </c>
      <c r="C324" t="s">
        <v>651</v>
      </c>
      <c r="D324" t="str">
        <f t="shared" si="15"/>
        <v>Wilkinson Maeve</v>
      </c>
      <c r="E324" t="s">
        <v>1248</v>
      </c>
      <c r="F324" s="1">
        <v>45414</v>
      </c>
      <c r="G324" s="32" t="str">
        <f t="shared" si="16"/>
        <v>May</v>
      </c>
      <c r="H324">
        <v>3</v>
      </c>
      <c r="I324" t="str">
        <f t="shared" si="17"/>
        <v>Gold</v>
      </c>
      <c r="J324" t="s">
        <v>1243</v>
      </c>
      <c r="K324" s="17">
        <v>95919</v>
      </c>
      <c r="L324" s="17" t="s">
        <v>1222</v>
      </c>
      <c r="M324" t="s">
        <v>2253</v>
      </c>
      <c r="N324" t="s">
        <v>1237</v>
      </c>
      <c r="O324">
        <v>4000</v>
      </c>
      <c r="P324">
        <v>300</v>
      </c>
      <c r="Q324">
        <v>900</v>
      </c>
      <c r="R324" t="s">
        <v>1659</v>
      </c>
    </row>
    <row r="325" spans="1:18" x14ac:dyDescent="0.25">
      <c r="A325">
        <v>1953</v>
      </c>
      <c r="B325" t="s">
        <v>275</v>
      </c>
      <c r="C325" t="s">
        <v>824</v>
      </c>
      <c r="D325" t="str">
        <f t="shared" si="15"/>
        <v>Velazquez Rhys</v>
      </c>
      <c r="E325" t="s">
        <v>1207</v>
      </c>
      <c r="F325" s="1">
        <v>45414</v>
      </c>
      <c r="G325" s="32" t="str">
        <f t="shared" si="16"/>
        <v>May</v>
      </c>
      <c r="H325">
        <v>1</v>
      </c>
      <c r="I325" t="str">
        <f t="shared" si="17"/>
        <v>Bronze</v>
      </c>
      <c r="J325" t="s">
        <v>14</v>
      </c>
      <c r="K325" s="17">
        <v>68948</v>
      </c>
      <c r="L325" s="17" t="s">
        <v>1228</v>
      </c>
      <c r="M325" t="s">
        <v>2256</v>
      </c>
      <c r="N325" t="s">
        <v>1230</v>
      </c>
      <c r="O325">
        <v>7000</v>
      </c>
      <c r="P325">
        <v>250</v>
      </c>
      <c r="Q325">
        <v>250</v>
      </c>
      <c r="R325" t="s">
        <v>1970</v>
      </c>
    </row>
    <row r="326" spans="1:18" x14ac:dyDescent="0.25">
      <c r="A326">
        <v>1618</v>
      </c>
      <c r="B326" t="s">
        <v>483</v>
      </c>
      <c r="C326" t="s">
        <v>622</v>
      </c>
      <c r="D326" t="str">
        <f t="shared" si="15"/>
        <v>Duran Amara</v>
      </c>
      <c r="E326" t="s">
        <v>1248</v>
      </c>
      <c r="F326" s="1">
        <v>45415</v>
      </c>
      <c r="G326" s="32" t="str">
        <f t="shared" si="16"/>
        <v>May</v>
      </c>
      <c r="H326">
        <v>3</v>
      </c>
      <c r="I326" t="str">
        <f t="shared" si="17"/>
        <v>Gold</v>
      </c>
      <c r="J326" t="s">
        <v>14</v>
      </c>
      <c r="K326" s="17">
        <v>82129</v>
      </c>
      <c r="L326" s="17" t="s">
        <v>1216</v>
      </c>
      <c r="M326" t="s">
        <v>2256</v>
      </c>
      <c r="N326" t="s">
        <v>1217</v>
      </c>
      <c r="O326">
        <v>2600</v>
      </c>
      <c r="P326">
        <v>300</v>
      </c>
      <c r="Q326">
        <v>900</v>
      </c>
      <c r="R326" t="s">
        <v>1635</v>
      </c>
    </row>
    <row r="327" spans="1:18" x14ac:dyDescent="0.25">
      <c r="A327">
        <v>1520</v>
      </c>
      <c r="B327" t="s">
        <v>502</v>
      </c>
      <c r="C327" t="s">
        <v>344</v>
      </c>
      <c r="D327" t="str">
        <f t="shared" si="15"/>
        <v>Gibbs Patrick</v>
      </c>
      <c r="E327" t="s">
        <v>1207</v>
      </c>
      <c r="F327" s="1">
        <v>45416</v>
      </c>
      <c r="G327" s="32" t="str">
        <f t="shared" si="16"/>
        <v>May</v>
      </c>
      <c r="H327">
        <v>2</v>
      </c>
      <c r="I327" t="str">
        <f t="shared" si="17"/>
        <v>Silver</v>
      </c>
      <c r="J327" t="s">
        <v>1242</v>
      </c>
      <c r="K327" s="17">
        <v>4570</v>
      </c>
      <c r="L327" s="17" t="s">
        <v>1224</v>
      </c>
      <c r="M327" t="s">
        <v>2255</v>
      </c>
      <c r="N327" t="s">
        <v>1064</v>
      </c>
      <c r="O327">
        <v>5000</v>
      </c>
      <c r="P327">
        <v>250</v>
      </c>
      <c r="Q327">
        <v>500</v>
      </c>
      <c r="R327" t="s">
        <v>1536</v>
      </c>
    </row>
    <row r="328" spans="1:18" x14ac:dyDescent="0.25">
      <c r="A328">
        <v>1471</v>
      </c>
      <c r="B328" t="s">
        <v>36</v>
      </c>
      <c r="C328" t="s">
        <v>432</v>
      </c>
      <c r="D328" t="str">
        <f t="shared" si="15"/>
        <v>Jacobs Thomas</v>
      </c>
      <c r="E328" t="s">
        <v>1249</v>
      </c>
      <c r="F328" s="1">
        <v>45417</v>
      </c>
      <c r="G328" s="32" t="str">
        <f t="shared" si="16"/>
        <v>May</v>
      </c>
      <c r="H328">
        <v>2</v>
      </c>
      <c r="I328" t="str">
        <f t="shared" si="17"/>
        <v>Silver</v>
      </c>
      <c r="J328" t="s">
        <v>14</v>
      </c>
      <c r="K328" s="17">
        <v>67667</v>
      </c>
      <c r="L328" s="17" t="s">
        <v>1224</v>
      </c>
      <c r="M328" t="s">
        <v>2254</v>
      </c>
      <c r="N328" t="s">
        <v>1225</v>
      </c>
      <c r="O328">
        <v>5290</v>
      </c>
      <c r="P328">
        <v>1200</v>
      </c>
      <c r="Q328">
        <v>2400</v>
      </c>
      <c r="R328" t="s">
        <v>1487</v>
      </c>
    </row>
    <row r="329" spans="1:18" x14ac:dyDescent="0.25">
      <c r="A329">
        <v>1821</v>
      </c>
      <c r="B329" t="s">
        <v>117</v>
      </c>
      <c r="C329" t="s">
        <v>774</v>
      </c>
      <c r="D329" t="str">
        <f t="shared" si="15"/>
        <v>Buck Julian</v>
      </c>
      <c r="E329" t="s">
        <v>1205</v>
      </c>
      <c r="F329" s="1">
        <v>45417</v>
      </c>
      <c r="G329" s="32" t="str">
        <f t="shared" si="16"/>
        <v>May</v>
      </c>
      <c r="H329">
        <v>3</v>
      </c>
      <c r="I329" t="str">
        <f t="shared" si="17"/>
        <v>Gold</v>
      </c>
      <c r="J329" t="s">
        <v>1242</v>
      </c>
      <c r="K329" s="17">
        <v>15998</v>
      </c>
      <c r="L329" s="17" t="s">
        <v>1224</v>
      </c>
      <c r="M329" t="s">
        <v>2255</v>
      </c>
      <c r="N329" t="s">
        <v>1064</v>
      </c>
      <c r="O329">
        <v>5000</v>
      </c>
      <c r="P329">
        <v>250</v>
      </c>
      <c r="Q329">
        <v>750</v>
      </c>
      <c r="R329" t="s">
        <v>1838</v>
      </c>
    </row>
    <row r="330" spans="1:18" x14ac:dyDescent="0.25">
      <c r="A330">
        <v>1955</v>
      </c>
      <c r="B330" t="s">
        <v>841</v>
      </c>
      <c r="C330" t="s">
        <v>982</v>
      </c>
      <c r="D330" t="str">
        <f t="shared" si="15"/>
        <v>Vaughan Autumn</v>
      </c>
      <c r="E330" t="s">
        <v>1248</v>
      </c>
      <c r="F330" s="1">
        <v>45417</v>
      </c>
      <c r="G330" s="32" t="str">
        <f t="shared" si="16"/>
        <v>May</v>
      </c>
      <c r="H330">
        <v>2</v>
      </c>
      <c r="I330" t="str">
        <f t="shared" si="17"/>
        <v>Silver</v>
      </c>
      <c r="J330" t="s">
        <v>18</v>
      </c>
      <c r="K330" s="17">
        <v>31675</v>
      </c>
      <c r="L330" s="17" t="s">
        <v>1222</v>
      </c>
      <c r="M330" t="s">
        <v>2254</v>
      </c>
      <c r="N330" t="s">
        <v>1237</v>
      </c>
      <c r="O330">
        <v>4000</v>
      </c>
      <c r="P330">
        <v>300</v>
      </c>
      <c r="Q330">
        <v>600</v>
      </c>
      <c r="R330" t="s">
        <v>1972</v>
      </c>
    </row>
    <row r="331" spans="1:18" x14ac:dyDescent="0.25">
      <c r="A331">
        <v>1234</v>
      </c>
      <c r="B331" t="s">
        <v>26</v>
      </c>
      <c r="C331" t="s">
        <v>27</v>
      </c>
      <c r="D331" t="str">
        <f t="shared" si="15"/>
        <v>Hughes Lewis</v>
      </c>
      <c r="E331" t="s">
        <v>1205</v>
      </c>
      <c r="F331" s="1">
        <v>45418</v>
      </c>
      <c r="G331" s="32" t="str">
        <f t="shared" si="16"/>
        <v>May</v>
      </c>
      <c r="H331">
        <v>1</v>
      </c>
      <c r="I331" t="str">
        <f t="shared" si="17"/>
        <v>Bronze</v>
      </c>
      <c r="J331" t="s">
        <v>14</v>
      </c>
      <c r="K331" s="17">
        <v>54113</v>
      </c>
      <c r="L331" s="17" t="s">
        <v>1214</v>
      </c>
      <c r="M331" t="s">
        <v>2252</v>
      </c>
      <c r="N331" t="s">
        <v>1215</v>
      </c>
      <c r="O331">
        <v>6725</v>
      </c>
      <c r="P331">
        <v>250</v>
      </c>
      <c r="Q331">
        <v>250</v>
      </c>
      <c r="R331" t="s">
        <v>1250</v>
      </c>
    </row>
    <row r="332" spans="1:18" x14ac:dyDescent="0.25">
      <c r="A332">
        <v>1885</v>
      </c>
      <c r="B332" t="s">
        <v>283</v>
      </c>
      <c r="C332" t="s">
        <v>914</v>
      </c>
      <c r="D332" t="str">
        <f t="shared" si="15"/>
        <v>Powell Katherine</v>
      </c>
      <c r="E332" t="s">
        <v>1207</v>
      </c>
      <c r="F332" s="1">
        <v>45418</v>
      </c>
      <c r="G332" s="32" t="str">
        <f t="shared" si="16"/>
        <v>May</v>
      </c>
      <c r="H332">
        <v>1</v>
      </c>
      <c r="I332" t="str">
        <f t="shared" si="17"/>
        <v>Bronze</v>
      </c>
      <c r="J332" t="s">
        <v>1242</v>
      </c>
      <c r="K332" s="17">
        <v>80610</v>
      </c>
      <c r="L332" s="17" t="s">
        <v>1224</v>
      </c>
      <c r="M332" t="s">
        <v>2254</v>
      </c>
      <c r="N332" t="s">
        <v>1238</v>
      </c>
      <c r="O332">
        <v>5600</v>
      </c>
      <c r="P332">
        <v>250</v>
      </c>
      <c r="Q332">
        <v>250</v>
      </c>
      <c r="R332" t="s">
        <v>1902</v>
      </c>
    </row>
    <row r="333" spans="1:18" x14ac:dyDescent="0.25">
      <c r="A333">
        <v>1634</v>
      </c>
      <c r="B333" t="s">
        <v>638</v>
      </c>
      <c r="C333" t="s">
        <v>639</v>
      </c>
      <c r="D333" t="str">
        <f t="shared" si="15"/>
        <v>Haley Nathan</v>
      </c>
      <c r="E333" t="s">
        <v>1208</v>
      </c>
      <c r="F333" s="1">
        <v>45419</v>
      </c>
      <c r="G333" s="32" t="str">
        <f t="shared" si="16"/>
        <v>May</v>
      </c>
      <c r="H333">
        <v>3</v>
      </c>
      <c r="I333" t="str">
        <f t="shared" si="17"/>
        <v>Gold</v>
      </c>
      <c r="J333" t="s">
        <v>1242</v>
      </c>
      <c r="K333" s="17">
        <v>57829</v>
      </c>
      <c r="L333" s="17" t="s">
        <v>1233</v>
      </c>
      <c r="M333" t="s">
        <v>2256</v>
      </c>
      <c r="N333" t="s">
        <v>1234</v>
      </c>
      <c r="O333">
        <v>800</v>
      </c>
      <c r="P333">
        <v>800</v>
      </c>
      <c r="Q333">
        <v>2400</v>
      </c>
      <c r="R333" t="s">
        <v>1651</v>
      </c>
    </row>
    <row r="334" spans="1:18" x14ac:dyDescent="0.25">
      <c r="A334">
        <v>1991</v>
      </c>
      <c r="B334" t="s">
        <v>50</v>
      </c>
      <c r="C334" t="s">
        <v>1010</v>
      </c>
      <c r="D334" t="str">
        <f t="shared" si="15"/>
        <v>Holt Jimena</v>
      </c>
      <c r="E334" t="s">
        <v>1248</v>
      </c>
      <c r="F334" s="1">
        <v>45419</v>
      </c>
      <c r="G334" s="32" t="str">
        <f t="shared" si="16"/>
        <v>May</v>
      </c>
      <c r="H334">
        <v>2</v>
      </c>
      <c r="I334" t="str">
        <f t="shared" si="17"/>
        <v>Silver</v>
      </c>
      <c r="J334" t="s">
        <v>14</v>
      </c>
      <c r="K334" s="17">
        <v>84314</v>
      </c>
      <c r="L334" s="17" t="s">
        <v>1233</v>
      </c>
      <c r="M334" t="s">
        <v>2255</v>
      </c>
      <c r="N334" t="s">
        <v>1239</v>
      </c>
      <c r="O334">
        <v>870</v>
      </c>
      <c r="P334">
        <v>300</v>
      </c>
      <c r="Q334">
        <v>600</v>
      </c>
      <c r="R334" t="s">
        <v>2008</v>
      </c>
    </row>
    <row r="335" spans="1:18" x14ac:dyDescent="0.25">
      <c r="A335">
        <v>2068</v>
      </c>
      <c r="B335" t="s">
        <v>1071</v>
      </c>
      <c r="C335" t="s">
        <v>1072</v>
      </c>
      <c r="D335" t="str">
        <f t="shared" si="15"/>
        <v>Webster Sylas</v>
      </c>
      <c r="E335" t="s">
        <v>1207</v>
      </c>
      <c r="F335" s="1">
        <v>45419</v>
      </c>
      <c r="G335" s="32" t="str">
        <f t="shared" si="16"/>
        <v>May</v>
      </c>
      <c r="H335">
        <v>1</v>
      </c>
      <c r="I335" t="str">
        <f t="shared" si="17"/>
        <v>Bronze</v>
      </c>
      <c r="J335" t="s">
        <v>14</v>
      </c>
      <c r="K335" s="17">
        <v>92379</v>
      </c>
      <c r="L335" s="17" t="s">
        <v>1214</v>
      </c>
      <c r="M335" t="s">
        <v>2254</v>
      </c>
      <c r="N335" t="s">
        <v>1227</v>
      </c>
      <c r="O335">
        <v>6160</v>
      </c>
      <c r="P335">
        <v>250</v>
      </c>
      <c r="Q335">
        <v>250</v>
      </c>
      <c r="R335" t="s">
        <v>2085</v>
      </c>
    </row>
    <row r="336" spans="1:18" x14ac:dyDescent="0.25">
      <c r="A336">
        <v>2101</v>
      </c>
      <c r="B336" t="s">
        <v>307</v>
      </c>
      <c r="C336" t="s">
        <v>1099</v>
      </c>
      <c r="D336" t="str">
        <f t="shared" si="15"/>
        <v>Thornton Augustus</v>
      </c>
      <c r="E336" t="s">
        <v>1249</v>
      </c>
      <c r="F336" s="1">
        <v>45419</v>
      </c>
      <c r="G336" s="32" t="str">
        <f t="shared" si="16"/>
        <v>May</v>
      </c>
      <c r="H336">
        <v>1</v>
      </c>
      <c r="I336" t="str">
        <f t="shared" si="17"/>
        <v>Bronze</v>
      </c>
      <c r="J336" t="s">
        <v>1242</v>
      </c>
      <c r="K336" s="17">
        <v>31474</v>
      </c>
      <c r="L336" s="17" t="s">
        <v>1224</v>
      </c>
      <c r="M336" t="s">
        <v>2252</v>
      </c>
      <c r="N336" t="s">
        <v>1225</v>
      </c>
      <c r="O336">
        <v>5290</v>
      </c>
      <c r="P336">
        <v>1200</v>
      </c>
      <c r="Q336">
        <v>1200</v>
      </c>
      <c r="R336" t="s">
        <v>2119</v>
      </c>
    </row>
    <row r="337" spans="1:18" x14ac:dyDescent="0.25">
      <c r="A337">
        <v>1548</v>
      </c>
      <c r="B337" t="s">
        <v>534</v>
      </c>
      <c r="C337" t="s">
        <v>37</v>
      </c>
      <c r="D337" t="str">
        <f t="shared" si="15"/>
        <v>Kennedy Hayden</v>
      </c>
      <c r="E337" t="s">
        <v>1203</v>
      </c>
      <c r="F337" s="1">
        <v>45421</v>
      </c>
      <c r="G337" s="32" t="str">
        <f t="shared" si="16"/>
        <v>May</v>
      </c>
      <c r="H337">
        <v>3</v>
      </c>
      <c r="I337" t="str">
        <f t="shared" si="17"/>
        <v>Gold</v>
      </c>
      <c r="J337" t="s">
        <v>1242</v>
      </c>
      <c r="K337" s="17">
        <v>58819</v>
      </c>
      <c r="L337" s="17" t="s">
        <v>1214</v>
      </c>
      <c r="M337" t="s">
        <v>2256</v>
      </c>
      <c r="N337" t="s">
        <v>1215</v>
      </c>
      <c r="O337">
        <v>6725</v>
      </c>
      <c r="P337">
        <v>600</v>
      </c>
      <c r="Q337">
        <v>1800</v>
      </c>
      <c r="R337" t="s">
        <v>1564</v>
      </c>
    </row>
    <row r="338" spans="1:18" x14ac:dyDescent="0.25">
      <c r="A338">
        <v>2089</v>
      </c>
      <c r="B338" t="s">
        <v>650</v>
      </c>
      <c r="C338" t="s">
        <v>1091</v>
      </c>
      <c r="D338" t="str">
        <f t="shared" si="15"/>
        <v>Wilkinson Javier</v>
      </c>
      <c r="E338" t="s">
        <v>1205</v>
      </c>
      <c r="F338" s="1">
        <v>45421</v>
      </c>
      <c r="G338" s="32" t="str">
        <f t="shared" si="16"/>
        <v>May</v>
      </c>
      <c r="H338">
        <v>1</v>
      </c>
      <c r="I338" t="str">
        <f t="shared" si="17"/>
        <v>Bronze</v>
      </c>
      <c r="J338" t="s">
        <v>18</v>
      </c>
      <c r="K338" s="17">
        <v>6441</v>
      </c>
      <c r="L338" s="17" t="s">
        <v>1220</v>
      </c>
      <c r="M338" t="s">
        <v>2252</v>
      </c>
      <c r="N338" t="s">
        <v>1232</v>
      </c>
      <c r="O338">
        <v>3000</v>
      </c>
      <c r="P338">
        <v>250</v>
      </c>
      <c r="Q338">
        <v>250</v>
      </c>
      <c r="R338" t="s">
        <v>2106</v>
      </c>
    </row>
    <row r="339" spans="1:18" x14ac:dyDescent="0.25">
      <c r="A339">
        <v>1654</v>
      </c>
      <c r="B339" t="s">
        <v>665</v>
      </c>
      <c r="C339" t="s">
        <v>666</v>
      </c>
      <c r="D339" t="str">
        <f t="shared" si="15"/>
        <v>Serrano Nora</v>
      </c>
      <c r="E339" t="s">
        <v>1249</v>
      </c>
      <c r="F339" s="1">
        <v>45422</v>
      </c>
      <c r="G339" s="32" t="str">
        <f t="shared" si="16"/>
        <v>May</v>
      </c>
      <c r="H339">
        <v>1</v>
      </c>
      <c r="I339" t="str">
        <f t="shared" si="17"/>
        <v>Bronze</v>
      </c>
      <c r="J339" t="s">
        <v>14</v>
      </c>
      <c r="K339" s="17">
        <v>51257</v>
      </c>
      <c r="L339" s="17" t="s">
        <v>1214</v>
      </c>
      <c r="M339" t="s">
        <v>2254</v>
      </c>
      <c r="N339" t="s">
        <v>1215</v>
      </c>
      <c r="O339">
        <v>6725</v>
      </c>
      <c r="P339">
        <v>1200</v>
      </c>
      <c r="Q339">
        <v>1200</v>
      </c>
      <c r="R339" t="s">
        <v>1671</v>
      </c>
    </row>
    <row r="340" spans="1:18" x14ac:dyDescent="0.25">
      <c r="A340">
        <v>1919</v>
      </c>
      <c r="B340" t="s">
        <v>947</v>
      </c>
      <c r="C340" t="s">
        <v>948</v>
      </c>
      <c r="D340" t="str">
        <f t="shared" si="15"/>
        <v>Schultz Lilly</v>
      </c>
      <c r="E340" t="s">
        <v>1248</v>
      </c>
      <c r="F340" s="1">
        <v>45422</v>
      </c>
      <c r="G340" s="32" t="str">
        <f t="shared" si="16"/>
        <v>May</v>
      </c>
      <c r="H340">
        <v>3</v>
      </c>
      <c r="I340" t="str">
        <f t="shared" si="17"/>
        <v>Gold</v>
      </c>
      <c r="J340" t="s">
        <v>1242</v>
      </c>
      <c r="K340" s="17">
        <v>68048</v>
      </c>
      <c r="L340" s="17" t="s">
        <v>1216</v>
      </c>
      <c r="M340" t="s">
        <v>2255</v>
      </c>
      <c r="N340" t="s">
        <v>1217</v>
      </c>
      <c r="O340">
        <v>2600</v>
      </c>
      <c r="P340">
        <v>300</v>
      </c>
      <c r="Q340">
        <v>900</v>
      </c>
      <c r="R340" t="s">
        <v>1936</v>
      </c>
    </row>
    <row r="341" spans="1:18" x14ac:dyDescent="0.25">
      <c r="A341">
        <v>1547</v>
      </c>
      <c r="B341" t="s">
        <v>532</v>
      </c>
      <c r="C341" t="s">
        <v>533</v>
      </c>
      <c r="D341" t="str">
        <f t="shared" si="15"/>
        <v>Wagner Archer</v>
      </c>
      <c r="E341" t="s">
        <v>1249</v>
      </c>
      <c r="F341" s="1">
        <v>45423</v>
      </c>
      <c r="G341" s="32" t="str">
        <f t="shared" si="16"/>
        <v>May</v>
      </c>
      <c r="H341">
        <v>3</v>
      </c>
      <c r="I341" t="str">
        <f t="shared" si="17"/>
        <v>Gold</v>
      </c>
      <c r="J341" t="s">
        <v>1243</v>
      </c>
      <c r="K341" s="17">
        <v>96397</v>
      </c>
      <c r="L341" s="17" t="s">
        <v>1220</v>
      </c>
      <c r="M341" t="s">
        <v>2254</v>
      </c>
      <c r="N341" t="s">
        <v>1221</v>
      </c>
      <c r="O341">
        <v>3350</v>
      </c>
      <c r="P341">
        <v>1200</v>
      </c>
      <c r="Q341">
        <v>3600</v>
      </c>
      <c r="R341" t="s">
        <v>1563</v>
      </c>
    </row>
    <row r="342" spans="1:18" x14ac:dyDescent="0.25">
      <c r="A342">
        <v>1854</v>
      </c>
      <c r="B342" t="s">
        <v>398</v>
      </c>
      <c r="C342" t="s">
        <v>879</v>
      </c>
      <c r="D342" t="str">
        <f t="shared" si="15"/>
        <v>Cherry Emily</v>
      </c>
      <c r="E342" t="s">
        <v>1207</v>
      </c>
      <c r="F342" s="1">
        <v>45423</v>
      </c>
      <c r="G342" s="32" t="str">
        <f t="shared" si="16"/>
        <v>May</v>
      </c>
      <c r="H342">
        <v>3</v>
      </c>
      <c r="I342" t="str">
        <f t="shared" si="17"/>
        <v>Gold</v>
      </c>
      <c r="J342" t="s">
        <v>14</v>
      </c>
      <c r="K342" s="17">
        <v>57998</v>
      </c>
      <c r="L342" s="17" t="s">
        <v>1216</v>
      </c>
      <c r="M342" t="s">
        <v>2256</v>
      </c>
      <c r="N342" t="s">
        <v>1217</v>
      </c>
      <c r="O342">
        <v>2600</v>
      </c>
      <c r="P342">
        <v>250</v>
      </c>
      <c r="Q342">
        <v>750</v>
      </c>
      <c r="R342" t="s">
        <v>1871</v>
      </c>
    </row>
    <row r="343" spans="1:18" x14ac:dyDescent="0.25">
      <c r="A343">
        <v>1898</v>
      </c>
      <c r="B343" t="s">
        <v>930</v>
      </c>
      <c r="C343" t="s">
        <v>931</v>
      </c>
      <c r="D343" t="str">
        <f t="shared" si="15"/>
        <v>Larson Jasmine</v>
      </c>
      <c r="E343" t="s">
        <v>1249</v>
      </c>
      <c r="F343" s="1">
        <v>45423</v>
      </c>
      <c r="G343" s="32" t="str">
        <f t="shared" si="16"/>
        <v>May</v>
      </c>
      <c r="H343">
        <v>3</v>
      </c>
      <c r="I343" t="str">
        <f t="shared" si="17"/>
        <v>Gold</v>
      </c>
      <c r="J343" t="s">
        <v>14</v>
      </c>
      <c r="K343" s="17">
        <v>85197</v>
      </c>
      <c r="L343" s="17" t="s">
        <v>1222</v>
      </c>
      <c r="M343" t="s">
        <v>2252</v>
      </c>
      <c r="N343" t="s">
        <v>1237</v>
      </c>
      <c r="O343">
        <v>4000</v>
      </c>
      <c r="P343">
        <v>1200</v>
      </c>
      <c r="Q343">
        <v>3600</v>
      </c>
      <c r="R343" t="s">
        <v>1915</v>
      </c>
    </row>
    <row r="344" spans="1:18" x14ac:dyDescent="0.25">
      <c r="A344">
        <v>1927</v>
      </c>
      <c r="B344" t="s">
        <v>957</v>
      </c>
      <c r="C344" t="s">
        <v>958</v>
      </c>
      <c r="D344" t="str">
        <f t="shared" si="15"/>
        <v>Ward Amelia</v>
      </c>
      <c r="E344" t="s">
        <v>1249</v>
      </c>
      <c r="F344" s="1">
        <v>45423</v>
      </c>
      <c r="G344" s="32" t="str">
        <f t="shared" si="16"/>
        <v>May</v>
      </c>
      <c r="H344">
        <v>1</v>
      </c>
      <c r="I344" t="str">
        <f t="shared" si="17"/>
        <v>Bronze</v>
      </c>
      <c r="J344" t="s">
        <v>1242</v>
      </c>
      <c r="K344" s="17">
        <v>51887</v>
      </c>
      <c r="L344" s="17" t="s">
        <v>1216</v>
      </c>
      <c r="M344" t="s">
        <v>2253</v>
      </c>
      <c r="N344" t="s">
        <v>1217</v>
      </c>
      <c r="O344">
        <v>2600</v>
      </c>
      <c r="P344">
        <v>1200</v>
      </c>
      <c r="Q344">
        <v>1200</v>
      </c>
      <c r="R344" t="s">
        <v>1944</v>
      </c>
    </row>
    <row r="345" spans="1:18" x14ac:dyDescent="0.25">
      <c r="A345">
        <v>2104</v>
      </c>
      <c r="B345" t="s">
        <v>463</v>
      </c>
      <c r="C345" t="s">
        <v>921</v>
      </c>
      <c r="D345" t="str">
        <f t="shared" si="15"/>
        <v>Williams Sutton</v>
      </c>
      <c r="E345" t="s">
        <v>1207</v>
      </c>
      <c r="F345" s="1">
        <v>45423</v>
      </c>
      <c r="G345" s="32" t="str">
        <f t="shared" si="16"/>
        <v>May</v>
      </c>
      <c r="H345">
        <v>1</v>
      </c>
      <c r="I345" t="str">
        <f t="shared" si="17"/>
        <v>Bronze</v>
      </c>
      <c r="J345" t="s">
        <v>14</v>
      </c>
      <c r="K345" s="17">
        <v>52512</v>
      </c>
      <c r="L345" s="17" t="s">
        <v>1218</v>
      </c>
      <c r="M345" t="s">
        <v>2254</v>
      </c>
      <c r="N345" t="s">
        <v>836</v>
      </c>
      <c r="O345">
        <v>2000</v>
      </c>
      <c r="P345">
        <v>250</v>
      </c>
      <c r="Q345">
        <v>250</v>
      </c>
      <c r="R345" t="s">
        <v>2122</v>
      </c>
    </row>
    <row r="346" spans="1:18" x14ac:dyDescent="0.25">
      <c r="A346">
        <v>2230</v>
      </c>
      <c r="B346" t="s">
        <v>1139</v>
      </c>
      <c r="C346" t="s">
        <v>344</v>
      </c>
      <c r="D346" t="str">
        <f t="shared" si="15"/>
        <v>Willis Patrick</v>
      </c>
      <c r="E346" t="s">
        <v>1249</v>
      </c>
      <c r="F346" s="1">
        <v>45423</v>
      </c>
      <c r="G346" s="32" t="str">
        <f t="shared" si="16"/>
        <v>May</v>
      </c>
      <c r="H346">
        <v>2</v>
      </c>
      <c r="I346" t="str">
        <f t="shared" si="17"/>
        <v>Silver</v>
      </c>
      <c r="J346" t="s">
        <v>1242</v>
      </c>
      <c r="K346" s="17">
        <v>49165</v>
      </c>
      <c r="L346" s="17" t="s">
        <v>1224</v>
      </c>
      <c r="M346" t="s">
        <v>2253</v>
      </c>
      <c r="N346" t="s">
        <v>1225</v>
      </c>
      <c r="O346">
        <v>5290</v>
      </c>
      <c r="P346">
        <v>1200</v>
      </c>
      <c r="Q346">
        <v>2400</v>
      </c>
      <c r="R346" t="s">
        <v>2248</v>
      </c>
    </row>
    <row r="347" spans="1:18" x14ac:dyDescent="0.25">
      <c r="A347">
        <v>1687</v>
      </c>
      <c r="B347" t="s">
        <v>707</v>
      </c>
      <c r="C347" t="s">
        <v>499</v>
      </c>
      <c r="D347" t="str">
        <f t="shared" si="15"/>
        <v>Nguyen Kimberly</v>
      </c>
      <c r="E347" t="s">
        <v>1207</v>
      </c>
      <c r="F347" s="1">
        <v>45424</v>
      </c>
      <c r="G347" s="32" t="str">
        <f t="shared" si="16"/>
        <v>May</v>
      </c>
      <c r="H347">
        <v>1</v>
      </c>
      <c r="I347" t="str">
        <f t="shared" si="17"/>
        <v>Bronze</v>
      </c>
      <c r="J347" t="s">
        <v>1242</v>
      </c>
      <c r="K347" s="17">
        <v>93355</v>
      </c>
      <c r="L347" s="17" t="s">
        <v>1222</v>
      </c>
      <c r="M347" t="s">
        <v>2255</v>
      </c>
      <c r="N347" t="s">
        <v>1231</v>
      </c>
      <c r="O347">
        <v>4870</v>
      </c>
      <c r="P347">
        <v>250</v>
      </c>
      <c r="Q347">
        <v>250</v>
      </c>
      <c r="R347" t="s">
        <v>1704</v>
      </c>
    </row>
    <row r="348" spans="1:18" x14ac:dyDescent="0.25">
      <c r="A348">
        <v>1710</v>
      </c>
      <c r="B348" t="s">
        <v>379</v>
      </c>
      <c r="C348" t="s">
        <v>700</v>
      </c>
      <c r="D348" t="str">
        <f t="shared" si="15"/>
        <v>Hail Jeremiah</v>
      </c>
      <c r="E348" t="s">
        <v>1207</v>
      </c>
      <c r="F348" s="1">
        <v>45424</v>
      </c>
      <c r="G348" s="32" t="str">
        <f t="shared" si="16"/>
        <v>May</v>
      </c>
      <c r="H348">
        <v>2</v>
      </c>
      <c r="I348" t="str">
        <f t="shared" si="17"/>
        <v>Silver</v>
      </c>
      <c r="J348" t="s">
        <v>14</v>
      </c>
      <c r="K348" s="17">
        <v>43757</v>
      </c>
      <c r="L348" s="17" t="s">
        <v>1220</v>
      </c>
      <c r="M348" t="s">
        <v>2255</v>
      </c>
      <c r="N348" t="s">
        <v>1232</v>
      </c>
      <c r="O348">
        <v>3000</v>
      </c>
      <c r="P348">
        <v>250</v>
      </c>
      <c r="Q348">
        <v>500</v>
      </c>
      <c r="R348" t="s">
        <v>1727</v>
      </c>
    </row>
    <row r="349" spans="1:18" x14ac:dyDescent="0.25">
      <c r="A349">
        <v>1948</v>
      </c>
      <c r="B349" t="s">
        <v>977</v>
      </c>
      <c r="C349" t="s">
        <v>951</v>
      </c>
      <c r="D349" t="str">
        <f t="shared" si="15"/>
        <v>Ingram Arya</v>
      </c>
      <c r="E349" t="s">
        <v>1203</v>
      </c>
      <c r="F349" s="1">
        <v>45424</v>
      </c>
      <c r="G349" s="32" t="str">
        <f t="shared" si="16"/>
        <v>May</v>
      </c>
      <c r="H349">
        <v>1</v>
      </c>
      <c r="I349" t="str">
        <f t="shared" si="17"/>
        <v>Bronze</v>
      </c>
      <c r="J349" t="s">
        <v>14</v>
      </c>
      <c r="K349" s="17">
        <v>41808</v>
      </c>
      <c r="L349" s="17" t="s">
        <v>1218</v>
      </c>
      <c r="M349" t="s">
        <v>2256</v>
      </c>
      <c r="N349" t="s">
        <v>1235</v>
      </c>
      <c r="O349">
        <v>2500</v>
      </c>
      <c r="P349">
        <v>600</v>
      </c>
      <c r="Q349">
        <v>600</v>
      </c>
      <c r="R349" t="s">
        <v>1965</v>
      </c>
    </row>
    <row r="350" spans="1:18" x14ac:dyDescent="0.25">
      <c r="A350">
        <v>1434</v>
      </c>
      <c r="B350" t="s">
        <v>375</v>
      </c>
      <c r="C350" t="s">
        <v>84</v>
      </c>
      <c r="D350" t="str">
        <f t="shared" si="15"/>
        <v>Terrell Isabelle</v>
      </c>
      <c r="E350" t="s">
        <v>1205</v>
      </c>
      <c r="F350" s="1">
        <v>45425</v>
      </c>
      <c r="G350" s="32" t="str">
        <f t="shared" si="16"/>
        <v>May</v>
      </c>
      <c r="H350">
        <v>2</v>
      </c>
      <c r="I350" t="str">
        <f t="shared" si="17"/>
        <v>Silver</v>
      </c>
      <c r="J350" t="s">
        <v>18</v>
      </c>
      <c r="K350" s="17">
        <v>87002</v>
      </c>
      <c r="L350" s="17" t="s">
        <v>1220</v>
      </c>
      <c r="M350" t="s">
        <v>2254</v>
      </c>
      <c r="N350" t="s">
        <v>1232</v>
      </c>
      <c r="O350">
        <v>3000</v>
      </c>
      <c r="P350">
        <v>250</v>
      </c>
      <c r="Q350">
        <v>500</v>
      </c>
      <c r="R350" t="s">
        <v>1450</v>
      </c>
    </row>
    <row r="351" spans="1:18" x14ac:dyDescent="0.25">
      <c r="A351">
        <v>1518</v>
      </c>
      <c r="B351" t="s">
        <v>473</v>
      </c>
      <c r="C351" t="s">
        <v>499</v>
      </c>
      <c r="D351" t="str">
        <f t="shared" si="15"/>
        <v>Logan Kimberly</v>
      </c>
      <c r="E351" t="s">
        <v>1249</v>
      </c>
      <c r="F351" s="1">
        <v>45425</v>
      </c>
      <c r="G351" s="32" t="str">
        <f t="shared" si="16"/>
        <v>May</v>
      </c>
      <c r="H351">
        <v>1</v>
      </c>
      <c r="I351" t="str">
        <f t="shared" si="17"/>
        <v>Bronze</v>
      </c>
      <c r="J351" t="s">
        <v>18</v>
      </c>
      <c r="K351" s="17">
        <v>71615</v>
      </c>
      <c r="L351" s="17" t="s">
        <v>1218</v>
      </c>
      <c r="M351" t="s">
        <v>2254</v>
      </c>
      <c r="N351" t="s">
        <v>836</v>
      </c>
      <c r="O351">
        <v>2000</v>
      </c>
      <c r="P351">
        <v>1200</v>
      </c>
      <c r="Q351">
        <v>1200</v>
      </c>
      <c r="R351" t="s">
        <v>1534</v>
      </c>
    </row>
    <row r="352" spans="1:18" x14ac:dyDescent="0.25">
      <c r="A352">
        <v>1700</v>
      </c>
      <c r="B352" t="s">
        <v>519</v>
      </c>
      <c r="C352" t="s">
        <v>292</v>
      </c>
      <c r="D352" t="str">
        <f t="shared" si="15"/>
        <v>Nash Callie</v>
      </c>
      <c r="E352" t="s">
        <v>1207</v>
      </c>
      <c r="F352" s="1">
        <v>45425</v>
      </c>
      <c r="G352" s="32" t="str">
        <f t="shared" si="16"/>
        <v>May</v>
      </c>
      <c r="H352">
        <v>3</v>
      </c>
      <c r="I352" t="str">
        <f t="shared" si="17"/>
        <v>Gold</v>
      </c>
      <c r="J352" t="s">
        <v>1242</v>
      </c>
      <c r="K352" s="17">
        <v>35033</v>
      </c>
      <c r="L352" s="17" t="s">
        <v>1224</v>
      </c>
      <c r="M352" t="s">
        <v>2252</v>
      </c>
      <c r="N352" t="s">
        <v>1225</v>
      </c>
      <c r="O352">
        <v>5290</v>
      </c>
      <c r="P352">
        <v>250</v>
      </c>
      <c r="Q352">
        <v>750</v>
      </c>
      <c r="R352" t="s">
        <v>1717</v>
      </c>
    </row>
    <row r="353" spans="1:18" x14ac:dyDescent="0.25">
      <c r="A353">
        <v>2016</v>
      </c>
      <c r="B353" t="s">
        <v>1025</v>
      </c>
      <c r="C353" t="s">
        <v>1026</v>
      </c>
      <c r="D353" t="str">
        <f t="shared" si="15"/>
        <v>Hopkins Serenity</v>
      </c>
      <c r="E353" t="s">
        <v>1249</v>
      </c>
      <c r="F353" s="1">
        <v>45426</v>
      </c>
      <c r="G353" s="32" t="str">
        <f t="shared" si="16"/>
        <v>May</v>
      </c>
      <c r="H353">
        <v>3</v>
      </c>
      <c r="I353" t="str">
        <f t="shared" si="17"/>
        <v>Gold</v>
      </c>
      <c r="J353" t="s">
        <v>14</v>
      </c>
      <c r="K353" s="17">
        <v>83943</v>
      </c>
      <c r="L353" s="17" t="s">
        <v>1214</v>
      </c>
      <c r="M353" t="s">
        <v>2256</v>
      </c>
      <c r="N353" t="s">
        <v>1227</v>
      </c>
      <c r="O353">
        <v>6160</v>
      </c>
      <c r="P353">
        <v>1200</v>
      </c>
      <c r="Q353">
        <v>3600</v>
      </c>
      <c r="R353" t="s">
        <v>2033</v>
      </c>
    </row>
    <row r="354" spans="1:18" x14ac:dyDescent="0.25">
      <c r="A354">
        <v>1428</v>
      </c>
      <c r="B354" t="s">
        <v>365</v>
      </c>
      <c r="C354" t="s">
        <v>366</v>
      </c>
      <c r="D354" t="str">
        <f t="shared" si="15"/>
        <v>Reyna Heidi</v>
      </c>
      <c r="E354" t="s">
        <v>1205</v>
      </c>
      <c r="F354" s="1">
        <v>45427</v>
      </c>
      <c r="G354" s="32" t="str">
        <f t="shared" si="16"/>
        <v>May</v>
      </c>
      <c r="H354">
        <v>3</v>
      </c>
      <c r="I354" t="str">
        <f t="shared" si="17"/>
        <v>Gold</v>
      </c>
      <c r="J354" t="s">
        <v>14</v>
      </c>
      <c r="K354" s="17">
        <v>21571</v>
      </c>
      <c r="L354" s="17" t="s">
        <v>1214</v>
      </c>
      <c r="M354" t="s">
        <v>2252</v>
      </c>
      <c r="N354" t="s">
        <v>1227</v>
      </c>
      <c r="O354">
        <v>6160</v>
      </c>
      <c r="P354">
        <v>250</v>
      </c>
      <c r="Q354">
        <v>750</v>
      </c>
      <c r="R354" t="s">
        <v>1444</v>
      </c>
    </row>
    <row r="355" spans="1:18" x14ac:dyDescent="0.25">
      <c r="A355">
        <v>1951</v>
      </c>
      <c r="B355" t="s">
        <v>835</v>
      </c>
      <c r="C355" t="s">
        <v>980</v>
      </c>
      <c r="D355" t="str">
        <f t="shared" si="15"/>
        <v>Greer Elian</v>
      </c>
      <c r="E355" t="s">
        <v>1208</v>
      </c>
      <c r="F355" s="1">
        <v>45427</v>
      </c>
      <c r="G355" s="32" t="str">
        <f t="shared" si="16"/>
        <v>May</v>
      </c>
      <c r="H355">
        <v>3</v>
      </c>
      <c r="I355" t="str">
        <f t="shared" si="17"/>
        <v>Gold</v>
      </c>
      <c r="J355" t="s">
        <v>14</v>
      </c>
      <c r="K355" s="17">
        <v>99885</v>
      </c>
      <c r="L355" s="17" t="s">
        <v>1233</v>
      </c>
      <c r="M355" t="s">
        <v>2256</v>
      </c>
      <c r="N355" t="s">
        <v>1239</v>
      </c>
      <c r="O355">
        <v>870</v>
      </c>
      <c r="P355">
        <v>800</v>
      </c>
      <c r="Q355">
        <v>2400</v>
      </c>
      <c r="R355" t="s">
        <v>1968</v>
      </c>
    </row>
    <row r="356" spans="1:18" x14ac:dyDescent="0.25">
      <c r="A356">
        <v>2196</v>
      </c>
      <c r="B356" t="s">
        <v>1175</v>
      </c>
      <c r="C356" t="s">
        <v>296</v>
      </c>
      <c r="D356" t="str">
        <f t="shared" si="15"/>
        <v>Dunn Finley</v>
      </c>
      <c r="E356" t="s">
        <v>1207</v>
      </c>
      <c r="F356" s="1">
        <v>45427</v>
      </c>
      <c r="G356" s="32" t="str">
        <f t="shared" si="16"/>
        <v>May</v>
      </c>
      <c r="H356">
        <v>3</v>
      </c>
      <c r="I356" t="str">
        <f t="shared" si="17"/>
        <v>Gold</v>
      </c>
      <c r="J356" t="s">
        <v>1242</v>
      </c>
      <c r="K356" s="17">
        <v>24948</v>
      </c>
      <c r="L356" s="17" t="s">
        <v>1220</v>
      </c>
      <c r="M356" t="s">
        <v>2254</v>
      </c>
      <c r="N356" t="s">
        <v>1226</v>
      </c>
      <c r="O356">
        <v>3220</v>
      </c>
      <c r="P356">
        <v>250</v>
      </c>
      <c r="Q356">
        <v>750</v>
      </c>
      <c r="R356" t="s">
        <v>2214</v>
      </c>
    </row>
    <row r="357" spans="1:18" x14ac:dyDescent="0.25">
      <c r="A357">
        <v>1474</v>
      </c>
      <c r="B357" t="s">
        <v>437</v>
      </c>
      <c r="C357" t="s">
        <v>438</v>
      </c>
      <c r="D357" t="str">
        <f t="shared" si="15"/>
        <v>Robbins Alex</v>
      </c>
      <c r="E357" t="s">
        <v>1208</v>
      </c>
      <c r="F357" s="1">
        <v>45428</v>
      </c>
      <c r="G357" s="32" t="str">
        <f t="shared" si="16"/>
        <v>May</v>
      </c>
      <c r="H357">
        <v>3</v>
      </c>
      <c r="I357" t="str">
        <f t="shared" si="17"/>
        <v>Gold</v>
      </c>
      <c r="J357" t="s">
        <v>1242</v>
      </c>
      <c r="K357" s="17">
        <v>29935</v>
      </c>
      <c r="L357" s="17" t="s">
        <v>1222</v>
      </c>
      <c r="M357" t="s">
        <v>2252</v>
      </c>
      <c r="N357" t="s">
        <v>1237</v>
      </c>
      <c r="O357">
        <v>4000</v>
      </c>
      <c r="P357">
        <v>800</v>
      </c>
      <c r="Q357">
        <v>2400</v>
      </c>
      <c r="R357" t="s">
        <v>1490</v>
      </c>
    </row>
    <row r="358" spans="1:18" x14ac:dyDescent="0.25">
      <c r="A358">
        <v>1543</v>
      </c>
      <c r="B358" t="s">
        <v>528</v>
      </c>
      <c r="C358" t="s">
        <v>45</v>
      </c>
      <c r="D358" t="str">
        <f t="shared" si="15"/>
        <v>Erickson Andre</v>
      </c>
      <c r="E358" t="s">
        <v>1207</v>
      </c>
      <c r="F358" s="1">
        <v>45428</v>
      </c>
      <c r="G358" s="32" t="str">
        <f t="shared" si="16"/>
        <v>May</v>
      </c>
      <c r="H358">
        <v>2</v>
      </c>
      <c r="I358" t="str">
        <f t="shared" si="17"/>
        <v>Silver</v>
      </c>
      <c r="J358" t="s">
        <v>18</v>
      </c>
      <c r="K358" s="17">
        <v>40382</v>
      </c>
      <c r="L358" s="17" t="s">
        <v>1220</v>
      </c>
      <c r="M358" t="s">
        <v>2255</v>
      </c>
      <c r="N358" t="s">
        <v>1232</v>
      </c>
      <c r="O358">
        <v>3000</v>
      </c>
      <c r="P358">
        <v>250</v>
      </c>
      <c r="Q358">
        <v>500</v>
      </c>
      <c r="R358" t="s">
        <v>1559</v>
      </c>
    </row>
    <row r="359" spans="1:18" x14ac:dyDescent="0.25">
      <c r="A359">
        <v>1555</v>
      </c>
      <c r="B359" t="s">
        <v>543</v>
      </c>
      <c r="C359" t="s">
        <v>544</v>
      </c>
      <c r="D359" t="str">
        <f t="shared" si="15"/>
        <v>Parra Kingston</v>
      </c>
      <c r="E359" t="s">
        <v>1208</v>
      </c>
      <c r="F359" s="1">
        <v>45428</v>
      </c>
      <c r="G359" s="32" t="str">
        <f t="shared" si="16"/>
        <v>May</v>
      </c>
      <c r="H359">
        <v>3</v>
      </c>
      <c r="I359" t="str">
        <f t="shared" si="17"/>
        <v>Gold</v>
      </c>
      <c r="J359" t="s">
        <v>1242</v>
      </c>
      <c r="K359" s="17">
        <v>94632</v>
      </c>
      <c r="L359" s="17" t="s">
        <v>1224</v>
      </c>
      <c r="M359" t="s">
        <v>2256</v>
      </c>
      <c r="N359" t="s">
        <v>1225</v>
      </c>
      <c r="O359">
        <v>5290</v>
      </c>
      <c r="P359">
        <v>800</v>
      </c>
      <c r="Q359">
        <v>2400</v>
      </c>
      <c r="R359" t="s">
        <v>1571</v>
      </c>
    </row>
    <row r="360" spans="1:18" x14ac:dyDescent="0.25">
      <c r="A360">
        <v>1790</v>
      </c>
      <c r="B360" t="s">
        <v>610</v>
      </c>
      <c r="C360" t="s">
        <v>817</v>
      </c>
      <c r="D360" t="str">
        <f t="shared" si="15"/>
        <v>Kline Emmett</v>
      </c>
      <c r="E360" t="s">
        <v>1248</v>
      </c>
      <c r="F360" s="1">
        <v>45428</v>
      </c>
      <c r="G360" s="32" t="str">
        <f t="shared" si="16"/>
        <v>May</v>
      </c>
      <c r="H360">
        <v>3</v>
      </c>
      <c r="I360" t="str">
        <f t="shared" si="17"/>
        <v>Gold</v>
      </c>
      <c r="J360" t="s">
        <v>1242</v>
      </c>
      <c r="K360" s="17">
        <v>14206</v>
      </c>
      <c r="L360" s="17" t="s">
        <v>1220</v>
      </c>
      <c r="M360" t="s">
        <v>2254</v>
      </c>
      <c r="N360" t="s">
        <v>1221</v>
      </c>
      <c r="O360">
        <v>3350</v>
      </c>
      <c r="P360">
        <v>300</v>
      </c>
      <c r="Q360">
        <v>900</v>
      </c>
      <c r="R360" t="s">
        <v>1807</v>
      </c>
    </row>
    <row r="361" spans="1:18" x14ac:dyDescent="0.25">
      <c r="A361">
        <v>1812</v>
      </c>
      <c r="B361" t="s">
        <v>573</v>
      </c>
      <c r="C361" t="s">
        <v>838</v>
      </c>
      <c r="D361" t="str">
        <f t="shared" si="15"/>
        <v>Ramirez Ava</v>
      </c>
      <c r="E361" t="s">
        <v>1249</v>
      </c>
      <c r="F361" s="1">
        <v>45428</v>
      </c>
      <c r="G361" s="32" t="str">
        <f t="shared" si="16"/>
        <v>May</v>
      </c>
      <c r="H361">
        <v>1</v>
      </c>
      <c r="I361" t="str">
        <f t="shared" si="17"/>
        <v>Bronze</v>
      </c>
      <c r="J361" t="s">
        <v>14</v>
      </c>
      <c r="K361" s="17">
        <v>40161</v>
      </c>
      <c r="L361" s="17" t="s">
        <v>1228</v>
      </c>
      <c r="M361" t="s">
        <v>2255</v>
      </c>
      <c r="N361" t="s">
        <v>1230</v>
      </c>
      <c r="O361">
        <v>7000</v>
      </c>
      <c r="P361">
        <v>1200</v>
      </c>
      <c r="Q361">
        <v>1200</v>
      </c>
      <c r="R361" t="s">
        <v>1829</v>
      </c>
    </row>
    <row r="362" spans="1:18" x14ac:dyDescent="0.25">
      <c r="A362">
        <v>1371</v>
      </c>
      <c r="B362" t="s">
        <v>275</v>
      </c>
      <c r="C362" t="s">
        <v>276</v>
      </c>
      <c r="D362" t="str">
        <f t="shared" si="15"/>
        <v>Velazquez Nico</v>
      </c>
      <c r="E362" t="s">
        <v>1203</v>
      </c>
      <c r="F362" s="1">
        <v>45429</v>
      </c>
      <c r="G362" s="32" t="str">
        <f t="shared" si="16"/>
        <v>May</v>
      </c>
      <c r="H362">
        <v>3</v>
      </c>
      <c r="I362" t="str">
        <f t="shared" si="17"/>
        <v>Gold</v>
      </c>
      <c r="J362" t="s">
        <v>14</v>
      </c>
      <c r="K362" s="17">
        <v>36128</v>
      </c>
      <c r="L362" s="17" t="s">
        <v>1218</v>
      </c>
      <c r="M362" t="s">
        <v>2254</v>
      </c>
      <c r="N362" t="s">
        <v>1235</v>
      </c>
      <c r="O362">
        <v>2500</v>
      </c>
      <c r="P362">
        <v>600</v>
      </c>
      <c r="Q362">
        <v>1800</v>
      </c>
      <c r="R362" t="s">
        <v>1387</v>
      </c>
    </row>
    <row r="363" spans="1:18" x14ac:dyDescent="0.25">
      <c r="A363">
        <v>1330</v>
      </c>
      <c r="B363" t="s">
        <v>206</v>
      </c>
      <c r="C363" t="s">
        <v>207</v>
      </c>
      <c r="D363" t="str">
        <f t="shared" si="15"/>
        <v>Weiss Raphael</v>
      </c>
      <c r="E363" t="s">
        <v>1205</v>
      </c>
      <c r="F363" s="1">
        <v>45430</v>
      </c>
      <c r="G363" s="32" t="str">
        <f t="shared" si="16"/>
        <v>May</v>
      </c>
      <c r="H363">
        <v>1</v>
      </c>
      <c r="I363" t="str">
        <f t="shared" si="17"/>
        <v>Bronze</v>
      </c>
      <c r="J363" t="s">
        <v>1242</v>
      </c>
      <c r="K363" s="17">
        <v>53572</v>
      </c>
      <c r="L363" s="17" t="s">
        <v>1228</v>
      </c>
      <c r="M363" t="s">
        <v>2256</v>
      </c>
      <c r="N363" t="s">
        <v>1230</v>
      </c>
      <c r="O363">
        <v>7000</v>
      </c>
      <c r="P363">
        <v>250</v>
      </c>
      <c r="Q363">
        <v>250</v>
      </c>
      <c r="R363" t="s">
        <v>1346</v>
      </c>
    </row>
    <row r="364" spans="1:18" x14ac:dyDescent="0.25">
      <c r="A364">
        <v>1273</v>
      </c>
      <c r="B364" t="s">
        <v>103</v>
      </c>
      <c r="C364" t="s">
        <v>104</v>
      </c>
      <c r="D364" t="str">
        <f t="shared" si="15"/>
        <v>Richmond Jayce</v>
      </c>
      <c r="E364" t="s">
        <v>1208</v>
      </c>
      <c r="F364" s="1">
        <v>45431</v>
      </c>
      <c r="G364" s="32" t="str">
        <f t="shared" si="16"/>
        <v>May</v>
      </c>
      <c r="H364">
        <v>3</v>
      </c>
      <c r="I364" t="str">
        <f t="shared" si="17"/>
        <v>Gold</v>
      </c>
      <c r="J364" t="s">
        <v>1242</v>
      </c>
      <c r="K364" s="17">
        <v>70325</v>
      </c>
      <c r="L364" s="17" t="s">
        <v>1220</v>
      </c>
      <c r="M364" t="s">
        <v>2253</v>
      </c>
      <c r="N364" t="s">
        <v>1232</v>
      </c>
      <c r="O364">
        <v>3000</v>
      </c>
      <c r="P364">
        <v>800</v>
      </c>
      <c r="Q364">
        <v>2400</v>
      </c>
      <c r="R364" t="s">
        <v>1289</v>
      </c>
    </row>
    <row r="365" spans="1:18" x14ac:dyDescent="0.25">
      <c r="A365">
        <v>1335</v>
      </c>
      <c r="B365" t="s">
        <v>111</v>
      </c>
      <c r="C365" t="s">
        <v>216</v>
      </c>
      <c r="D365" t="str">
        <f t="shared" si="15"/>
        <v>Winters Annie</v>
      </c>
      <c r="E365" t="s">
        <v>1207</v>
      </c>
      <c r="F365" s="1">
        <v>45431</v>
      </c>
      <c r="G365" s="32" t="str">
        <f t="shared" si="16"/>
        <v>May</v>
      </c>
      <c r="H365">
        <v>3</v>
      </c>
      <c r="I365" t="str">
        <f t="shared" si="17"/>
        <v>Gold</v>
      </c>
      <c r="J365" t="s">
        <v>14</v>
      </c>
      <c r="K365" s="17">
        <v>50808</v>
      </c>
      <c r="L365" s="17" t="s">
        <v>1214</v>
      </c>
      <c r="M365" t="s">
        <v>2253</v>
      </c>
      <c r="N365" t="s">
        <v>1236</v>
      </c>
      <c r="O365">
        <v>6000</v>
      </c>
      <c r="P365">
        <v>250</v>
      </c>
      <c r="Q365">
        <v>750</v>
      </c>
      <c r="R365" t="s">
        <v>1351</v>
      </c>
    </row>
    <row r="366" spans="1:18" x14ac:dyDescent="0.25">
      <c r="A366">
        <v>1810</v>
      </c>
      <c r="B366" t="s">
        <v>684</v>
      </c>
      <c r="C366" t="s">
        <v>836</v>
      </c>
      <c r="D366" t="str">
        <f t="shared" si="15"/>
        <v>Rush Sydney</v>
      </c>
      <c r="E366" t="s">
        <v>1249</v>
      </c>
      <c r="F366" s="1">
        <v>45431</v>
      </c>
      <c r="G366" s="32" t="str">
        <f t="shared" si="16"/>
        <v>May</v>
      </c>
      <c r="H366">
        <v>1</v>
      </c>
      <c r="I366" t="str">
        <f t="shared" si="17"/>
        <v>Bronze</v>
      </c>
      <c r="J366" t="s">
        <v>1242</v>
      </c>
      <c r="K366" s="17">
        <v>85137</v>
      </c>
      <c r="L366" s="17" t="s">
        <v>1218</v>
      </c>
      <c r="M366" t="s">
        <v>2252</v>
      </c>
      <c r="N366" t="s">
        <v>1235</v>
      </c>
      <c r="O366">
        <v>2500</v>
      </c>
      <c r="P366">
        <v>1200</v>
      </c>
      <c r="Q366">
        <v>1200</v>
      </c>
      <c r="R366" t="s">
        <v>1827</v>
      </c>
    </row>
    <row r="367" spans="1:18" x14ac:dyDescent="0.25">
      <c r="A367">
        <v>1834</v>
      </c>
      <c r="B367" t="s">
        <v>864</v>
      </c>
      <c r="C367" t="s">
        <v>181</v>
      </c>
      <c r="D367" t="str">
        <f t="shared" si="15"/>
        <v>Schneider Alessandra</v>
      </c>
      <c r="E367" t="s">
        <v>1248</v>
      </c>
      <c r="F367" s="1">
        <v>45431</v>
      </c>
      <c r="G367" s="32" t="str">
        <f t="shared" si="16"/>
        <v>May</v>
      </c>
      <c r="H367">
        <v>1</v>
      </c>
      <c r="I367" t="str">
        <f t="shared" si="17"/>
        <v>Bronze</v>
      </c>
      <c r="J367" t="s">
        <v>18</v>
      </c>
      <c r="K367" s="17">
        <v>22010</v>
      </c>
      <c r="L367" s="17" t="s">
        <v>1214</v>
      </c>
      <c r="M367" t="s">
        <v>2252</v>
      </c>
      <c r="N367" t="s">
        <v>1227</v>
      </c>
      <c r="O367">
        <v>6160</v>
      </c>
      <c r="P367">
        <v>300</v>
      </c>
      <c r="Q367">
        <v>300</v>
      </c>
      <c r="R367" t="s">
        <v>1851</v>
      </c>
    </row>
    <row r="368" spans="1:18" x14ac:dyDescent="0.25">
      <c r="A368">
        <v>1848</v>
      </c>
      <c r="B368" t="s">
        <v>85</v>
      </c>
      <c r="C368" t="s">
        <v>876</v>
      </c>
      <c r="D368" t="str">
        <f t="shared" si="15"/>
        <v>Quintana Dylan</v>
      </c>
      <c r="E368" t="s">
        <v>1207</v>
      </c>
      <c r="F368" s="1">
        <v>45431</v>
      </c>
      <c r="G368" s="32" t="str">
        <f t="shared" si="16"/>
        <v>May</v>
      </c>
      <c r="H368">
        <v>1</v>
      </c>
      <c r="I368" t="str">
        <f t="shared" si="17"/>
        <v>Bronze</v>
      </c>
      <c r="J368" t="s">
        <v>14</v>
      </c>
      <c r="K368" s="17">
        <v>4363</v>
      </c>
      <c r="L368" s="17" t="s">
        <v>1214</v>
      </c>
      <c r="M368" t="s">
        <v>2255</v>
      </c>
      <c r="N368" t="s">
        <v>1227</v>
      </c>
      <c r="O368">
        <v>6160</v>
      </c>
      <c r="P368">
        <v>250</v>
      </c>
      <c r="Q368">
        <v>250</v>
      </c>
      <c r="R368" t="s">
        <v>1865</v>
      </c>
    </row>
    <row r="369" spans="1:18" x14ac:dyDescent="0.25">
      <c r="A369">
        <v>2078</v>
      </c>
      <c r="B369" t="s">
        <v>389</v>
      </c>
      <c r="C369" t="s">
        <v>630</v>
      </c>
      <c r="D369" t="str">
        <f t="shared" si="15"/>
        <v>Cunningham Judah</v>
      </c>
      <c r="E369" t="s">
        <v>1249</v>
      </c>
      <c r="F369" s="1">
        <v>45431</v>
      </c>
      <c r="G369" s="32" t="str">
        <f t="shared" si="16"/>
        <v>May</v>
      </c>
      <c r="H369">
        <v>1</v>
      </c>
      <c r="I369" t="str">
        <f t="shared" si="17"/>
        <v>Bronze</v>
      </c>
      <c r="J369" t="s">
        <v>18</v>
      </c>
      <c r="K369" s="17">
        <v>91049</v>
      </c>
      <c r="L369" s="17" t="s">
        <v>1228</v>
      </c>
      <c r="M369" t="s">
        <v>2253</v>
      </c>
      <c r="N369" t="s">
        <v>1229</v>
      </c>
      <c r="O369">
        <v>7250</v>
      </c>
      <c r="P369">
        <v>1200</v>
      </c>
      <c r="Q369">
        <v>1200</v>
      </c>
      <c r="R369" t="s">
        <v>2095</v>
      </c>
    </row>
    <row r="370" spans="1:18" x14ac:dyDescent="0.25">
      <c r="A370">
        <v>2205</v>
      </c>
      <c r="B370" t="s">
        <v>1182</v>
      </c>
      <c r="C370" t="s">
        <v>1183</v>
      </c>
      <c r="D370" t="str">
        <f t="shared" si="15"/>
        <v>Merritt Ezra</v>
      </c>
      <c r="E370" t="s">
        <v>1207</v>
      </c>
      <c r="F370" s="1">
        <v>45432</v>
      </c>
      <c r="G370" s="32" t="str">
        <f t="shared" si="16"/>
        <v>May</v>
      </c>
      <c r="H370">
        <v>2</v>
      </c>
      <c r="I370" t="str">
        <f t="shared" si="17"/>
        <v>Silver</v>
      </c>
      <c r="J370" t="s">
        <v>1243</v>
      </c>
      <c r="K370" s="17">
        <v>64060</v>
      </c>
      <c r="L370" s="17" t="s">
        <v>1220</v>
      </c>
      <c r="M370" t="s">
        <v>2254</v>
      </c>
      <c r="N370" t="s">
        <v>1226</v>
      </c>
      <c r="O370">
        <v>3220</v>
      </c>
      <c r="P370">
        <v>250</v>
      </c>
      <c r="Q370">
        <v>500</v>
      </c>
      <c r="R370" t="s">
        <v>2223</v>
      </c>
    </row>
    <row r="371" spans="1:18" x14ac:dyDescent="0.25">
      <c r="A371">
        <v>1795</v>
      </c>
      <c r="B371" t="s">
        <v>823</v>
      </c>
      <c r="C371" t="s">
        <v>824</v>
      </c>
      <c r="D371" t="str">
        <f t="shared" si="15"/>
        <v>Barron Rhys</v>
      </c>
      <c r="E371" t="s">
        <v>1203</v>
      </c>
      <c r="F371" s="1">
        <v>45433</v>
      </c>
      <c r="G371" s="32" t="str">
        <f t="shared" si="16"/>
        <v>May</v>
      </c>
      <c r="H371">
        <v>1</v>
      </c>
      <c r="I371" t="str">
        <f t="shared" si="17"/>
        <v>Bronze</v>
      </c>
      <c r="J371" t="s">
        <v>14</v>
      </c>
      <c r="K371" s="17">
        <v>88140</v>
      </c>
      <c r="L371" s="17" t="s">
        <v>1218</v>
      </c>
      <c r="M371" t="s">
        <v>2256</v>
      </c>
      <c r="N371" t="s">
        <v>836</v>
      </c>
      <c r="O371">
        <v>2000</v>
      </c>
      <c r="P371">
        <v>600</v>
      </c>
      <c r="Q371">
        <v>600</v>
      </c>
      <c r="R371" t="s">
        <v>1812</v>
      </c>
    </row>
    <row r="372" spans="1:18" x14ac:dyDescent="0.25">
      <c r="A372">
        <v>1472</v>
      </c>
      <c r="B372" t="s">
        <v>433</v>
      </c>
      <c r="C372" t="s">
        <v>434</v>
      </c>
      <c r="D372" t="str">
        <f t="shared" si="15"/>
        <v>Garza Natalia</v>
      </c>
      <c r="E372" t="s">
        <v>1205</v>
      </c>
      <c r="F372" s="1">
        <v>45434</v>
      </c>
      <c r="G372" s="32" t="str">
        <f t="shared" si="16"/>
        <v>May</v>
      </c>
      <c r="H372">
        <v>3</v>
      </c>
      <c r="I372" t="str">
        <f t="shared" si="17"/>
        <v>Gold</v>
      </c>
      <c r="J372" t="s">
        <v>14</v>
      </c>
      <c r="K372" s="17">
        <v>43934</v>
      </c>
      <c r="L372" s="17" t="s">
        <v>1218</v>
      </c>
      <c r="M372" t="s">
        <v>2254</v>
      </c>
      <c r="N372" t="s">
        <v>836</v>
      </c>
      <c r="O372">
        <v>2000</v>
      </c>
      <c r="P372">
        <v>250</v>
      </c>
      <c r="Q372">
        <v>750</v>
      </c>
      <c r="R372" t="s">
        <v>1488</v>
      </c>
    </row>
    <row r="373" spans="1:18" x14ac:dyDescent="0.25">
      <c r="A373">
        <v>1752</v>
      </c>
      <c r="B373" t="s">
        <v>679</v>
      </c>
      <c r="C373" t="s">
        <v>778</v>
      </c>
      <c r="D373" t="str">
        <f t="shared" si="15"/>
        <v>Sandoval Raelynn</v>
      </c>
      <c r="E373" t="s">
        <v>1249</v>
      </c>
      <c r="F373" s="1">
        <v>45434</v>
      </c>
      <c r="G373" s="32" t="str">
        <f t="shared" si="16"/>
        <v>May</v>
      </c>
      <c r="H373">
        <v>2</v>
      </c>
      <c r="I373" t="str">
        <f t="shared" si="17"/>
        <v>Silver</v>
      </c>
      <c r="J373" t="s">
        <v>1242</v>
      </c>
      <c r="K373" s="17">
        <v>12901</v>
      </c>
      <c r="L373" s="17" t="s">
        <v>1233</v>
      </c>
      <c r="M373" t="s">
        <v>2254</v>
      </c>
      <c r="N373" t="s">
        <v>1234</v>
      </c>
      <c r="O373">
        <v>800</v>
      </c>
      <c r="P373">
        <v>1200</v>
      </c>
      <c r="Q373">
        <v>2400</v>
      </c>
      <c r="R373" t="s">
        <v>1769</v>
      </c>
    </row>
    <row r="374" spans="1:18" x14ac:dyDescent="0.25">
      <c r="A374">
        <v>2139</v>
      </c>
      <c r="B374" t="s">
        <v>1139</v>
      </c>
      <c r="C374" t="s">
        <v>1098</v>
      </c>
      <c r="D374" t="str">
        <f t="shared" si="15"/>
        <v>Willis Sabrina</v>
      </c>
      <c r="E374" t="s">
        <v>1249</v>
      </c>
      <c r="F374" s="1">
        <v>45434</v>
      </c>
      <c r="G374" s="32" t="str">
        <f t="shared" si="16"/>
        <v>May</v>
      </c>
      <c r="H374">
        <v>3</v>
      </c>
      <c r="I374" t="str">
        <f t="shared" si="17"/>
        <v>Gold</v>
      </c>
      <c r="J374" t="s">
        <v>1242</v>
      </c>
      <c r="K374" s="17">
        <v>42423</v>
      </c>
      <c r="L374" s="17" t="s">
        <v>1218</v>
      </c>
      <c r="M374" t="s">
        <v>2256</v>
      </c>
      <c r="N374" t="s">
        <v>836</v>
      </c>
      <c r="O374">
        <v>2000</v>
      </c>
      <c r="P374">
        <v>1200</v>
      </c>
      <c r="Q374">
        <v>3600</v>
      </c>
      <c r="R374" t="s">
        <v>2157</v>
      </c>
    </row>
    <row r="375" spans="1:18" x14ac:dyDescent="0.25">
      <c r="A375">
        <v>1280</v>
      </c>
      <c r="B375" t="s">
        <v>117</v>
      </c>
      <c r="C375" t="s">
        <v>79</v>
      </c>
      <c r="D375" t="str">
        <f t="shared" si="15"/>
        <v>Buck Kane</v>
      </c>
      <c r="E375" t="s">
        <v>1249</v>
      </c>
      <c r="F375" s="1">
        <v>45436</v>
      </c>
      <c r="G375" s="32" t="str">
        <f t="shared" si="16"/>
        <v>May</v>
      </c>
      <c r="H375">
        <v>2</v>
      </c>
      <c r="I375" t="str">
        <f t="shared" si="17"/>
        <v>Silver</v>
      </c>
      <c r="J375" t="s">
        <v>14</v>
      </c>
      <c r="K375" s="17">
        <v>38317</v>
      </c>
      <c r="L375" s="17" t="s">
        <v>1222</v>
      </c>
      <c r="M375" t="s">
        <v>2254</v>
      </c>
      <c r="N375" t="s">
        <v>1237</v>
      </c>
      <c r="O375">
        <v>4000</v>
      </c>
      <c r="P375">
        <v>1200</v>
      </c>
      <c r="Q375">
        <v>2400</v>
      </c>
      <c r="R375" t="s">
        <v>1296</v>
      </c>
    </row>
    <row r="376" spans="1:18" x14ac:dyDescent="0.25">
      <c r="A376">
        <v>1483</v>
      </c>
      <c r="B376" t="s">
        <v>452</v>
      </c>
      <c r="C376" t="s">
        <v>453</v>
      </c>
      <c r="D376" t="str">
        <f t="shared" si="15"/>
        <v>Villarreal Damian</v>
      </c>
      <c r="E376" t="s">
        <v>1207</v>
      </c>
      <c r="F376" s="1">
        <v>45436</v>
      </c>
      <c r="G376" s="32" t="str">
        <f t="shared" si="16"/>
        <v>May</v>
      </c>
      <c r="H376">
        <v>2</v>
      </c>
      <c r="I376" t="str">
        <f t="shared" si="17"/>
        <v>Silver</v>
      </c>
      <c r="J376" t="s">
        <v>14</v>
      </c>
      <c r="K376" s="17">
        <v>4566</v>
      </c>
      <c r="L376" s="17" t="s">
        <v>1233</v>
      </c>
      <c r="M376" t="s">
        <v>2253</v>
      </c>
      <c r="N376" t="s">
        <v>1239</v>
      </c>
      <c r="O376">
        <v>870</v>
      </c>
      <c r="P376">
        <v>250</v>
      </c>
      <c r="Q376">
        <v>500</v>
      </c>
      <c r="R376" t="s">
        <v>1499</v>
      </c>
    </row>
    <row r="377" spans="1:18" x14ac:dyDescent="0.25">
      <c r="A377">
        <v>2049</v>
      </c>
      <c r="B377" t="s">
        <v>305</v>
      </c>
      <c r="C377" t="s">
        <v>1054</v>
      </c>
      <c r="D377" t="str">
        <f t="shared" si="15"/>
        <v>Espinosa Harlow</v>
      </c>
      <c r="E377" t="s">
        <v>1249</v>
      </c>
      <c r="F377" s="1">
        <v>45436</v>
      </c>
      <c r="G377" s="32" t="str">
        <f t="shared" si="16"/>
        <v>May</v>
      </c>
      <c r="H377">
        <v>2</v>
      </c>
      <c r="I377" t="str">
        <f t="shared" si="17"/>
        <v>Silver</v>
      </c>
      <c r="J377" t="s">
        <v>1242</v>
      </c>
      <c r="K377" s="17">
        <v>11470</v>
      </c>
      <c r="L377" s="17" t="s">
        <v>1222</v>
      </c>
      <c r="M377" t="s">
        <v>2254</v>
      </c>
      <c r="N377" t="s">
        <v>1231</v>
      </c>
      <c r="O377">
        <v>4870</v>
      </c>
      <c r="P377">
        <v>1200</v>
      </c>
      <c r="Q377">
        <v>2400</v>
      </c>
      <c r="R377" t="s">
        <v>2066</v>
      </c>
    </row>
    <row r="378" spans="1:18" x14ac:dyDescent="0.25">
      <c r="A378">
        <v>1871</v>
      </c>
      <c r="B378" t="s">
        <v>145</v>
      </c>
      <c r="C378" t="s">
        <v>902</v>
      </c>
      <c r="D378" t="str">
        <f t="shared" si="15"/>
        <v>Russell Kora</v>
      </c>
      <c r="E378" t="s">
        <v>1207</v>
      </c>
      <c r="F378" s="1">
        <v>45437</v>
      </c>
      <c r="G378" s="32" t="str">
        <f t="shared" si="16"/>
        <v>May</v>
      </c>
      <c r="H378">
        <v>3</v>
      </c>
      <c r="I378" t="str">
        <f t="shared" si="17"/>
        <v>Gold</v>
      </c>
      <c r="J378" t="s">
        <v>1242</v>
      </c>
      <c r="K378" s="17">
        <v>43807</v>
      </c>
      <c r="L378" s="17" t="s">
        <v>1220</v>
      </c>
      <c r="M378" t="s">
        <v>2256</v>
      </c>
      <c r="N378" t="s">
        <v>1232</v>
      </c>
      <c r="O378">
        <v>3000</v>
      </c>
      <c r="P378">
        <v>250</v>
      </c>
      <c r="Q378">
        <v>750</v>
      </c>
      <c r="R378" t="s">
        <v>1888</v>
      </c>
    </row>
    <row r="379" spans="1:18" x14ac:dyDescent="0.25">
      <c r="A379">
        <v>2224</v>
      </c>
      <c r="B379" t="s">
        <v>819</v>
      </c>
      <c r="C379" t="s">
        <v>782</v>
      </c>
      <c r="D379" t="str">
        <f t="shared" si="15"/>
        <v>Sims Frederick</v>
      </c>
      <c r="E379" t="s">
        <v>1207</v>
      </c>
      <c r="F379" s="1">
        <v>45437</v>
      </c>
      <c r="G379" s="32" t="str">
        <f t="shared" si="16"/>
        <v>May</v>
      </c>
      <c r="H379">
        <v>2</v>
      </c>
      <c r="I379" t="str">
        <f t="shared" si="17"/>
        <v>Silver</v>
      </c>
      <c r="J379" t="s">
        <v>14</v>
      </c>
      <c r="K379" s="17">
        <v>42709</v>
      </c>
      <c r="L379" s="17" t="s">
        <v>1228</v>
      </c>
      <c r="M379" t="s">
        <v>2252</v>
      </c>
      <c r="N379" t="s">
        <v>1240</v>
      </c>
      <c r="O379">
        <v>7310</v>
      </c>
      <c r="P379">
        <v>250</v>
      </c>
      <c r="Q379">
        <v>500</v>
      </c>
      <c r="R379" t="s">
        <v>2242</v>
      </c>
    </row>
    <row r="380" spans="1:18" x14ac:dyDescent="0.25">
      <c r="A380">
        <v>1332</v>
      </c>
      <c r="B380" t="s">
        <v>210</v>
      </c>
      <c r="C380" t="s">
        <v>211</v>
      </c>
      <c r="D380" t="str">
        <f t="shared" si="15"/>
        <v>Cruz Alexis</v>
      </c>
      <c r="E380" t="s">
        <v>1249</v>
      </c>
      <c r="F380" s="1">
        <v>45438</v>
      </c>
      <c r="G380" s="32" t="str">
        <f t="shared" si="16"/>
        <v>May</v>
      </c>
      <c r="H380">
        <v>2</v>
      </c>
      <c r="I380" t="str">
        <f t="shared" si="17"/>
        <v>Silver</v>
      </c>
      <c r="J380" t="s">
        <v>14</v>
      </c>
      <c r="K380" s="17">
        <v>48778</v>
      </c>
      <c r="L380" s="17" t="s">
        <v>1218</v>
      </c>
      <c r="M380" t="s">
        <v>2254</v>
      </c>
      <c r="N380" t="s">
        <v>1235</v>
      </c>
      <c r="O380">
        <v>2500</v>
      </c>
      <c r="P380">
        <v>1200</v>
      </c>
      <c r="Q380">
        <v>2400</v>
      </c>
      <c r="R380" t="s">
        <v>1348</v>
      </c>
    </row>
    <row r="381" spans="1:18" x14ac:dyDescent="0.25">
      <c r="A381">
        <v>1511</v>
      </c>
      <c r="B381" t="s">
        <v>469</v>
      </c>
      <c r="C381" t="s">
        <v>489</v>
      </c>
      <c r="D381" t="str">
        <f t="shared" si="15"/>
        <v>Huang Lexi</v>
      </c>
      <c r="E381" t="s">
        <v>1203</v>
      </c>
      <c r="F381" s="1">
        <v>45438</v>
      </c>
      <c r="G381" s="32" t="str">
        <f t="shared" si="16"/>
        <v>May</v>
      </c>
      <c r="H381">
        <v>1</v>
      </c>
      <c r="I381" t="str">
        <f t="shared" si="17"/>
        <v>Bronze</v>
      </c>
      <c r="J381" t="s">
        <v>1243</v>
      </c>
      <c r="K381" s="17">
        <v>62421</v>
      </c>
      <c r="L381" s="17" t="s">
        <v>1218</v>
      </c>
      <c r="M381" t="s">
        <v>2252</v>
      </c>
      <c r="N381" t="s">
        <v>836</v>
      </c>
      <c r="O381">
        <v>2000</v>
      </c>
      <c r="P381">
        <v>600</v>
      </c>
      <c r="Q381">
        <v>600</v>
      </c>
      <c r="R381" t="s">
        <v>1527</v>
      </c>
    </row>
    <row r="382" spans="1:18" x14ac:dyDescent="0.25">
      <c r="A382">
        <v>1756</v>
      </c>
      <c r="B382" t="s">
        <v>474</v>
      </c>
      <c r="C382" t="s">
        <v>782</v>
      </c>
      <c r="D382" t="str">
        <f t="shared" si="15"/>
        <v>Kaur Frederick</v>
      </c>
      <c r="E382" t="s">
        <v>1208</v>
      </c>
      <c r="F382" s="1">
        <v>45438</v>
      </c>
      <c r="G382" s="32" t="str">
        <f t="shared" si="16"/>
        <v>May</v>
      </c>
      <c r="H382">
        <v>2</v>
      </c>
      <c r="I382" t="str">
        <f t="shared" si="17"/>
        <v>Silver</v>
      </c>
      <c r="J382" t="s">
        <v>1243</v>
      </c>
      <c r="K382" s="17">
        <v>84542</v>
      </c>
      <c r="L382" s="17" t="s">
        <v>1228</v>
      </c>
      <c r="M382" t="s">
        <v>2256</v>
      </c>
      <c r="N382" t="s">
        <v>1230</v>
      </c>
      <c r="O382">
        <v>7000</v>
      </c>
      <c r="P382">
        <v>800</v>
      </c>
      <c r="Q382">
        <v>1600</v>
      </c>
      <c r="R382" t="s">
        <v>1773</v>
      </c>
    </row>
    <row r="383" spans="1:18" x14ac:dyDescent="0.25">
      <c r="A383">
        <v>1616</v>
      </c>
      <c r="B383" t="s">
        <v>619</v>
      </c>
      <c r="C383" t="s">
        <v>153</v>
      </c>
      <c r="D383" t="str">
        <f t="shared" si="15"/>
        <v>Oliver Hattie</v>
      </c>
      <c r="E383" t="s">
        <v>1249</v>
      </c>
      <c r="F383" s="1">
        <v>45439</v>
      </c>
      <c r="G383" s="32" t="str">
        <f t="shared" si="16"/>
        <v>May</v>
      </c>
      <c r="H383">
        <v>3</v>
      </c>
      <c r="I383" t="str">
        <f t="shared" si="17"/>
        <v>Gold</v>
      </c>
      <c r="J383" t="s">
        <v>1243</v>
      </c>
      <c r="K383" s="17">
        <v>93460</v>
      </c>
      <c r="L383" s="17" t="s">
        <v>1222</v>
      </c>
      <c r="M383" t="s">
        <v>2254</v>
      </c>
      <c r="N383" t="s">
        <v>1223</v>
      </c>
      <c r="O383">
        <v>4217</v>
      </c>
      <c r="P383">
        <v>1200</v>
      </c>
      <c r="Q383">
        <v>3600</v>
      </c>
      <c r="R383" t="s">
        <v>1633</v>
      </c>
    </row>
    <row r="384" spans="1:18" x14ac:dyDescent="0.25">
      <c r="A384">
        <v>1889</v>
      </c>
      <c r="B384" t="s">
        <v>919</v>
      </c>
      <c r="C384" t="s">
        <v>920</v>
      </c>
      <c r="D384" t="str">
        <f t="shared" si="15"/>
        <v>Rosario Casey</v>
      </c>
      <c r="E384" t="s">
        <v>1203</v>
      </c>
      <c r="F384" s="1">
        <v>45439</v>
      </c>
      <c r="G384" s="32" t="str">
        <f t="shared" si="16"/>
        <v>May</v>
      </c>
      <c r="H384">
        <v>3</v>
      </c>
      <c r="I384" t="str">
        <f t="shared" si="17"/>
        <v>Gold</v>
      </c>
      <c r="J384" t="s">
        <v>18</v>
      </c>
      <c r="K384" s="17">
        <v>28060</v>
      </c>
      <c r="L384" s="17" t="s">
        <v>1216</v>
      </c>
      <c r="M384" t="s">
        <v>2252</v>
      </c>
      <c r="N384" t="s">
        <v>1217</v>
      </c>
      <c r="O384">
        <v>2600</v>
      </c>
      <c r="P384">
        <v>600</v>
      </c>
      <c r="Q384">
        <v>1800</v>
      </c>
      <c r="R384" t="s">
        <v>1906</v>
      </c>
    </row>
    <row r="385" spans="1:18" x14ac:dyDescent="0.25">
      <c r="A385">
        <v>1914</v>
      </c>
      <c r="B385" t="s">
        <v>744</v>
      </c>
      <c r="C385" t="s">
        <v>941</v>
      </c>
      <c r="D385" t="str">
        <f t="shared" si="15"/>
        <v>Richardson Banks</v>
      </c>
      <c r="E385" t="s">
        <v>1205</v>
      </c>
      <c r="F385" s="1">
        <v>45439</v>
      </c>
      <c r="G385" s="32" t="str">
        <f t="shared" si="16"/>
        <v>May</v>
      </c>
      <c r="H385">
        <v>2</v>
      </c>
      <c r="I385" t="str">
        <f t="shared" si="17"/>
        <v>Silver</v>
      </c>
      <c r="J385" t="s">
        <v>1243</v>
      </c>
      <c r="K385" s="17">
        <v>17018</v>
      </c>
      <c r="L385" s="17" t="s">
        <v>1216</v>
      </c>
      <c r="M385" t="s">
        <v>2256</v>
      </c>
      <c r="N385" t="s">
        <v>1217</v>
      </c>
      <c r="O385">
        <v>2600</v>
      </c>
      <c r="P385">
        <v>250</v>
      </c>
      <c r="Q385">
        <v>500</v>
      </c>
      <c r="R385" t="s">
        <v>1931</v>
      </c>
    </row>
    <row r="386" spans="1:18" x14ac:dyDescent="0.25">
      <c r="A386">
        <v>2154</v>
      </c>
      <c r="B386" t="s">
        <v>784</v>
      </c>
      <c r="C386" t="s">
        <v>447</v>
      </c>
      <c r="D386" t="str">
        <f t="shared" ref="D386:D449" si="18">CONCATENATE(B386, " ", C386)</f>
        <v>Bennett Joy</v>
      </c>
      <c r="E386" t="s">
        <v>1248</v>
      </c>
      <c r="F386" s="1">
        <v>45439</v>
      </c>
      <c r="G386" s="32" t="str">
        <f t="shared" ref="G386:G449" si="19">TEXT(F386, "MMM")</f>
        <v>May</v>
      </c>
      <c r="H386">
        <v>2</v>
      </c>
      <c r="I386" t="str">
        <f t="shared" ref="I386:I449" si="20">IF(H386=1,"Bronze",IF(H386=2,"Silver",IF(H386=3,"Gold")))</f>
        <v>Silver</v>
      </c>
      <c r="J386" t="s">
        <v>18</v>
      </c>
      <c r="K386" s="17">
        <v>66485</v>
      </c>
      <c r="L386" s="17" t="s">
        <v>1220</v>
      </c>
      <c r="M386" t="s">
        <v>2255</v>
      </c>
      <c r="N386" t="s">
        <v>1232</v>
      </c>
      <c r="O386">
        <v>3000</v>
      </c>
      <c r="P386">
        <v>300</v>
      </c>
      <c r="Q386">
        <v>600</v>
      </c>
      <c r="R386" t="s">
        <v>2172</v>
      </c>
    </row>
    <row r="387" spans="1:18" x14ac:dyDescent="0.25">
      <c r="A387">
        <v>1300</v>
      </c>
      <c r="B387" t="s">
        <v>152</v>
      </c>
      <c r="C387" t="s">
        <v>153</v>
      </c>
      <c r="D387" t="str">
        <f t="shared" si="18"/>
        <v>Nicholson Hattie</v>
      </c>
      <c r="E387" t="s">
        <v>1248</v>
      </c>
      <c r="F387" s="1">
        <v>45440</v>
      </c>
      <c r="G387" s="32" t="str">
        <f t="shared" si="19"/>
        <v>May</v>
      </c>
      <c r="H387">
        <v>1</v>
      </c>
      <c r="I387" t="str">
        <f t="shared" si="20"/>
        <v>Bronze</v>
      </c>
      <c r="J387" t="s">
        <v>14</v>
      </c>
      <c r="K387" s="17">
        <v>4179</v>
      </c>
      <c r="L387" s="17" t="s">
        <v>1216</v>
      </c>
      <c r="M387" t="s">
        <v>2255</v>
      </c>
      <c r="N387" t="s">
        <v>1217</v>
      </c>
      <c r="O387">
        <v>2600</v>
      </c>
      <c r="P387">
        <v>300</v>
      </c>
      <c r="Q387">
        <v>300</v>
      </c>
      <c r="R387" t="s">
        <v>1316</v>
      </c>
    </row>
    <row r="388" spans="1:18" x14ac:dyDescent="0.25">
      <c r="A388">
        <v>1833</v>
      </c>
      <c r="B388" t="s">
        <v>862</v>
      </c>
      <c r="C388" t="s">
        <v>863</v>
      </c>
      <c r="D388" t="str">
        <f t="shared" si="18"/>
        <v>Roth Titus</v>
      </c>
      <c r="E388" t="s">
        <v>1203</v>
      </c>
      <c r="F388" s="1">
        <v>45440</v>
      </c>
      <c r="G388" s="32" t="str">
        <f t="shared" si="19"/>
        <v>May</v>
      </c>
      <c r="H388">
        <v>2</v>
      </c>
      <c r="I388" t="str">
        <f t="shared" si="20"/>
        <v>Silver</v>
      </c>
      <c r="J388" t="s">
        <v>14</v>
      </c>
      <c r="K388" s="17">
        <v>30086</v>
      </c>
      <c r="L388" s="17" t="s">
        <v>1228</v>
      </c>
      <c r="M388" t="s">
        <v>2253</v>
      </c>
      <c r="N388" t="s">
        <v>1230</v>
      </c>
      <c r="O388">
        <v>7000</v>
      </c>
      <c r="P388">
        <v>600</v>
      </c>
      <c r="Q388">
        <v>1200</v>
      </c>
      <c r="R388" t="s">
        <v>1850</v>
      </c>
    </row>
    <row r="389" spans="1:18" x14ac:dyDescent="0.25">
      <c r="A389">
        <v>1595</v>
      </c>
      <c r="B389" t="s">
        <v>595</v>
      </c>
      <c r="C389" t="s">
        <v>596</v>
      </c>
      <c r="D389" t="str">
        <f t="shared" si="18"/>
        <v>Piñeda Kyler</v>
      </c>
      <c r="E389" t="s">
        <v>1249</v>
      </c>
      <c r="F389" s="1">
        <v>45441</v>
      </c>
      <c r="G389" s="32" t="str">
        <f t="shared" si="19"/>
        <v>May</v>
      </c>
      <c r="H389">
        <v>2</v>
      </c>
      <c r="I389" t="str">
        <f t="shared" si="20"/>
        <v>Silver</v>
      </c>
      <c r="J389" t="s">
        <v>1242</v>
      </c>
      <c r="K389" s="17">
        <v>63743</v>
      </c>
      <c r="L389" s="17" t="s">
        <v>1218</v>
      </c>
      <c r="M389" t="s">
        <v>2253</v>
      </c>
      <c r="N389" t="s">
        <v>836</v>
      </c>
      <c r="O389">
        <v>2000</v>
      </c>
      <c r="P389">
        <v>1200</v>
      </c>
      <c r="Q389">
        <v>2400</v>
      </c>
      <c r="R389" t="s">
        <v>1611</v>
      </c>
    </row>
    <row r="390" spans="1:18" x14ac:dyDescent="0.25">
      <c r="A390">
        <v>1662</v>
      </c>
      <c r="B390" t="s">
        <v>192</v>
      </c>
      <c r="C390" t="s">
        <v>503</v>
      </c>
      <c r="D390" t="str">
        <f t="shared" si="18"/>
        <v>Weber Lennox</v>
      </c>
      <c r="E390" t="s">
        <v>1203</v>
      </c>
      <c r="F390" s="1">
        <v>45441</v>
      </c>
      <c r="G390" s="32" t="str">
        <f t="shared" si="19"/>
        <v>May</v>
      </c>
      <c r="H390">
        <v>2</v>
      </c>
      <c r="I390" t="str">
        <f t="shared" si="20"/>
        <v>Silver</v>
      </c>
      <c r="J390" t="s">
        <v>14</v>
      </c>
      <c r="K390" s="17">
        <v>9672</v>
      </c>
      <c r="L390" s="17" t="s">
        <v>1216</v>
      </c>
      <c r="M390" t="s">
        <v>2255</v>
      </c>
      <c r="N390" t="s">
        <v>1217</v>
      </c>
      <c r="O390">
        <v>2600</v>
      </c>
      <c r="P390">
        <v>600</v>
      </c>
      <c r="Q390">
        <v>1200</v>
      </c>
      <c r="R390" t="s">
        <v>1679</v>
      </c>
    </row>
    <row r="391" spans="1:18" x14ac:dyDescent="0.25">
      <c r="A391">
        <v>2203</v>
      </c>
      <c r="B391" t="s">
        <v>1180</v>
      </c>
      <c r="C391" t="s">
        <v>674</v>
      </c>
      <c r="D391" t="str">
        <f t="shared" si="18"/>
        <v>Melton Kyle</v>
      </c>
      <c r="E391" t="s">
        <v>1203</v>
      </c>
      <c r="F391" s="1">
        <v>45441</v>
      </c>
      <c r="G391" s="32" t="str">
        <f t="shared" si="19"/>
        <v>May</v>
      </c>
      <c r="H391">
        <v>3</v>
      </c>
      <c r="I391" t="str">
        <f t="shared" si="20"/>
        <v>Gold</v>
      </c>
      <c r="J391" t="s">
        <v>1242</v>
      </c>
      <c r="K391" s="17">
        <v>88585</v>
      </c>
      <c r="L391" s="17" t="s">
        <v>1218</v>
      </c>
      <c r="M391" t="s">
        <v>2252</v>
      </c>
      <c r="N391" t="s">
        <v>1235</v>
      </c>
      <c r="O391">
        <v>2500</v>
      </c>
      <c r="P391">
        <v>600</v>
      </c>
      <c r="Q391">
        <v>1800</v>
      </c>
      <c r="R391" t="s">
        <v>2221</v>
      </c>
    </row>
    <row r="392" spans="1:18" x14ac:dyDescent="0.25">
      <c r="A392">
        <v>1560</v>
      </c>
      <c r="B392" t="s">
        <v>344</v>
      </c>
      <c r="C392" t="s">
        <v>552</v>
      </c>
      <c r="D392" t="str">
        <f t="shared" si="18"/>
        <v>Patrick Brinley</v>
      </c>
      <c r="E392" t="s">
        <v>1205</v>
      </c>
      <c r="F392" s="1">
        <v>45442</v>
      </c>
      <c r="G392" s="32" t="str">
        <f t="shared" si="19"/>
        <v>May</v>
      </c>
      <c r="H392">
        <v>1</v>
      </c>
      <c r="I392" t="str">
        <f t="shared" si="20"/>
        <v>Bronze</v>
      </c>
      <c r="J392" t="s">
        <v>18</v>
      </c>
      <c r="K392" s="17">
        <v>97480</v>
      </c>
      <c r="L392" s="17" t="s">
        <v>1214</v>
      </c>
      <c r="M392" t="s">
        <v>2255</v>
      </c>
      <c r="N392" t="s">
        <v>1215</v>
      </c>
      <c r="O392">
        <v>6725</v>
      </c>
      <c r="P392">
        <v>250</v>
      </c>
      <c r="Q392">
        <v>250</v>
      </c>
      <c r="R392" t="s">
        <v>1576</v>
      </c>
    </row>
    <row r="393" spans="1:18" x14ac:dyDescent="0.25">
      <c r="A393">
        <v>1844</v>
      </c>
      <c r="B393" t="s">
        <v>872</v>
      </c>
      <c r="C393" t="s">
        <v>811</v>
      </c>
      <c r="D393" t="str">
        <f t="shared" si="18"/>
        <v>Curry Micah</v>
      </c>
      <c r="E393" t="s">
        <v>1249</v>
      </c>
      <c r="F393" s="1">
        <v>45442</v>
      </c>
      <c r="G393" s="32" t="str">
        <f t="shared" si="19"/>
        <v>May</v>
      </c>
      <c r="H393">
        <v>3</v>
      </c>
      <c r="I393" t="str">
        <f t="shared" si="20"/>
        <v>Gold</v>
      </c>
      <c r="J393" t="s">
        <v>1242</v>
      </c>
      <c r="K393" s="17">
        <v>60318</v>
      </c>
      <c r="L393" s="17" t="s">
        <v>1214</v>
      </c>
      <c r="M393" t="s">
        <v>2252</v>
      </c>
      <c r="N393" t="s">
        <v>1236</v>
      </c>
      <c r="O393">
        <v>6000</v>
      </c>
      <c r="P393">
        <v>1200</v>
      </c>
      <c r="Q393">
        <v>3600</v>
      </c>
      <c r="R393" t="s">
        <v>1861</v>
      </c>
    </row>
    <row r="394" spans="1:18" x14ac:dyDescent="0.25">
      <c r="A394">
        <v>2114</v>
      </c>
      <c r="B394" t="s">
        <v>707</v>
      </c>
      <c r="C394" t="s">
        <v>235</v>
      </c>
      <c r="D394" t="str">
        <f t="shared" si="18"/>
        <v>Nguyen Joshua</v>
      </c>
      <c r="E394" t="s">
        <v>1205</v>
      </c>
      <c r="F394" s="1">
        <v>45442</v>
      </c>
      <c r="G394" s="32" t="str">
        <f t="shared" si="19"/>
        <v>May</v>
      </c>
      <c r="H394">
        <v>1</v>
      </c>
      <c r="I394" t="str">
        <f t="shared" si="20"/>
        <v>Bronze</v>
      </c>
      <c r="J394" t="s">
        <v>14</v>
      </c>
      <c r="K394" s="17">
        <v>99266</v>
      </c>
      <c r="L394" s="17" t="s">
        <v>1218</v>
      </c>
      <c r="M394" t="s">
        <v>2256</v>
      </c>
      <c r="N394" t="s">
        <v>1219</v>
      </c>
      <c r="O394">
        <v>2300</v>
      </c>
      <c r="P394">
        <v>250</v>
      </c>
      <c r="Q394">
        <v>250</v>
      </c>
      <c r="R394" t="s">
        <v>2132</v>
      </c>
    </row>
    <row r="395" spans="1:18" x14ac:dyDescent="0.25">
      <c r="A395">
        <v>1625</v>
      </c>
      <c r="B395" t="s">
        <v>620</v>
      </c>
      <c r="C395" t="s">
        <v>97</v>
      </c>
      <c r="D395" t="str">
        <f t="shared" si="18"/>
        <v>Barajas Avery</v>
      </c>
      <c r="E395" t="s">
        <v>1207</v>
      </c>
      <c r="F395" s="1">
        <v>45443</v>
      </c>
      <c r="G395" s="32" t="str">
        <f t="shared" si="19"/>
        <v>May</v>
      </c>
      <c r="H395">
        <v>3</v>
      </c>
      <c r="I395" t="str">
        <f t="shared" si="20"/>
        <v>Gold</v>
      </c>
      <c r="J395" t="s">
        <v>18</v>
      </c>
      <c r="K395" s="17">
        <v>32308</v>
      </c>
      <c r="L395" s="17" t="s">
        <v>1220</v>
      </c>
      <c r="M395" t="s">
        <v>2253</v>
      </c>
      <c r="N395" t="s">
        <v>1221</v>
      </c>
      <c r="O395">
        <v>3350</v>
      </c>
      <c r="P395">
        <v>250</v>
      </c>
      <c r="Q395">
        <v>750</v>
      </c>
      <c r="R395" t="s">
        <v>1642</v>
      </c>
    </row>
    <row r="396" spans="1:18" x14ac:dyDescent="0.25">
      <c r="A396">
        <v>2087</v>
      </c>
      <c r="B396" t="s">
        <v>1071</v>
      </c>
      <c r="C396" t="s">
        <v>289</v>
      </c>
      <c r="D396" t="str">
        <f t="shared" si="18"/>
        <v>Webster Annabelle</v>
      </c>
      <c r="E396" t="s">
        <v>1207</v>
      </c>
      <c r="F396" s="1">
        <v>45443</v>
      </c>
      <c r="G396" s="32" t="str">
        <f t="shared" si="19"/>
        <v>May</v>
      </c>
      <c r="H396">
        <v>1</v>
      </c>
      <c r="I396" t="str">
        <f t="shared" si="20"/>
        <v>Bronze</v>
      </c>
      <c r="J396" t="s">
        <v>14</v>
      </c>
      <c r="K396" s="17">
        <v>98172</v>
      </c>
      <c r="L396" s="17" t="s">
        <v>1222</v>
      </c>
      <c r="M396" t="s">
        <v>2253</v>
      </c>
      <c r="N396" t="s">
        <v>1231</v>
      </c>
      <c r="O396">
        <v>4870</v>
      </c>
      <c r="P396">
        <v>250</v>
      </c>
      <c r="Q396">
        <v>250</v>
      </c>
      <c r="R396" t="s">
        <v>2104</v>
      </c>
    </row>
    <row r="397" spans="1:18" x14ac:dyDescent="0.25">
      <c r="A397">
        <v>2063</v>
      </c>
      <c r="B397" t="s">
        <v>17</v>
      </c>
      <c r="C397" t="s">
        <v>1067</v>
      </c>
      <c r="D397" t="str">
        <f t="shared" si="18"/>
        <v>Dean Aurora</v>
      </c>
      <c r="E397" t="s">
        <v>1208</v>
      </c>
      <c r="F397" s="1">
        <v>45444</v>
      </c>
      <c r="G397" s="32" t="str">
        <f t="shared" si="19"/>
        <v>Jun</v>
      </c>
      <c r="H397">
        <v>3</v>
      </c>
      <c r="I397" t="str">
        <f t="shared" si="20"/>
        <v>Gold</v>
      </c>
      <c r="J397" t="s">
        <v>1242</v>
      </c>
      <c r="K397" s="17">
        <v>43957</v>
      </c>
      <c r="L397" s="17" t="s">
        <v>1218</v>
      </c>
      <c r="M397" t="s">
        <v>2252</v>
      </c>
      <c r="N397" t="s">
        <v>1219</v>
      </c>
      <c r="O397">
        <v>2300</v>
      </c>
      <c r="P397">
        <v>800</v>
      </c>
      <c r="Q397">
        <v>2400</v>
      </c>
      <c r="R397" t="s">
        <v>2080</v>
      </c>
    </row>
    <row r="398" spans="1:18" x14ac:dyDescent="0.25">
      <c r="A398">
        <v>2111</v>
      </c>
      <c r="B398" t="s">
        <v>1108</v>
      </c>
      <c r="C398" t="s">
        <v>1109</v>
      </c>
      <c r="D398" t="str">
        <f t="shared" si="18"/>
        <v>Hill Valentina</v>
      </c>
      <c r="E398" t="s">
        <v>1249</v>
      </c>
      <c r="F398" s="1">
        <v>45444</v>
      </c>
      <c r="G398" s="32" t="str">
        <f t="shared" si="19"/>
        <v>Jun</v>
      </c>
      <c r="H398">
        <v>3</v>
      </c>
      <c r="I398" t="str">
        <f t="shared" si="20"/>
        <v>Gold</v>
      </c>
      <c r="J398" t="s">
        <v>18</v>
      </c>
      <c r="K398" s="17">
        <v>72623</v>
      </c>
      <c r="L398" s="17" t="s">
        <v>1222</v>
      </c>
      <c r="M398" t="s">
        <v>2253</v>
      </c>
      <c r="N398" t="s">
        <v>1223</v>
      </c>
      <c r="O398">
        <v>4217</v>
      </c>
      <c r="P398">
        <v>1200</v>
      </c>
      <c r="Q398">
        <v>3600</v>
      </c>
      <c r="R398" t="s">
        <v>2129</v>
      </c>
    </row>
    <row r="399" spans="1:18" x14ac:dyDescent="0.25">
      <c r="A399">
        <v>2194</v>
      </c>
      <c r="B399" t="s">
        <v>867</v>
      </c>
      <c r="C399" t="s">
        <v>151</v>
      </c>
      <c r="D399" t="str">
        <f t="shared" si="18"/>
        <v>Ferguson Manuel</v>
      </c>
      <c r="E399" t="s">
        <v>1248</v>
      </c>
      <c r="F399" s="1">
        <v>45444</v>
      </c>
      <c r="G399" s="32" t="str">
        <f t="shared" si="19"/>
        <v>Jun</v>
      </c>
      <c r="H399">
        <v>1</v>
      </c>
      <c r="I399" t="str">
        <f t="shared" si="20"/>
        <v>Bronze</v>
      </c>
      <c r="J399" t="s">
        <v>14</v>
      </c>
      <c r="K399" s="17">
        <v>90072</v>
      </c>
      <c r="L399" s="17" t="s">
        <v>1224</v>
      </c>
      <c r="M399" t="s">
        <v>2253</v>
      </c>
      <c r="N399" t="s">
        <v>1238</v>
      </c>
      <c r="O399">
        <v>5600</v>
      </c>
      <c r="P399">
        <v>300</v>
      </c>
      <c r="Q399">
        <v>300</v>
      </c>
      <c r="R399" t="s">
        <v>2212</v>
      </c>
    </row>
    <row r="400" spans="1:18" x14ac:dyDescent="0.25">
      <c r="A400">
        <v>2208</v>
      </c>
      <c r="B400" t="s">
        <v>1116</v>
      </c>
      <c r="C400" t="s">
        <v>1184</v>
      </c>
      <c r="D400" t="str">
        <f t="shared" si="18"/>
        <v>Knapp Uriel</v>
      </c>
      <c r="E400" t="s">
        <v>1248</v>
      </c>
      <c r="F400" s="1">
        <v>45444</v>
      </c>
      <c r="G400" s="32" t="str">
        <f t="shared" si="19"/>
        <v>Jun</v>
      </c>
      <c r="H400">
        <v>3</v>
      </c>
      <c r="I400" t="str">
        <f t="shared" si="20"/>
        <v>Gold</v>
      </c>
      <c r="J400" t="s">
        <v>14</v>
      </c>
      <c r="K400" s="17">
        <v>91761</v>
      </c>
      <c r="L400" s="17" t="s">
        <v>1233</v>
      </c>
      <c r="M400" t="s">
        <v>2252</v>
      </c>
      <c r="N400" t="s">
        <v>1234</v>
      </c>
      <c r="O400">
        <v>800</v>
      </c>
      <c r="P400">
        <v>300</v>
      </c>
      <c r="Q400">
        <v>900</v>
      </c>
      <c r="R400" t="s">
        <v>2226</v>
      </c>
    </row>
    <row r="401" spans="1:18" x14ac:dyDescent="0.25">
      <c r="A401">
        <v>1592</v>
      </c>
      <c r="B401" t="s">
        <v>591</v>
      </c>
      <c r="C401" t="s">
        <v>592</v>
      </c>
      <c r="D401" t="str">
        <f t="shared" si="18"/>
        <v>Wallace Reid</v>
      </c>
      <c r="E401" t="s">
        <v>1205</v>
      </c>
      <c r="F401" s="1">
        <v>45446</v>
      </c>
      <c r="G401" s="32" t="str">
        <f t="shared" si="19"/>
        <v>Jun</v>
      </c>
      <c r="H401">
        <v>1</v>
      </c>
      <c r="I401" t="str">
        <f t="shared" si="20"/>
        <v>Bronze</v>
      </c>
      <c r="J401" t="s">
        <v>18</v>
      </c>
      <c r="K401" s="17">
        <v>50011</v>
      </c>
      <c r="L401" s="17" t="s">
        <v>1233</v>
      </c>
      <c r="M401" t="s">
        <v>2252</v>
      </c>
      <c r="N401" t="s">
        <v>1234</v>
      </c>
      <c r="O401">
        <v>800</v>
      </c>
      <c r="P401">
        <v>250</v>
      </c>
      <c r="Q401">
        <v>250</v>
      </c>
      <c r="R401" t="s">
        <v>1608</v>
      </c>
    </row>
    <row r="402" spans="1:18" x14ac:dyDescent="0.25">
      <c r="A402">
        <v>1292</v>
      </c>
      <c r="B402" t="s">
        <v>124</v>
      </c>
      <c r="C402" t="s">
        <v>139</v>
      </c>
      <c r="D402" t="str">
        <f t="shared" si="18"/>
        <v>Collier Mckenna</v>
      </c>
      <c r="E402" t="s">
        <v>1207</v>
      </c>
      <c r="F402" s="1">
        <v>45447</v>
      </c>
      <c r="G402" s="32" t="str">
        <f t="shared" si="19"/>
        <v>Jun</v>
      </c>
      <c r="H402">
        <v>3</v>
      </c>
      <c r="I402" t="str">
        <f t="shared" si="20"/>
        <v>Gold</v>
      </c>
      <c r="J402" t="s">
        <v>14</v>
      </c>
      <c r="K402" s="17">
        <v>62504</v>
      </c>
      <c r="L402" s="17" t="s">
        <v>1233</v>
      </c>
      <c r="M402" t="s">
        <v>2252</v>
      </c>
      <c r="N402" t="s">
        <v>1234</v>
      </c>
      <c r="O402">
        <v>800</v>
      </c>
      <c r="P402">
        <v>250</v>
      </c>
      <c r="Q402">
        <v>750</v>
      </c>
      <c r="R402" t="s">
        <v>1308</v>
      </c>
    </row>
    <row r="403" spans="1:18" x14ac:dyDescent="0.25">
      <c r="A403">
        <v>1648</v>
      </c>
      <c r="B403" t="s">
        <v>657</v>
      </c>
      <c r="C403" t="s">
        <v>658</v>
      </c>
      <c r="D403" t="str">
        <f t="shared" si="18"/>
        <v>Daugherty Noelle</v>
      </c>
      <c r="E403" t="s">
        <v>1207</v>
      </c>
      <c r="F403" s="1">
        <v>45447</v>
      </c>
      <c r="G403" s="32" t="str">
        <f t="shared" si="19"/>
        <v>Jun</v>
      </c>
      <c r="H403">
        <v>1</v>
      </c>
      <c r="I403" t="str">
        <f t="shared" si="20"/>
        <v>Bronze</v>
      </c>
      <c r="J403" t="s">
        <v>14</v>
      </c>
      <c r="K403" s="17">
        <v>31282</v>
      </c>
      <c r="L403" s="17" t="s">
        <v>1220</v>
      </c>
      <c r="M403" t="s">
        <v>2253</v>
      </c>
      <c r="N403" t="s">
        <v>1226</v>
      </c>
      <c r="O403">
        <v>3220</v>
      </c>
      <c r="P403">
        <v>250</v>
      </c>
      <c r="Q403">
        <v>250</v>
      </c>
      <c r="R403" t="s">
        <v>1665</v>
      </c>
    </row>
    <row r="404" spans="1:18" x14ac:dyDescent="0.25">
      <c r="A404">
        <v>2177</v>
      </c>
      <c r="B404" t="s">
        <v>17</v>
      </c>
      <c r="C404" t="s">
        <v>1018</v>
      </c>
      <c r="D404" t="str">
        <f t="shared" si="18"/>
        <v>Dean Maddox</v>
      </c>
      <c r="E404" t="s">
        <v>1248</v>
      </c>
      <c r="F404" s="1">
        <v>45447</v>
      </c>
      <c r="G404" s="32" t="str">
        <f t="shared" si="19"/>
        <v>Jun</v>
      </c>
      <c r="H404">
        <v>1</v>
      </c>
      <c r="I404" t="str">
        <f t="shared" si="20"/>
        <v>Bronze</v>
      </c>
      <c r="J404" t="s">
        <v>1242</v>
      </c>
      <c r="K404" s="17">
        <v>60360</v>
      </c>
      <c r="L404" s="17" t="s">
        <v>1224</v>
      </c>
      <c r="M404" t="s">
        <v>2255</v>
      </c>
      <c r="N404" t="s">
        <v>1238</v>
      </c>
      <c r="O404">
        <v>5600</v>
      </c>
      <c r="P404">
        <v>300</v>
      </c>
      <c r="Q404">
        <v>300</v>
      </c>
      <c r="R404" t="s">
        <v>2195</v>
      </c>
    </row>
    <row r="405" spans="1:18" x14ac:dyDescent="0.25">
      <c r="A405">
        <v>1353</v>
      </c>
      <c r="B405" t="s">
        <v>244</v>
      </c>
      <c r="C405" t="s">
        <v>245</v>
      </c>
      <c r="D405" t="str">
        <f t="shared" si="18"/>
        <v>Clark Zion</v>
      </c>
      <c r="E405" t="s">
        <v>1249</v>
      </c>
      <c r="F405" s="1">
        <v>45448</v>
      </c>
      <c r="G405" s="32" t="str">
        <f t="shared" si="19"/>
        <v>Jun</v>
      </c>
      <c r="H405">
        <v>2</v>
      </c>
      <c r="I405" t="str">
        <f t="shared" si="20"/>
        <v>Silver</v>
      </c>
      <c r="J405" t="s">
        <v>14</v>
      </c>
      <c r="K405" s="17">
        <v>68017</v>
      </c>
      <c r="L405" s="17" t="s">
        <v>1224</v>
      </c>
      <c r="M405" t="s">
        <v>2252</v>
      </c>
      <c r="N405" t="s">
        <v>1225</v>
      </c>
      <c r="O405">
        <v>5290</v>
      </c>
      <c r="P405">
        <v>1200</v>
      </c>
      <c r="Q405">
        <v>2400</v>
      </c>
      <c r="R405" t="s">
        <v>1369</v>
      </c>
    </row>
    <row r="406" spans="1:18" x14ac:dyDescent="0.25">
      <c r="A406">
        <v>2127</v>
      </c>
      <c r="B406" t="s">
        <v>921</v>
      </c>
      <c r="C406" t="s">
        <v>350</v>
      </c>
      <c r="D406" t="str">
        <f t="shared" si="18"/>
        <v>Sutton Zayn</v>
      </c>
      <c r="E406" t="s">
        <v>1248</v>
      </c>
      <c r="F406" s="1">
        <v>45448</v>
      </c>
      <c r="G406" s="32" t="str">
        <f t="shared" si="19"/>
        <v>Jun</v>
      </c>
      <c r="H406">
        <v>3</v>
      </c>
      <c r="I406" t="str">
        <f t="shared" si="20"/>
        <v>Gold</v>
      </c>
      <c r="J406" t="s">
        <v>1243</v>
      </c>
      <c r="K406" s="17">
        <v>46847</v>
      </c>
      <c r="L406" s="17" t="s">
        <v>1233</v>
      </c>
      <c r="M406" t="s">
        <v>2256</v>
      </c>
      <c r="N406" t="s">
        <v>1239</v>
      </c>
      <c r="O406">
        <v>870</v>
      </c>
      <c r="P406">
        <v>300</v>
      </c>
      <c r="Q406">
        <v>900</v>
      </c>
      <c r="R406" t="s">
        <v>2145</v>
      </c>
    </row>
    <row r="407" spans="1:18" x14ac:dyDescent="0.25">
      <c r="A407">
        <v>2148</v>
      </c>
      <c r="B407" t="s">
        <v>265</v>
      </c>
      <c r="C407" t="s">
        <v>257</v>
      </c>
      <c r="D407" t="str">
        <f t="shared" si="18"/>
        <v>Kirby Griffin</v>
      </c>
      <c r="E407" t="s">
        <v>1203</v>
      </c>
      <c r="F407" s="1">
        <v>45448</v>
      </c>
      <c r="G407" s="32" t="str">
        <f t="shared" si="19"/>
        <v>Jun</v>
      </c>
      <c r="H407">
        <v>2</v>
      </c>
      <c r="I407" t="str">
        <f t="shared" si="20"/>
        <v>Silver</v>
      </c>
      <c r="J407" t="s">
        <v>1242</v>
      </c>
      <c r="K407" s="17">
        <v>63608</v>
      </c>
      <c r="L407" s="17" t="s">
        <v>1222</v>
      </c>
      <c r="M407" t="s">
        <v>2256</v>
      </c>
      <c r="N407" t="s">
        <v>1237</v>
      </c>
      <c r="O407">
        <v>4000</v>
      </c>
      <c r="P407">
        <v>600</v>
      </c>
      <c r="Q407">
        <v>1200</v>
      </c>
      <c r="R407" t="s">
        <v>2166</v>
      </c>
    </row>
    <row r="408" spans="1:18" x14ac:dyDescent="0.25">
      <c r="A408">
        <v>1239</v>
      </c>
      <c r="B408" t="s">
        <v>36</v>
      </c>
      <c r="C408" t="s">
        <v>37</v>
      </c>
      <c r="D408" t="str">
        <f t="shared" si="18"/>
        <v>Jacobs Hayden</v>
      </c>
      <c r="E408" t="s">
        <v>1208</v>
      </c>
      <c r="F408" s="1">
        <v>45449</v>
      </c>
      <c r="G408" s="32" t="str">
        <f t="shared" si="19"/>
        <v>Jun</v>
      </c>
      <c r="H408">
        <v>1</v>
      </c>
      <c r="I408" t="str">
        <f t="shared" si="20"/>
        <v>Bronze</v>
      </c>
      <c r="J408" t="s">
        <v>1242</v>
      </c>
      <c r="K408" s="17">
        <v>12937</v>
      </c>
      <c r="L408" s="17" t="s">
        <v>1224</v>
      </c>
      <c r="M408" t="s">
        <v>2256</v>
      </c>
      <c r="N408" t="s">
        <v>1225</v>
      </c>
      <c r="O408">
        <v>5290</v>
      </c>
      <c r="P408">
        <v>800</v>
      </c>
      <c r="Q408">
        <v>800</v>
      </c>
      <c r="R408" t="s">
        <v>1255</v>
      </c>
    </row>
    <row r="409" spans="1:18" x14ac:dyDescent="0.25">
      <c r="A409">
        <v>1863</v>
      </c>
      <c r="B409" t="s">
        <v>892</v>
      </c>
      <c r="C409" t="s">
        <v>893</v>
      </c>
      <c r="D409" t="str">
        <f t="shared" si="18"/>
        <v>Cole Ian</v>
      </c>
      <c r="E409" t="s">
        <v>1208</v>
      </c>
      <c r="F409" s="1">
        <v>45449</v>
      </c>
      <c r="G409" s="32" t="str">
        <f t="shared" si="19"/>
        <v>Jun</v>
      </c>
      <c r="H409">
        <v>2</v>
      </c>
      <c r="I409" t="str">
        <f t="shared" si="20"/>
        <v>Silver</v>
      </c>
      <c r="J409" t="s">
        <v>1242</v>
      </c>
      <c r="K409" s="17">
        <v>23455</v>
      </c>
      <c r="L409" s="17" t="s">
        <v>1218</v>
      </c>
      <c r="M409" t="s">
        <v>2254</v>
      </c>
      <c r="N409" t="s">
        <v>1219</v>
      </c>
      <c r="O409">
        <v>2300</v>
      </c>
      <c r="P409">
        <v>800</v>
      </c>
      <c r="Q409">
        <v>1600</v>
      </c>
      <c r="R409" t="s">
        <v>1880</v>
      </c>
    </row>
    <row r="410" spans="1:18" x14ac:dyDescent="0.25">
      <c r="A410">
        <v>1271</v>
      </c>
      <c r="B410" t="s">
        <v>99</v>
      </c>
      <c r="C410" t="s">
        <v>100</v>
      </c>
      <c r="D410" t="str">
        <f t="shared" si="18"/>
        <v>Fitzgerald Cade</v>
      </c>
      <c r="E410" t="s">
        <v>1207</v>
      </c>
      <c r="F410" s="1">
        <v>45450</v>
      </c>
      <c r="G410" s="32" t="str">
        <f t="shared" si="19"/>
        <v>Jun</v>
      </c>
      <c r="H410">
        <v>1</v>
      </c>
      <c r="I410" t="str">
        <f t="shared" si="20"/>
        <v>Bronze</v>
      </c>
      <c r="J410" t="s">
        <v>18</v>
      </c>
      <c r="K410" s="17">
        <v>33763</v>
      </c>
      <c r="L410" s="17" t="s">
        <v>1214</v>
      </c>
      <c r="M410" t="s">
        <v>2253</v>
      </c>
      <c r="N410" t="s">
        <v>1215</v>
      </c>
      <c r="O410">
        <v>6725</v>
      </c>
      <c r="P410">
        <v>250</v>
      </c>
      <c r="Q410">
        <v>250</v>
      </c>
      <c r="R410" t="s">
        <v>1287</v>
      </c>
    </row>
    <row r="411" spans="1:18" x14ac:dyDescent="0.25">
      <c r="A411">
        <v>2012</v>
      </c>
      <c r="B411" t="s">
        <v>1006</v>
      </c>
      <c r="C411" t="s">
        <v>219</v>
      </c>
      <c r="D411" t="str">
        <f t="shared" si="18"/>
        <v>Adams Luke</v>
      </c>
      <c r="E411" t="s">
        <v>1207</v>
      </c>
      <c r="F411" s="1">
        <v>45450</v>
      </c>
      <c r="G411" s="32" t="str">
        <f t="shared" si="19"/>
        <v>Jun</v>
      </c>
      <c r="H411">
        <v>1</v>
      </c>
      <c r="I411" t="str">
        <f t="shared" si="20"/>
        <v>Bronze</v>
      </c>
      <c r="J411" t="s">
        <v>14</v>
      </c>
      <c r="K411" s="17">
        <v>70552</v>
      </c>
      <c r="L411" s="17" t="s">
        <v>1233</v>
      </c>
      <c r="M411" t="s">
        <v>2255</v>
      </c>
      <c r="N411" t="s">
        <v>1234</v>
      </c>
      <c r="O411">
        <v>800</v>
      </c>
      <c r="P411">
        <v>250</v>
      </c>
      <c r="Q411">
        <v>250</v>
      </c>
      <c r="R411" t="s">
        <v>2029</v>
      </c>
    </row>
    <row r="412" spans="1:18" x14ac:dyDescent="0.25">
      <c r="A412">
        <v>1903</v>
      </c>
      <c r="B412" t="s">
        <v>87</v>
      </c>
      <c r="C412" t="s">
        <v>401</v>
      </c>
      <c r="D412" t="str">
        <f t="shared" si="18"/>
        <v>Anderson Ailani</v>
      </c>
      <c r="E412" t="s">
        <v>1205</v>
      </c>
      <c r="F412" s="1">
        <v>45451</v>
      </c>
      <c r="G412" s="32" t="str">
        <f t="shared" si="19"/>
        <v>Jun</v>
      </c>
      <c r="H412">
        <v>2</v>
      </c>
      <c r="I412" t="str">
        <f t="shared" si="20"/>
        <v>Silver</v>
      </c>
      <c r="J412" t="s">
        <v>1242</v>
      </c>
      <c r="K412" s="17">
        <v>79524</v>
      </c>
      <c r="L412" s="17" t="s">
        <v>1222</v>
      </c>
      <c r="M412" t="s">
        <v>2255</v>
      </c>
      <c r="N412" t="s">
        <v>1223</v>
      </c>
      <c r="O412">
        <v>4217</v>
      </c>
      <c r="P412">
        <v>250</v>
      </c>
      <c r="Q412">
        <v>500</v>
      </c>
      <c r="R412" t="s">
        <v>1920</v>
      </c>
    </row>
    <row r="413" spans="1:18" x14ac:dyDescent="0.25">
      <c r="A413">
        <v>1744</v>
      </c>
      <c r="B413" t="s">
        <v>770</v>
      </c>
      <c r="C413" t="s">
        <v>771</v>
      </c>
      <c r="D413" t="str">
        <f t="shared" si="18"/>
        <v>Shields Eduardo</v>
      </c>
      <c r="E413" t="s">
        <v>1205</v>
      </c>
      <c r="F413" s="1">
        <v>45452</v>
      </c>
      <c r="G413" s="32" t="str">
        <f t="shared" si="19"/>
        <v>Jun</v>
      </c>
      <c r="H413">
        <v>2</v>
      </c>
      <c r="I413" t="str">
        <f t="shared" si="20"/>
        <v>Silver</v>
      </c>
      <c r="J413" t="s">
        <v>14</v>
      </c>
      <c r="K413" s="17">
        <v>21340</v>
      </c>
      <c r="L413" s="17" t="s">
        <v>1216</v>
      </c>
      <c r="M413" t="s">
        <v>2252</v>
      </c>
      <c r="N413" t="s">
        <v>1217</v>
      </c>
      <c r="O413">
        <v>2600</v>
      </c>
      <c r="P413">
        <v>250</v>
      </c>
      <c r="Q413">
        <v>500</v>
      </c>
      <c r="R413" t="s">
        <v>1761</v>
      </c>
    </row>
    <row r="414" spans="1:18" x14ac:dyDescent="0.25">
      <c r="A414">
        <v>1901</v>
      </c>
      <c r="B414" t="s">
        <v>822</v>
      </c>
      <c r="C414" t="s">
        <v>933</v>
      </c>
      <c r="D414" t="str">
        <f t="shared" si="18"/>
        <v>Hall Sterling</v>
      </c>
      <c r="E414" t="s">
        <v>1207</v>
      </c>
      <c r="F414" s="1">
        <v>45452</v>
      </c>
      <c r="G414" s="32" t="str">
        <f t="shared" si="19"/>
        <v>Jun</v>
      </c>
      <c r="H414">
        <v>2</v>
      </c>
      <c r="I414" t="str">
        <f t="shared" si="20"/>
        <v>Silver</v>
      </c>
      <c r="J414" t="s">
        <v>1242</v>
      </c>
      <c r="K414" s="17">
        <v>37505</v>
      </c>
      <c r="L414" s="17" t="s">
        <v>1233</v>
      </c>
      <c r="M414" t="s">
        <v>2252</v>
      </c>
      <c r="N414" t="s">
        <v>1239</v>
      </c>
      <c r="O414">
        <v>870</v>
      </c>
      <c r="P414">
        <v>250</v>
      </c>
      <c r="Q414">
        <v>500</v>
      </c>
      <c r="R414" t="s">
        <v>1918</v>
      </c>
    </row>
    <row r="415" spans="1:18" x14ac:dyDescent="0.25">
      <c r="A415">
        <v>1995</v>
      </c>
      <c r="B415" t="s">
        <v>1012</v>
      </c>
      <c r="C415" t="s">
        <v>436</v>
      </c>
      <c r="D415" t="str">
        <f t="shared" si="18"/>
        <v>Zamora Celine</v>
      </c>
      <c r="E415" t="s">
        <v>1205</v>
      </c>
      <c r="F415" s="1">
        <v>45452</v>
      </c>
      <c r="G415" s="32" t="str">
        <f t="shared" si="19"/>
        <v>Jun</v>
      </c>
      <c r="H415">
        <v>3</v>
      </c>
      <c r="I415" t="str">
        <f t="shared" si="20"/>
        <v>Gold</v>
      </c>
      <c r="J415" t="s">
        <v>14</v>
      </c>
      <c r="K415" s="17">
        <v>7339</v>
      </c>
      <c r="L415" s="17" t="s">
        <v>1214</v>
      </c>
      <c r="M415" t="s">
        <v>2254</v>
      </c>
      <c r="N415" t="s">
        <v>1227</v>
      </c>
      <c r="O415">
        <v>6160</v>
      </c>
      <c r="P415">
        <v>250</v>
      </c>
      <c r="Q415">
        <v>750</v>
      </c>
      <c r="R415" t="s">
        <v>2012</v>
      </c>
    </row>
    <row r="416" spans="1:18" x14ac:dyDescent="0.25">
      <c r="A416">
        <v>2055</v>
      </c>
      <c r="B416" t="s">
        <v>1061</v>
      </c>
      <c r="C416" t="s">
        <v>635</v>
      </c>
      <c r="D416" t="str">
        <f t="shared" si="18"/>
        <v>Hurst Kali</v>
      </c>
      <c r="E416" t="s">
        <v>1248</v>
      </c>
      <c r="F416" s="1">
        <v>45452</v>
      </c>
      <c r="G416" s="32" t="str">
        <f t="shared" si="19"/>
        <v>Jun</v>
      </c>
      <c r="H416">
        <v>1</v>
      </c>
      <c r="I416" t="str">
        <f t="shared" si="20"/>
        <v>Bronze</v>
      </c>
      <c r="J416" t="s">
        <v>14</v>
      </c>
      <c r="K416" s="17">
        <v>43981</v>
      </c>
      <c r="L416" s="17" t="s">
        <v>1220</v>
      </c>
      <c r="M416" t="s">
        <v>2254</v>
      </c>
      <c r="N416" t="s">
        <v>1221</v>
      </c>
      <c r="O416">
        <v>3350</v>
      </c>
      <c r="P416">
        <v>300</v>
      </c>
      <c r="Q416">
        <v>300</v>
      </c>
      <c r="R416" t="s">
        <v>2072</v>
      </c>
    </row>
    <row r="417" spans="1:18" x14ac:dyDescent="0.25">
      <c r="A417">
        <v>1338</v>
      </c>
      <c r="B417" t="s">
        <v>220</v>
      </c>
      <c r="C417" t="s">
        <v>221</v>
      </c>
      <c r="D417" t="str">
        <f t="shared" si="18"/>
        <v>Frye Jasiah</v>
      </c>
      <c r="E417" t="s">
        <v>1205</v>
      </c>
      <c r="F417" s="1">
        <v>45453</v>
      </c>
      <c r="G417" s="32" t="str">
        <f t="shared" si="19"/>
        <v>Jun</v>
      </c>
      <c r="H417">
        <v>2</v>
      </c>
      <c r="I417" t="str">
        <f t="shared" si="20"/>
        <v>Silver</v>
      </c>
      <c r="J417" t="s">
        <v>14</v>
      </c>
      <c r="K417" s="17">
        <v>16269</v>
      </c>
      <c r="L417" s="17" t="s">
        <v>1218</v>
      </c>
      <c r="M417" t="s">
        <v>2253</v>
      </c>
      <c r="N417" t="s">
        <v>1219</v>
      </c>
      <c r="O417">
        <v>2300</v>
      </c>
      <c r="P417">
        <v>250</v>
      </c>
      <c r="Q417">
        <v>500</v>
      </c>
      <c r="R417" t="s">
        <v>1354</v>
      </c>
    </row>
    <row r="418" spans="1:18" x14ac:dyDescent="0.25">
      <c r="A418">
        <v>1823</v>
      </c>
      <c r="B418" t="s">
        <v>848</v>
      </c>
      <c r="C418" t="s">
        <v>849</v>
      </c>
      <c r="D418" t="str">
        <f t="shared" si="18"/>
        <v>Arellano Jonathan</v>
      </c>
      <c r="E418" t="s">
        <v>1249</v>
      </c>
      <c r="F418" s="1">
        <v>45453</v>
      </c>
      <c r="G418" s="32" t="str">
        <f t="shared" si="19"/>
        <v>Jun</v>
      </c>
      <c r="H418">
        <v>1</v>
      </c>
      <c r="I418" t="str">
        <f t="shared" si="20"/>
        <v>Bronze</v>
      </c>
      <c r="J418" t="s">
        <v>14</v>
      </c>
      <c r="K418" s="17">
        <v>22200</v>
      </c>
      <c r="L418" s="17" t="s">
        <v>1233</v>
      </c>
      <c r="M418" t="s">
        <v>2254</v>
      </c>
      <c r="N418" t="s">
        <v>1239</v>
      </c>
      <c r="O418">
        <v>870</v>
      </c>
      <c r="P418">
        <v>1200</v>
      </c>
      <c r="Q418">
        <v>1200</v>
      </c>
      <c r="R418" t="s">
        <v>1840</v>
      </c>
    </row>
    <row r="419" spans="1:18" x14ac:dyDescent="0.25">
      <c r="A419">
        <v>1837</v>
      </c>
      <c r="B419" t="s">
        <v>867</v>
      </c>
      <c r="C419" t="s">
        <v>721</v>
      </c>
      <c r="D419" t="str">
        <f t="shared" si="18"/>
        <v>Ferguson Frances</v>
      </c>
      <c r="E419" t="s">
        <v>1203</v>
      </c>
      <c r="F419" s="1">
        <v>45453</v>
      </c>
      <c r="G419" s="32" t="str">
        <f t="shared" si="19"/>
        <v>Jun</v>
      </c>
      <c r="H419">
        <v>3</v>
      </c>
      <c r="I419" t="str">
        <f t="shared" si="20"/>
        <v>Gold</v>
      </c>
      <c r="J419" t="s">
        <v>14</v>
      </c>
      <c r="K419" s="17">
        <v>27292</v>
      </c>
      <c r="L419" s="17" t="s">
        <v>1224</v>
      </c>
      <c r="M419" t="s">
        <v>2253</v>
      </c>
      <c r="N419" t="s">
        <v>1225</v>
      </c>
      <c r="O419">
        <v>5290</v>
      </c>
      <c r="P419">
        <v>600</v>
      </c>
      <c r="Q419">
        <v>1800</v>
      </c>
      <c r="R419" t="s">
        <v>1854</v>
      </c>
    </row>
    <row r="420" spans="1:18" x14ac:dyDescent="0.25">
      <c r="A420">
        <v>1818</v>
      </c>
      <c r="B420" t="s">
        <v>846</v>
      </c>
      <c r="C420" t="s">
        <v>673</v>
      </c>
      <c r="D420" t="str">
        <f t="shared" si="18"/>
        <v>Clayton Brody</v>
      </c>
      <c r="E420" t="s">
        <v>1208</v>
      </c>
      <c r="F420" s="1">
        <v>45454</v>
      </c>
      <c r="G420" s="32" t="str">
        <f t="shared" si="19"/>
        <v>Jun</v>
      </c>
      <c r="H420">
        <v>1</v>
      </c>
      <c r="I420" t="str">
        <f t="shared" si="20"/>
        <v>Bronze</v>
      </c>
      <c r="J420" t="s">
        <v>14</v>
      </c>
      <c r="K420" s="17">
        <v>69096</v>
      </c>
      <c r="L420" s="17" t="s">
        <v>1224</v>
      </c>
      <c r="M420" t="s">
        <v>2256</v>
      </c>
      <c r="N420" t="s">
        <v>1238</v>
      </c>
      <c r="O420">
        <v>5600</v>
      </c>
      <c r="P420">
        <v>800</v>
      </c>
      <c r="Q420">
        <v>800</v>
      </c>
      <c r="R420" t="s">
        <v>1835</v>
      </c>
    </row>
    <row r="421" spans="1:18" x14ac:dyDescent="0.25">
      <c r="A421">
        <v>1819</v>
      </c>
      <c r="B421" t="s">
        <v>620</v>
      </c>
      <c r="C421" t="s">
        <v>29</v>
      </c>
      <c r="D421" t="str">
        <f t="shared" si="18"/>
        <v>Barajas Ali</v>
      </c>
      <c r="E421" t="s">
        <v>1203</v>
      </c>
      <c r="F421" s="1">
        <v>45454</v>
      </c>
      <c r="G421" s="32" t="str">
        <f t="shared" si="19"/>
        <v>Jun</v>
      </c>
      <c r="H421">
        <v>3</v>
      </c>
      <c r="I421" t="str">
        <f t="shared" si="20"/>
        <v>Gold</v>
      </c>
      <c r="J421" t="s">
        <v>18</v>
      </c>
      <c r="K421" s="17">
        <v>37898</v>
      </c>
      <c r="L421" s="17" t="s">
        <v>1222</v>
      </c>
      <c r="M421" t="s">
        <v>2253</v>
      </c>
      <c r="N421" t="s">
        <v>1223</v>
      </c>
      <c r="O421">
        <v>4217</v>
      </c>
      <c r="P421">
        <v>600</v>
      </c>
      <c r="Q421">
        <v>1800</v>
      </c>
      <c r="R421" t="s">
        <v>1836</v>
      </c>
    </row>
    <row r="422" spans="1:18" x14ac:dyDescent="0.25">
      <c r="A422">
        <v>1963</v>
      </c>
      <c r="B422" t="s">
        <v>663</v>
      </c>
      <c r="C422" t="s">
        <v>987</v>
      </c>
      <c r="D422" t="str">
        <f t="shared" si="18"/>
        <v>Stanley Malia</v>
      </c>
      <c r="E422" t="s">
        <v>1207</v>
      </c>
      <c r="F422" s="1">
        <v>45454</v>
      </c>
      <c r="G422" s="32" t="str">
        <f t="shared" si="19"/>
        <v>Jun</v>
      </c>
      <c r="H422">
        <v>2</v>
      </c>
      <c r="I422" t="str">
        <f t="shared" si="20"/>
        <v>Silver</v>
      </c>
      <c r="J422" t="s">
        <v>1243</v>
      </c>
      <c r="K422" s="17">
        <v>30149</v>
      </c>
      <c r="L422" s="17" t="s">
        <v>1222</v>
      </c>
      <c r="M422" t="s">
        <v>2255</v>
      </c>
      <c r="N422" t="s">
        <v>1237</v>
      </c>
      <c r="O422">
        <v>4000</v>
      </c>
      <c r="P422">
        <v>250</v>
      </c>
      <c r="Q422">
        <v>500</v>
      </c>
      <c r="R422" t="s">
        <v>1980</v>
      </c>
    </row>
    <row r="423" spans="1:18" x14ac:dyDescent="0.25">
      <c r="A423">
        <v>1252</v>
      </c>
      <c r="B423" t="s">
        <v>62</v>
      </c>
      <c r="C423" t="s">
        <v>63</v>
      </c>
      <c r="D423" t="str">
        <f t="shared" si="18"/>
        <v>Klein Madelynn</v>
      </c>
      <c r="E423" t="s">
        <v>1249</v>
      </c>
      <c r="F423" s="1">
        <v>45455</v>
      </c>
      <c r="G423" s="32" t="str">
        <f t="shared" si="19"/>
        <v>Jun</v>
      </c>
      <c r="H423">
        <v>3</v>
      </c>
      <c r="I423" t="str">
        <f t="shared" si="20"/>
        <v>Gold</v>
      </c>
      <c r="J423" t="s">
        <v>1242</v>
      </c>
      <c r="K423" s="17">
        <v>23352</v>
      </c>
      <c r="L423" s="17" t="s">
        <v>1216</v>
      </c>
      <c r="M423" t="s">
        <v>2252</v>
      </c>
      <c r="N423" t="s">
        <v>1217</v>
      </c>
      <c r="O423">
        <v>2600</v>
      </c>
      <c r="P423">
        <v>1200</v>
      </c>
      <c r="Q423">
        <v>3600</v>
      </c>
      <c r="R423" t="s">
        <v>1268</v>
      </c>
    </row>
    <row r="424" spans="1:18" x14ac:dyDescent="0.25">
      <c r="A424">
        <v>1736</v>
      </c>
      <c r="B424" t="s">
        <v>167</v>
      </c>
      <c r="C424" t="s">
        <v>763</v>
      </c>
      <c r="D424" t="str">
        <f t="shared" si="18"/>
        <v>Wong Sage</v>
      </c>
      <c r="E424" t="s">
        <v>1248</v>
      </c>
      <c r="F424" s="1">
        <v>45455</v>
      </c>
      <c r="G424" s="32" t="str">
        <f t="shared" si="19"/>
        <v>Jun</v>
      </c>
      <c r="H424">
        <v>3</v>
      </c>
      <c r="I424" t="str">
        <f t="shared" si="20"/>
        <v>Gold</v>
      </c>
      <c r="J424" t="s">
        <v>18</v>
      </c>
      <c r="K424" s="17">
        <v>60138</v>
      </c>
      <c r="L424" s="17" t="s">
        <v>1218</v>
      </c>
      <c r="M424" t="s">
        <v>2252</v>
      </c>
      <c r="N424" t="s">
        <v>1235</v>
      </c>
      <c r="O424">
        <v>2500</v>
      </c>
      <c r="P424">
        <v>300</v>
      </c>
      <c r="Q424">
        <v>900</v>
      </c>
      <c r="R424" t="s">
        <v>1753</v>
      </c>
    </row>
    <row r="425" spans="1:18" x14ac:dyDescent="0.25">
      <c r="A425">
        <v>1980</v>
      </c>
      <c r="B425" t="s">
        <v>689</v>
      </c>
      <c r="C425" t="s">
        <v>763</v>
      </c>
      <c r="D425" t="str">
        <f t="shared" si="18"/>
        <v>Dawson Sage</v>
      </c>
      <c r="E425" t="s">
        <v>1249</v>
      </c>
      <c r="F425" s="1">
        <v>45455</v>
      </c>
      <c r="G425" s="32" t="str">
        <f t="shared" si="19"/>
        <v>Jun</v>
      </c>
      <c r="H425">
        <v>3</v>
      </c>
      <c r="I425" t="str">
        <f t="shared" si="20"/>
        <v>Gold</v>
      </c>
      <c r="J425" t="s">
        <v>14</v>
      </c>
      <c r="K425" s="17">
        <v>11845</v>
      </c>
      <c r="L425" s="17" t="s">
        <v>1222</v>
      </c>
      <c r="M425" t="s">
        <v>2252</v>
      </c>
      <c r="N425" t="s">
        <v>1231</v>
      </c>
      <c r="O425">
        <v>4870</v>
      </c>
      <c r="P425">
        <v>1200</v>
      </c>
      <c r="Q425">
        <v>3600</v>
      </c>
      <c r="R425" t="s">
        <v>1997</v>
      </c>
    </row>
    <row r="426" spans="1:18" x14ac:dyDescent="0.25">
      <c r="A426">
        <v>2095</v>
      </c>
      <c r="B426" t="s">
        <v>1097</v>
      </c>
      <c r="C426" t="s">
        <v>577</v>
      </c>
      <c r="D426" t="str">
        <f t="shared" si="18"/>
        <v>Bravo Dahlia</v>
      </c>
      <c r="E426" t="s">
        <v>1205</v>
      </c>
      <c r="F426" s="1">
        <v>45455</v>
      </c>
      <c r="G426" s="32" t="str">
        <f t="shared" si="19"/>
        <v>Jun</v>
      </c>
      <c r="H426">
        <v>2</v>
      </c>
      <c r="I426" t="str">
        <f t="shared" si="20"/>
        <v>Silver</v>
      </c>
      <c r="J426" t="s">
        <v>14</v>
      </c>
      <c r="K426" s="17">
        <v>86175</v>
      </c>
      <c r="L426" s="17" t="s">
        <v>1216</v>
      </c>
      <c r="M426" t="s">
        <v>2254</v>
      </c>
      <c r="N426" t="s">
        <v>1217</v>
      </c>
      <c r="O426">
        <v>2600</v>
      </c>
      <c r="P426">
        <v>250</v>
      </c>
      <c r="Q426">
        <v>500</v>
      </c>
      <c r="R426" t="s">
        <v>2113</v>
      </c>
    </row>
    <row r="427" spans="1:18" x14ac:dyDescent="0.25">
      <c r="A427">
        <v>1559</v>
      </c>
      <c r="B427" t="s">
        <v>550</v>
      </c>
      <c r="C427" t="s">
        <v>551</v>
      </c>
      <c r="D427" t="str">
        <f t="shared" si="18"/>
        <v>Roberson Fiona</v>
      </c>
      <c r="E427" t="s">
        <v>1203</v>
      </c>
      <c r="F427" s="1">
        <v>45456</v>
      </c>
      <c r="G427" s="32" t="str">
        <f t="shared" si="19"/>
        <v>Jun</v>
      </c>
      <c r="H427">
        <v>3</v>
      </c>
      <c r="I427" t="str">
        <f t="shared" si="20"/>
        <v>Gold</v>
      </c>
      <c r="J427" t="s">
        <v>14</v>
      </c>
      <c r="K427" s="17">
        <v>79637</v>
      </c>
      <c r="L427" s="17" t="s">
        <v>1218</v>
      </c>
      <c r="M427" t="s">
        <v>2255</v>
      </c>
      <c r="N427" t="s">
        <v>1235</v>
      </c>
      <c r="O427">
        <v>2500</v>
      </c>
      <c r="P427">
        <v>600</v>
      </c>
      <c r="Q427">
        <v>1800</v>
      </c>
      <c r="R427" t="s">
        <v>1575</v>
      </c>
    </row>
    <row r="428" spans="1:18" x14ac:dyDescent="0.25">
      <c r="A428">
        <v>1651</v>
      </c>
      <c r="B428" t="s">
        <v>663</v>
      </c>
      <c r="C428" t="s">
        <v>664</v>
      </c>
      <c r="D428" t="str">
        <f t="shared" si="18"/>
        <v>Stanley Maxwell</v>
      </c>
      <c r="E428" t="s">
        <v>1207</v>
      </c>
      <c r="F428" s="1">
        <v>45456</v>
      </c>
      <c r="G428" s="32" t="str">
        <f t="shared" si="19"/>
        <v>Jun</v>
      </c>
      <c r="H428">
        <v>2</v>
      </c>
      <c r="I428" t="str">
        <f t="shared" si="20"/>
        <v>Silver</v>
      </c>
      <c r="J428" t="s">
        <v>18</v>
      </c>
      <c r="K428" s="17">
        <v>68516</v>
      </c>
      <c r="L428" s="17" t="s">
        <v>1228</v>
      </c>
      <c r="M428" t="s">
        <v>2256</v>
      </c>
      <c r="N428" t="s">
        <v>1240</v>
      </c>
      <c r="O428">
        <v>7310</v>
      </c>
      <c r="P428">
        <v>250</v>
      </c>
      <c r="Q428">
        <v>500</v>
      </c>
      <c r="R428" t="s">
        <v>1668</v>
      </c>
    </row>
    <row r="429" spans="1:18" x14ac:dyDescent="0.25">
      <c r="A429">
        <v>2015</v>
      </c>
      <c r="B429" t="s">
        <v>1024</v>
      </c>
      <c r="C429" t="s">
        <v>100</v>
      </c>
      <c r="D429" t="str">
        <f t="shared" si="18"/>
        <v>Hodges Cade</v>
      </c>
      <c r="E429" t="s">
        <v>1248</v>
      </c>
      <c r="F429" s="1">
        <v>45456</v>
      </c>
      <c r="G429" s="32" t="str">
        <f t="shared" si="19"/>
        <v>Jun</v>
      </c>
      <c r="H429">
        <v>3</v>
      </c>
      <c r="I429" t="str">
        <f t="shared" si="20"/>
        <v>Gold</v>
      </c>
      <c r="J429" t="s">
        <v>14</v>
      </c>
      <c r="K429" s="17">
        <v>32733</v>
      </c>
      <c r="L429" s="17" t="s">
        <v>1220</v>
      </c>
      <c r="M429" t="s">
        <v>2256</v>
      </c>
      <c r="N429" t="s">
        <v>1232</v>
      </c>
      <c r="O429">
        <v>3000</v>
      </c>
      <c r="P429">
        <v>300</v>
      </c>
      <c r="Q429">
        <v>900</v>
      </c>
      <c r="R429" t="s">
        <v>2032</v>
      </c>
    </row>
    <row r="430" spans="1:18" x14ac:dyDescent="0.25">
      <c r="A430">
        <v>2145</v>
      </c>
      <c r="B430" t="s">
        <v>991</v>
      </c>
      <c r="C430" t="s">
        <v>586</v>
      </c>
      <c r="D430" t="str">
        <f t="shared" si="18"/>
        <v>Morrison Esme</v>
      </c>
      <c r="E430" t="s">
        <v>1249</v>
      </c>
      <c r="F430" s="1">
        <v>45456</v>
      </c>
      <c r="G430" s="32" t="str">
        <f t="shared" si="19"/>
        <v>Jun</v>
      </c>
      <c r="H430">
        <v>3</v>
      </c>
      <c r="I430" t="str">
        <f t="shared" si="20"/>
        <v>Gold</v>
      </c>
      <c r="J430" t="s">
        <v>1242</v>
      </c>
      <c r="K430" s="17">
        <v>21531</v>
      </c>
      <c r="L430" s="17" t="s">
        <v>1233</v>
      </c>
      <c r="M430" t="s">
        <v>2254</v>
      </c>
      <c r="N430" t="s">
        <v>1234</v>
      </c>
      <c r="O430">
        <v>800</v>
      </c>
      <c r="P430">
        <v>1200</v>
      </c>
      <c r="Q430">
        <v>3600</v>
      </c>
      <c r="R430" t="s">
        <v>2163</v>
      </c>
    </row>
    <row r="431" spans="1:18" x14ac:dyDescent="0.25">
      <c r="A431">
        <v>1480</v>
      </c>
      <c r="B431" t="s">
        <v>448</v>
      </c>
      <c r="C431" t="s">
        <v>371</v>
      </c>
      <c r="D431" t="str">
        <f t="shared" si="18"/>
        <v>Bowers Elaina</v>
      </c>
      <c r="E431" t="s">
        <v>1208</v>
      </c>
      <c r="F431" s="1">
        <v>45457</v>
      </c>
      <c r="G431" s="32" t="str">
        <f t="shared" si="19"/>
        <v>Jun</v>
      </c>
      <c r="H431">
        <v>2</v>
      </c>
      <c r="I431" t="str">
        <f t="shared" si="20"/>
        <v>Silver</v>
      </c>
      <c r="J431" t="s">
        <v>14</v>
      </c>
      <c r="K431" s="17">
        <v>85866</v>
      </c>
      <c r="L431" s="17" t="s">
        <v>1222</v>
      </c>
      <c r="M431" t="s">
        <v>2254</v>
      </c>
      <c r="N431" t="s">
        <v>1223</v>
      </c>
      <c r="O431">
        <v>4217</v>
      </c>
      <c r="P431">
        <v>800</v>
      </c>
      <c r="Q431">
        <v>1600</v>
      </c>
      <c r="R431" t="s">
        <v>1496</v>
      </c>
    </row>
    <row r="432" spans="1:18" x14ac:dyDescent="0.25">
      <c r="A432">
        <v>1659</v>
      </c>
      <c r="B432" t="s">
        <v>670</v>
      </c>
      <c r="C432" t="s">
        <v>671</v>
      </c>
      <c r="D432" t="str">
        <f t="shared" si="18"/>
        <v>Robertson Finn</v>
      </c>
      <c r="E432" t="s">
        <v>1205</v>
      </c>
      <c r="F432" s="1">
        <v>45457</v>
      </c>
      <c r="G432" s="32" t="str">
        <f t="shared" si="19"/>
        <v>Jun</v>
      </c>
      <c r="H432">
        <v>3</v>
      </c>
      <c r="I432" t="str">
        <f t="shared" si="20"/>
        <v>Gold</v>
      </c>
      <c r="J432" t="s">
        <v>1242</v>
      </c>
      <c r="K432" s="17">
        <v>93183</v>
      </c>
      <c r="L432" s="17" t="s">
        <v>1233</v>
      </c>
      <c r="M432" t="s">
        <v>2256</v>
      </c>
      <c r="N432" t="s">
        <v>1239</v>
      </c>
      <c r="O432">
        <v>870</v>
      </c>
      <c r="P432">
        <v>250</v>
      </c>
      <c r="Q432">
        <v>750</v>
      </c>
      <c r="R432" t="s">
        <v>1676</v>
      </c>
    </row>
    <row r="433" spans="1:18" x14ac:dyDescent="0.25">
      <c r="A433">
        <v>1255</v>
      </c>
      <c r="B433" t="s">
        <v>68</v>
      </c>
      <c r="C433" t="s">
        <v>69</v>
      </c>
      <c r="D433" t="str">
        <f t="shared" si="18"/>
        <v>Solomon Ronin</v>
      </c>
      <c r="E433" t="s">
        <v>1208</v>
      </c>
      <c r="F433" s="1">
        <v>45458</v>
      </c>
      <c r="G433" s="32" t="str">
        <f t="shared" si="19"/>
        <v>Jun</v>
      </c>
      <c r="H433">
        <v>2</v>
      </c>
      <c r="I433" t="str">
        <f t="shared" si="20"/>
        <v>Silver</v>
      </c>
      <c r="J433" t="s">
        <v>1242</v>
      </c>
      <c r="K433" s="17">
        <v>49044</v>
      </c>
      <c r="L433" s="17" t="s">
        <v>1216</v>
      </c>
      <c r="M433" t="s">
        <v>2252</v>
      </c>
      <c r="N433" t="s">
        <v>1217</v>
      </c>
      <c r="O433">
        <v>2600</v>
      </c>
      <c r="P433">
        <v>800</v>
      </c>
      <c r="Q433">
        <v>1600</v>
      </c>
      <c r="R433" t="s">
        <v>1271</v>
      </c>
    </row>
    <row r="434" spans="1:18" x14ac:dyDescent="0.25">
      <c r="A434">
        <v>1682</v>
      </c>
      <c r="B434" t="s">
        <v>102</v>
      </c>
      <c r="C434" t="s">
        <v>701</v>
      </c>
      <c r="D434" t="str">
        <f t="shared" si="18"/>
        <v>Collins Alaya</v>
      </c>
      <c r="E434" t="s">
        <v>1208</v>
      </c>
      <c r="F434" s="1">
        <v>45458</v>
      </c>
      <c r="G434" s="32" t="str">
        <f t="shared" si="19"/>
        <v>Jun</v>
      </c>
      <c r="H434">
        <v>2</v>
      </c>
      <c r="I434" t="str">
        <f t="shared" si="20"/>
        <v>Silver</v>
      </c>
      <c r="J434" t="s">
        <v>18</v>
      </c>
      <c r="K434" s="17">
        <v>83816</v>
      </c>
      <c r="L434" s="17" t="s">
        <v>1228</v>
      </c>
      <c r="M434" t="s">
        <v>2256</v>
      </c>
      <c r="N434" t="s">
        <v>1240</v>
      </c>
      <c r="O434">
        <v>7310</v>
      </c>
      <c r="P434">
        <v>800</v>
      </c>
      <c r="Q434">
        <v>1600</v>
      </c>
      <c r="R434" t="s">
        <v>1699</v>
      </c>
    </row>
    <row r="435" spans="1:18" x14ac:dyDescent="0.25">
      <c r="A435">
        <v>1738</v>
      </c>
      <c r="B435" t="s">
        <v>765</v>
      </c>
      <c r="C435" t="s">
        <v>423</v>
      </c>
      <c r="D435" t="str">
        <f t="shared" si="18"/>
        <v>Lin Stevie</v>
      </c>
      <c r="E435" t="s">
        <v>1205</v>
      </c>
      <c r="F435" s="1">
        <v>45458</v>
      </c>
      <c r="G435" s="32" t="str">
        <f t="shared" si="19"/>
        <v>Jun</v>
      </c>
      <c r="H435">
        <v>3</v>
      </c>
      <c r="I435" t="str">
        <f t="shared" si="20"/>
        <v>Gold</v>
      </c>
      <c r="J435" t="s">
        <v>1242</v>
      </c>
      <c r="K435" s="17">
        <v>53267</v>
      </c>
      <c r="L435" s="17" t="s">
        <v>1222</v>
      </c>
      <c r="M435" t="s">
        <v>2252</v>
      </c>
      <c r="N435" t="s">
        <v>1237</v>
      </c>
      <c r="O435">
        <v>4000</v>
      </c>
      <c r="P435">
        <v>250</v>
      </c>
      <c r="Q435">
        <v>750</v>
      </c>
      <c r="R435" t="s">
        <v>1755</v>
      </c>
    </row>
    <row r="436" spans="1:18" x14ac:dyDescent="0.25">
      <c r="A436">
        <v>2058</v>
      </c>
      <c r="B436" t="s">
        <v>1062</v>
      </c>
      <c r="C436" t="s">
        <v>1063</v>
      </c>
      <c r="D436" t="str">
        <f t="shared" si="18"/>
        <v>Ruiz Alayah</v>
      </c>
      <c r="E436" t="s">
        <v>1249</v>
      </c>
      <c r="F436" s="1">
        <v>45458</v>
      </c>
      <c r="G436" s="32" t="str">
        <f t="shared" si="19"/>
        <v>Jun</v>
      </c>
      <c r="H436">
        <v>1</v>
      </c>
      <c r="I436" t="str">
        <f t="shared" si="20"/>
        <v>Bronze</v>
      </c>
      <c r="J436" t="s">
        <v>1242</v>
      </c>
      <c r="K436" s="17">
        <v>41334</v>
      </c>
      <c r="L436" s="17" t="s">
        <v>1218</v>
      </c>
      <c r="M436" t="s">
        <v>2256</v>
      </c>
      <c r="N436" t="s">
        <v>836</v>
      </c>
      <c r="O436">
        <v>2000</v>
      </c>
      <c r="P436">
        <v>1200</v>
      </c>
      <c r="Q436">
        <v>1200</v>
      </c>
      <c r="R436" t="s">
        <v>2075</v>
      </c>
    </row>
    <row r="437" spans="1:18" x14ac:dyDescent="0.25">
      <c r="A437">
        <v>1532</v>
      </c>
      <c r="B437" t="s">
        <v>514</v>
      </c>
      <c r="C437" t="s">
        <v>174</v>
      </c>
      <c r="D437" t="str">
        <f t="shared" si="18"/>
        <v>Prince Willa</v>
      </c>
      <c r="E437" t="s">
        <v>1248</v>
      </c>
      <c r="F437" s="1">
        <v>45459</v>
      </c>
      <c r="G437" s="32" t="str">
        <f t="shared" si="19"/>
        <v>Jun</v>
      </c>
      <c r="H437">
        <v>1</v>
      </c>
      <c r="I437" t="str">
        <f t="shared" si="20"/>
        <v>Bronze</v>
      </c>
      <c r="J437" t="s">
        <v>14</v>
      </c>
      <c r="K437" s="17">
        <v>42858</v>
      </c>
      <c r="L437" s="17" t="s">
        <v>1220</v>
      </c>
      <c r="M437" t="s">
        <v>2253</v>
      </c>
      <c r="N437" t="s">
        <v>1221</v>
      </c>
      <c r="O437">
        <v>3350</v>
      </c>
      <c r="P437">
        <v>300</v>
      </c>
      <c r="Q437">
        <v>300</v>
      </c>
      <c r="R437" t="s">
        <v>1548</v>
      </c>
    </row>
    <row r="438" spans="1:18" x14ac:dyDescent="0.25">
      <c r="A438">
        <v>1915</v>
      </c>
      <c r="B438" t="s">
        <v>942</v>
      </c>
      <c r="C438" t="s">
        <v>90</v>
      </c>
      <c r="D438" t="str">
        <f t="shared" si="18"/>
        <v>Hudson Shiloh</v>
      </c>
      <c r="E438" t="s">
        <v>1249</v>
      </c>
      <c r="F438" s="1">
        <v>45459</v>
      </c>
      <c r="G438" s="32" t="str">
        <f t="shared" si="19"/>
        <v>Jun</v>
      </c>
      <c r="H438">
        <v>1</v>
      </c>
      <c r="I438" t="str">
        <f t="shared" si="20"/>
        <v>Bronze</v>
      </c>
      <c r="J438" t="s">
        <v>14</v>
      </c>
      <c r="K438" s="17">
        <v>91650</v>
      </c>
      <c r="L438" s="17" t="s">
        <v>1222</v>
      </c>
      <c r="M438" t="s">
        <v>2253</v>
      </c>
      <c r="N438" t="s">
        <v>1223</v>
      </c>
      <c r="O438">
        <v>4217</v>
      </c>
      <c r="P438">
        <v>1200</v>
      </c>
      <c r="Q438">
        <v>1200</v>
      </c>
      <c r="R438" t="s">
        <v>1932</v>
      </c>
    </row>
    <row r="439" spans="1:18" x14ac:dyDescent="0.25">
      <c r="A439">
        <v>1578</v>
      </c>
      <c r="B439" t="s">
        <v>353</v>
      </c>
      <c r="C439" t="s">
        <v>577</v>
      </c>
      <c r="D439" t="str">
        <f t="shared" si="18"/>
        <v>Escobar Dahlia</v>
      </c>
      <c r="E439" t="s">
        <v>1208</v>
      </c>
      <c r="F439" s="1">
        <v>45460</v>
      </c>
      <c r="G439" s="32" t="str">
        <f t="shared" si="19"/>
        <v>Jun</v>
      </c>
      <c r="H439">
        <v>2</v>
      </c>
      <c r="I439" t="str">
        <f t="shared" si="20"/>
        <v>Silver</v>
      </c>
      <c r="J439" t="s">
        <v>18</v>
      </c>
      <c r="K439" s="17">
        <v>56165</v>
      </c>
      <c r="L439" s="17" t="s">
        <v>1224</v>
      </c>
      <c r="M439" t="s">
        <v>2254</v>
      </c>
      <c r="N439" t="s">
        <v>1225</v>
      </c>
      <c r="O439">
        <v>5290</v>
      </c>
      <c r="P439">
        <v>800</v>
      </c>
      <c r="Q439">
        <v>1600</v>
      </c>
      <c r="R439" t="s">
        <v>1594</v>
      </c>
    </row>
    <row r="440" spans="1:18" x14ac:dyDescent="0.25">
      <c r="A440">
        <v>1586</v>
      </c>
      <c r="B440" t="s">
        <v>398</v>
      </c>
      <c r="C440" t="s">
        <v>98</v>
      </c>
      <c r="D440" t="str">
        <f t="shared" si="18"/>
        <v>Cherry Aspen</v>
      </c>
      <c r="E440" t="s">
        <v>1208</v>
      </c>
      <c r="F440" s="1">
        <v>45460</v>
      </c>
      <c r="G440" s="32" t="str">
        <f t="shared" si="19"/>
        <v>Jun</v>
      </c>
      <c r="H440">
        <v>1</v>
      </c>
      <c r="I440" t="str">
        <f t="shared" si="20"/>
        <v>Bronze</v>
      </c>
      <c r="J440" t="s">
        <v>18</v>
      </c>
      <c r="K440" s="17">
        <v>27216</v>
      </c>
      <c r="L440" s="17" t="s">
        <v>1216</v>
      </c>
      <c r="M440" t="s">
        <v>2253</v>
      </c>
      <c r="N440" t="s">
        <v>1217</v>
      </c>
      <c r="O440">
        <v>2600</v>
      </c>
      <c r="P440">
        <v>800</v>
      </c>
      <c r="Q440">
        <v>800</v>
      </c>
      <c r="R440" t="s">
        <v>1602</v>
      </c>
    </row>
    <row r="441" spans="1:18" x14ac:dyDescent="0.25">
      <c r="A441">
        <v>2134</v>
      </c>
      <c r="B441" t="s">
        <v>1133</v>
      </c>
      <c r="C441" t="s">
        <v>1134</v>
      </c>
      <c r="D441" t="str">
        <f t="shared" si="18"/>
        <v>Calhoun Aubree</v>
      </c>
      <c r="E441" t="s">
        <v>1248</v>
      </c>
      <c r="F441" s="1">
        <v>45460</v>
      </c>
      <c r="G441" s="32" t="str">
        <f t="shared" si="19"/>
        <v>Jun</v>
      </c>
      <c r="H441">
        <v>2</v>
      </c>
      <c r="I441" t="str">
        <f t="shared" si="20"/>
        <v>Silver</v>
      </c>
      <c r="J441" t="s">
        <v>1242</v>
      </c>
      <c r="K441" s="17">
        <v>50662</v>
      </c>
      <c r="L441" s="17" t="s">
        <v>1214</v>
      </c>
      <c r="M441" t="s">
        <v>2255</v>
      </c>
      <c r="N441" t="s">
        <v>1236</v>
      </c>
      <c r="O441">
        <v>6000</v>
      </c>
      <c r="P441">
        <v>300</v>
      </c>
      <c r="Q441">
        <v>600</v>
      </c>
      <c r="R441" t="s">
        <v>2152</v>
      </c>
    </row>
    <row r="442" spans="1:18" x14ac:dyDescent="0.25">
      <c r="A442">
        <v>2181</v>
      </c>
      <c r="B442" t="s">
        <v>1167</v>
      </c>
      <c r="C442" t="s">
        <v>1168</v>
      </c>
      <c r="D442" t="str">
        <f t="shared" si="18"/>
        <v>Boyd Evangeline</v>
      </c>
      <c r="E442" t="s">
        <v>1249</v>
      </c>
      <c r="F442" s="1">
        <v>45461</v>
      </c>
      <c r="G442" s="32" t="str">
        <f t="shared" si="19"/>
        <v>Jun</v>
      </c>
      <c r="H442">
        <v>1</v>
      </c>
      <c r="I442" t="str">
        <f t="shared" si="20"/>
        <v>Bronze</v>
      </c>
      <c r="J442" t="s">
        <v>1243</v>
      </c>
      <c r="K442" s="17">
        <v>65476</v>
      </c>
      <c r="L442" s="17" t="s">
        <v>1218</v>
      </c>
      <c r="M442" t="s">
        <v>2255</v>
      </c>
      <c r="N442" t="s">
        <v>1219</v>
      </c>
      <c r="O442">
        <v>2300</v>
      </c>
      <c r="P442">
        <v>1200</v>
      </c>
      <c r="Q442">
        <v>1200</v>
      </c>
      <c r="R442" t="s">
        <v>2199</v>
      </c>
    </row>
    <row r="443" spans="1:18" x14ac:dyDescent="0.25">
      <c r="A443">
        <v>1388</v>
      </c>
      <c r="B443" t="s">
        <v>303</v>
      </c>
      <c r="C443" t="s">
        <v>304</v>
      </c>
      <c r="D443" t="str">
        <f t="shared" si="18"/>
        <v>Cohen London</v>
      </c>
      <c r="E443" t="s">
        <v>1248</v>
      </c>
      <c r="F443" s="1">
        <v>45462</v>
      </c>
      <c r="G443" s="32" t="str">
        <f t="shared" si="19"/>
        <v>Jun</v>
      </c>
      <c r="H443">
        <v>2</v>
      </c>
      <c r="I443" t="str">
        <f t="shared" si="20"/>
        <v>Silver</v>
      </c>
      <c r="J443" t="s">
        <v>18</v>
      </c>
      <c r="K443" s="17">
        <v>25084</v>
      </c>
      <c r="L443" s="17" t="s">
        <v>1233</v>
      </c>
      <c r="M443" t="s">
        <v>2254</v>
      </c>
      <c r="N443" t="s">
        <v>1239</v>
      </c>
      <c r="O443">
        <v>870</v>
      </c>
      <c r="P443">
        <v>300</v>
      </c>
      <c r="Q443">
        <v>600</v>
      </c>
      <c r="R443" t="s">
        <v>1404</v>
      </c>
    </row>
    <row r="444" spans="1:18" x14ac:dyDescent="0.25">
      <c r="A444">
        <v>1399</v>
      </c>
      <c r="B444" t="s">
        <v>318</v>
      </c>
      <c r="C444" t="s">
        <v>319</v>
      </c>
      <c r="D444" t="str">
        <f t="shared" si="18"/>
        <v>Reed Jayden</v>
      </c>
      <c r="E444" t="s">
        <v>1205</v>
      </c>
      <c r="F444" s="1">
        <v>45462</v>
      </c>
      <c r="G444" s="32" t="str">
        <f t="shared" si="19"/>
        <v>Jun</v>
      </c>
      <c r="H444">
        <v>2</v>
      </c>
      <c r="I444" t="str">
        <f t="shared" si="20"/>
        <v>Silver</v>
      </c>
      <c r="J444" t="s">
        <v>14</v>
      </c>
      <c r="K444" s="17">
        <v>31625</v>
      </c>
      <c r="L444" s="17" t="s">
        <v>1214</v>
      </c>
      <c r="M444" t="s">
        <v>2254</v>
      </c>
      <c r="N444" t="s">
        <v>1215</v>
      </c>
      <c r="O444">
        <v>6725</v>
      </c>
      <c r="P444">
        <v>250</v>
      </c>
      <c r="Q444">
        <v>500</v>
      </c>
      <c r="R444" t="s">
        <v>1415</v>
      </c>
    </row>
    <row r="445" spans="1:18" x14ac:dyDescent="0.25">
      <c r="A445">
        <v>1430</v>
      </c>
      <c r="B445" t="s">
        <v>368</v>
      </c>
      <c r="C445" t="s">
        <v>369</v>
      </c>
      <c r="D445" t="str">
        <f t="shared" si="18"/>
        <v>Jensen Jason</v>
      </c>
      <c r="E445" t="s">
        <v>1249</v>
      </c>
      <c r="F445" s="1">
        <v>45462</v>
      </c>
      <c r="G445" s="32" t="str">
        <f t="shared" si="19"/>
        <v>Jun</v>
      </c>
      <c r="H445">
        <v>3</v>
      </c>
      <c r="I445" t="str">
        <f t="shared" si="20"/>
        <v>Gold</v>
      </c>
      <c r="J445" t="s">
        <v>14</v>
      </c>
      <c r="K445" s="17">
        <v>8167</v>
      </c>
      <c r="L445" s="17" t="s">
        <v>1218</v>
      </c>
      <c r="M445" t="s">
        <v>2253</v>
      </c>
      <c r="N445" t="s">
        <v>836</v>
      </c>
      <c r="O445">
        <v>2000</v>
      </c>
      <c r="P445">
        <v>1200</v>
      </c>
      <c r="Q445">
        <v>3600</v>
      </c>
      <c r="R445" t="s">
        <v>1446</v>
      </c>
    </row>
    <row r="446" spans="1:18" x14ac:dyDescent="0.25">
      <c r="A446">
        <v>1432</v>
      </c>
      <c r="B446" t="s">
        <v>284</v>
      </c>
      <c r="C446" t="s">
        <v>372</v>
      </c>
      <c r="D446" t="str">
        <f t="shared" si="18"/>
        <v>Walton Genevieve</v>
      </c>
      <c r="E446" t="s">
        <v>1249</v>
      </c>
      <c r="F446" s="1">
        <v>45462</v>
      </c>
      <c r="G446" s="32" t="str">
        <f t="shared" si="19"/>
        <v>Jun</v>
      </c>
      <c r="H446">
        <v>2</v>
      </c>
      <c r="I446" t="str">
        <f t="shared" si="20"/>
        <v>Silver</v>
      </c>
      <c r="J446" t="s">
        <v>1242</v>
      </c>
      <c r="K446" s="17">
        <v>38796</v>
      </c>
      <c r="L446" s="17" t="s">
        <v>1214</v>
      </c>
      <c r="M446" t="s">
        <v>2253</v>
      </c>
      <c r="N446" t="s">
        <v>1215</v>
      </c>
      <c r="O446">
        <v>6725</v>
      </c>
      <c r="P446">
        <v>1200</v>
      </c>
      <c r="Q446">
        <v>2400</v>
      </c>
      <c r="R446" t="s">
        <v>1448</v>
      </c>
    </row>
    <row r="447" spans="1:18" x14ac:dyDescent="0.25">
      <c r="A447">
        <v>1688</v>
      </c>
      <c r="B447" t="s">
        <v>708</v>
      </c>
      <c r="C447" t="s">
        <v>377</v>
      </c>
      <c r="D447" t="str">
        <f t="shared" si="18"/>
        <v>Alfaro Kobe</v>
      </c>
      <c r="E447" t="s">
        <v>1207</v>
      </c>
      <c r="F447" s="1">
        <v>45462</v>
      </c>
      <c r="G447" s="32" t="str">
        <f t="shared" si="19"/>
        <v>Jun</v>
      </c>
      <c r="H447">
        <v>3</v>
      </c>
      <c r="I447" t="str">
        <f t="shared" si="20"/>
        <v>Gold</v>
      </c>
      <c r="J447" t="s">
        <v>14</v>
      </c>
      <c r="K447" s="17">
        <v>59104</v>
      </c>
      <c r="L447" s="17" t="s">
        <v>1233</v>
      </c>
      <c r="M447" t="s">
        <v>2254</v>
      </c>
      <c r="N447" t="s">
        <v>1239</v>
      </c>
      <c r="O447">
        <v>870</v>
      </c>
      <c r="P447">
        <v>250</v>
      </c>
      <c r="Q447">
        <v>750</v>
      </c>
      <c r="R447" t="s">
        <v>1705</v>
      </c>
    </row>
    <row r="448" spans="1:18" x14ac:dyDescent="0.25">
      <c r="A448">
        <v>2079</v>
      </c>
      <c r="B448" t="s">
        <v>1081</v>
      </c>
      <c r="C448" t="s">
        <v>682</v>
      </c>
      <c r="D448" t="str">
        <f t="shared" si="18"/>
        <v>Price Amari</v>
      </c>
      <c r="E448" t="s">
        <v>1203</v>
      </c>
      <c r="F448" s="1">
        <v>45462</v>
      </c>
      <c r="G448" s="32" t="str">
        <f t="shared" si="19"/>
        <v>Jun</v>
      </c>
      <c r="H448">
        <v>2</v>
      </c>
      <c r="I448" t="str">
        <f t="shared" si="20"/>
        <v>Silver</v>
      </c>
      <c r="J448" t="s">
        <v>1243</v>
      </c>
      <c r="K448" s="17">
        <v>42080</v>
      </c>
      <c r="L448" s="17" t="s">
        <v>1224</v>
      </c>
      <c r="M448" t="s">
        <v>2255</v>
      </c>
      <c r="N448" t="s">
        <v>1225</v>
      </c>
      <c r="O448">
        <v>5290</v>
      </c>
      <c r="P448">
        <v>600</v>
      </c>
      <c r="Q448">
        <v>1200</v>
      </c>
      <c r="R448" t="s">
        <v>2096</v>
      </c>
    </row>
    <row r="449" spans="1:18" x14ac:dyDescent="0.25">
      <c r="A449">
        <v>1777</v>
      </c>
      <c r="B449" t="s">
        <v>530</v>
      </c>
      <c r="C449" t="s">
        <v>359</v>
      </c>
      <c r="D449" t="str">
        <f t="shared" si="18"/>
        <v>Odom Addison</v>
      </c>
      <c r="E449" t="s">
        <v>1203</v>
      </c>
      <c r="F449" s="1">
        <v>45463</v>
      </c>
      <c r="G449" s="32" t="str">
        <f t="shared" si="19"/>
        <v>Jun</v>
      </c>
      <c r="H449">
        <v>1</v>
      </c>
      <c r="I449" t="str">
        <f t="shared" si="20"/>
        <v>Bronze</v>
      </c>
      <c r="J449" t="s">
        <v>1243</v>
      </c>
      <c r="K449" s="17">
        <v>81705</v>
      </c>
      <c r="L449" s="17" t="s">
        <v>1218</v>
      </c>
      <c r="M449" t="s">
        <v>2253</v>
      </c>
      <c r="N449" t="s">
        <v>1235</v>
      </c>
      <c r="O449">
        <v>2500</v>
      </c>
      <c r="P449">
        <v>600</v>
      </c>
      <c r="Q449">
        <v>600</v>
      </c>
      <c r="R449" t="s">
        <v>1794</v>
      </c>
    </row>
    <row r="450" spans="1:18" x14ac:dyDescent="0.25">
      <c r="A450">
        <v>1933</v>
      </c>
      <c r="B450" t="s">
        <v>398</v>
      </c>
      <c r="C450" t="s">
        <v>893</v>
      </c>
      <c r="D450" t="str">
        <f t="shared" ref="D450:D513" si="21">CONCATENATE(B450, " ", C450)</f>
        <v>Cherry Ian</v>
      </c>
      <c r="E450" t="s">
        <v>1207</v>
      </c>
      <c r="F450" s="1">
        <v>45463</v>
      </c>
      <c r="G450" s="32" t="str">
        <f t="shared" ref="G450:G513" si="22">TEXT(F450, "MMM")</f>
        <v>Jun</v>
      </c>
      <c r="H450">
        <v>1</v>
      </c>
      <c r="I450" t="str">
        <f t="shared" ref="I450:I513" si="23">IF(H450=1,"Bronze",IF(H450=2,"Silver",IF(H450=3,"Gold")))</f>
        <v>Bronze</v>
      </c>
      <c r="J450" t="s">
        <v>14</v>
      </c>
      <c r="K450" s="17">
        <v>76002</v>
      </c>
      <c r="L450" s="17" t="s">
        <v>1233</v>
      </c>
      <c r="M450" t="s">
        <v>2256</v>
      </c>
      <c r="N450" t="s">
        <v>1234</v>
      </c>
      <c r="O450">
        <v>800</v>
      </c>
      <c r="P450">
        <v>250</v>
      </c>
      <c r="Q450">
        <v>250</v>
      </c>
      <c r="R450" t="s">
        <v>1950</v>
      </c>
    </row>
    <row r="451" spans="1:18" x14ac:dyDescent="0.25">
      <c r="A451">
        <v>2167</v>
      </c>
      <c r="B451" t="s">
        <v>135</v>
      </c>
      <c r="C451" t="s">
        <v>1159</v>
      </c>
      <c r="D451" t="str">
        <f t="shared" si="21"/>
        <v>Maldonado Beckett</v>
      </c>
      <c r="E451" t="s">
        <v>1203</v>
      </c>
      <c r="F451" s="1">
        <v>45463</v>
      </c>
      <c r="G451" s="32" t="str">
        <f t="shared" si="22"/>
        <v>Jun</v>
      </c>
      <c r="H451">
        <v>3</v>
      </c>
      <c r="I451" t="str">
        <f t="shared" si="23"/>
        <v>Gold</v>
      </c>
      <c r="J451" t="s">
        <v>1242</v>
      </c>
      <c r="K451" s="17">
        <v>80988</v>
      </c>
      <c r="L451" s="17" t="s">
        <v>1233</v>
      </c>
      <c r="M451" t="s">
        <v>2256</v>
      </c>
      <c r="N451" t="s">
        <v>1234</v>
      </c>
      <c r="O451">
        <v>800</v>
      </c>
      <c r="P451">
        <v>600</v>
      </c>
      <c r="Q451">
        <v>1800</v>
      </c>
      <c r="R451" t="s">
        <v>2185</v>
      </c>
    </row>
    <row r="452" spans="1:18" x14ac:dyDescent="0.25">
      <c r="A452">
        <v>1504</v>
      </c>
      <c r="B452" t="s">
        <v>482</v>
      </c>
      <c r="C452" t="s">
        <v>280</v>
      </c>
      <c r="D452" t="str">
        <f t="shared" si="21"/>
        <v>Carson Charli</v>
      </c>
      <c r="E452" t="s">
        <v>1249</v>
      </c>
      <c r="F452" s="1">
        <v>45464</v>
      </c>
      <c r="G452" s="32" t="str">
        <f t="shared" si="22"/>
        <v>Jun</v>
      </c>
      <c r="H452">
        <v>2</v>
      </c>
      <c r="I452" t="str">
        <f t="shared" si="23"/>
        <v>Silver</v>
      </c>
      <c r="J452" t="s">
        <v>14</v>
      </c>
      <c r="K452" s="17">
        <v>59304</v>
      </c>
      <c r="L452" s="17" t="s">
        <v>1228</v>
      </c>
      <c r="M452" t="s">
        <v>2253</v>
      </c>
      <c r="N452" t="s">
        <v>1230</v>
      </c>
      <c r="O452">
        <v>7000</v>
      </c>
      <c r="P452">
        <v>1200</v>
      </c>
      <c r="Q452">
        <v>2400</v>
      </c>
      <c r="R452" t="s">
        <v>1520</v>
      </c>
    </row>
    <row r="453" spans="1:18" x14ac:dyDescent="0.25">
      <c r="A453">
        <v>1575</v>
      </c>
      <c r="B453" t="s">
        <v>420</v>
      </c>
      <c r="C453" t="s">
        <v>572</v>
      </c>
      <c r="D453" t="str">
        <f t="shared" si="21"/>
        <v>Nuñez Juliana</v>
      </c>
      <c r="E453" t="s">
        <v>1208</v>
      </c>
      <c r="F453" s="1">
        <v>45464</v>
      </c>
      <c r="G453" s="32" t="str">
        <f t="shared" si="22"/>
        <v>Jun</v>
      </c>
      <c r="H453">
        <v>3</v>
      </c>
      <c r="I453" t="str">
        <f t="shared" si="23"/>
        <v>Gold</v>
      </c>
      <c r="J453" t="s">
        <v>14</v>
      </c>
      <c r="K453" s="17">
        <v>18723</v>
      </c>
      <c r="L453" s="17" t="s">
        <v>1216</v>
      </c>
      <c r="M453" t="s">
        <v>2256</v>
      </c>
      <c r="N453" t="s">
        <v>1217</v>
      </c>
      <c r="O453">
        <v>2600</v>
      </c>
      <c r="P453">
        <v>800</v>
      </c>
      <c r="Q453">
        <v>2400</v>
      </c>
      <c r="R453" t="s">
        <v>1591</v>
      </c>
    </row>
    <row r="454" spans="1:18" x14ac:dyDescent="0.25">
      <c r="A454">
        <v>1596</v>
      </c>
      <c r="B454" t="s">
        <v>324</v>
      </c>
      <c r="C454" t="s">
        <v>503</v>
      </c>
      <c r="D454" t="str">
        <f t="shared" si="21"/>
        <v>Barrera Lennox</v>
      </c>
      <c r="E454" t="s">
        <v>1203</v>
      </c>
      <c r="F454" s="1">
        <v>45464</v>
      </c>
      <c r="G454" s="32" t="str">
        <f t="shared" si="22"/>
        <v>Jun</v>
      </c>
      <c r="H454">
        <v>1</v>
      </c>
      <c r="I454" t="str">
        <f t="shared" si="23"/>
        <v>Bronze</v>
      </c>
      <c r="J454" t="s">
        <v>18</v>
      </c>
      <c r="K454" s="17">
        <v>95347</v>
      </c>
      <c r="L454" s="17" t="s">
        <v>1233</v>
      </c>
      <c r="M454" t="s">
        <v>2254</v>
      </c>
      <c r="N454" t="s">
        <v>1234</v>
      </c>
      <c r="O454">
        <v>800</v>
      </c>
      <c r="P454">
        <v>600</v>
      </c>
      <c r="Q454">
        <v>600</v>
      </c>
      <c r="R454" t="s">
        <v>1612</v>
      </c>
    </row>
    <row r="455" spans="1:18" x14ac:dyDescent="0.25">
      <c r="A455">
        <v>2130</v>
      </c>
      <c r="B455" t="s">
        <v>1128</v>
      </c>
      <c r="C455" t="s">
        <v>423</v>
      </c>
      <c r="D455" t="str">
        <f t="shared" si="21"/>
        <v>Mack Stevie</v>
      </c>
      <c r="E455" t="s">
        <v>1249</v>
      </c>
      <c r="F455" s="1">
        <v>45465</v>
      </c>
      <c r="G455" s="32" t="str">
        <f t="shared" si="22"/>
        <v>Jun</v>
      </c>
      <c r="H455">
        <v>3</v>
      </c>
      <c r="I455" t="str">
        <f t="shared" si="23"/>
        <v>Gold</v>
      </c>
      <c r="J455" t="s">
        <v>18</v>
      </c>
      <c r="K455" s="17">
        <v>33555</v>
      </c>
      <c r="L455" s="17" t="s">
        <v>1222</v>
      </c>
      <c r="M455" t="s">
        <v>2254</v>
      </c>
      <c r="N455" t="s">
        <v>1231</v>
      </c>
      <c r="O455">
        <v>4870</v>
      </c>
      <c r="P455">
        <v>1200</v>
      </c>
      <c r="Q455">
        <v>3600</v>
      </c>
      <c r="R455" t="s">
        <v>2148</v>
      </c>
    </row>
    <row r="456" spans="1:18" x14ac:dyDescent="0.25">
      <c r="A456">
        <v>2182</v>
      </c>
      <c r="B456" t="s">
        <v>848</v>
      </c>
      <c r="C456" t="s">
        <v>716</v>
      </c>
      <c r="D456" t="str">
        <f t="shared" si="21"/>
        <v>Arellano Aubrey</v>
      </c>
      <c r="E456" t="s">
        <v>1205</v>
      </c>
      <c r="F456" s="1">
        <v>45465</v>
      </c>
      <c r="G456" s="32" t="str">
        <f t="shared" si="22"/>
        <v>Jun</v>
      </c>
      <c r="H456">
        <v>2</v>
      </c>
      <c r="I456" t="str">
        <f t="shared" si="23"/>
        <v>Silver</v>
      </c>
      <c r="J456" t="s">
        <v>1242</v>
      </c>
      <c r="K456" s="17">
        <v>84763</v>
      </c>
      <c r="L456" s="17" t="s">
        <v>1218</v>
      </c>
      <c r="M456" t="s">
        <v>2252</v>
      </c>
      <c r="N456" t="s">
        <v>1235</v>
      </c>
      <c r="O456">
        <v>2500</v>
      </c>
      <c r="P456">
        <v>250</v>
      </c>
      <c r="Q456">
        <v>500</v>
      </c>
      <c r="R456" t="s">
        <v>2200</v>
      </c>
    </row>
    <row r="457" spans="1:18" x14ac:dyDescent="0.25">
      <c r="A457">
        <v>1372</v>
      </c>
      <c r="B457" t="s">
        <v>277</v>
      </c>
      <c r="C457" t="s">
        <v>278</v>
      </c>
      <c r="D457" t="str">
        <f t="shared" si="21"/>
        <v>Vasquez Lucy</v>
      </c>
      <c r="E457" t="s">
        <v>1208</v>
      </c>
      <c r="F457" s="1">
        <v>45466</v>
      </c>
      <c r="G457" s="32" t="str">
        <f t="shared" si="22"/>
        <v>Jun</v>
      </c>
      <c r="H457">
        <v>1</v>
      </c>
      <c r="I457" t="str">
        <f t="shared" si="23"/>
        <v>Bronze</v>
      </c>
      <c r="J457" t="s">
        <v>14</v>
      </c>
      <c r="K457" s="17">
        <v>55514</v>
      </c>
      <c r="L457" s="17" t="s">
        <v>1233</v>
      </c>
      <c r="M457" t="s">
        <v>2252</v>
      </c>
      <c r="N457" t="s">
        <v>1239</v>
      </c>
      <c r="O457">
        <v>870</v>
      </c>
      <c r="P457">
        <v>800</v>
      </c>
      <c r="Q457">
        <v>800</v>
      </c>
      <c r="R457" t="s">
        <v>1388</v>
      </c>
    </row>
    <row r="458" spans="1:18" x14ac:dyDescent="0.25">
      <c r="A458">
        <v>1942</v>
      </c>
      <c r="B458" t="s">
        <v>973</v>
      </c>
      <c r="C458" t="s">
        <v>47</v>
      </c>
      <c r="D458" t="str">
        <f t="shared" si="21"/>
        <v>Potts Walter</v>
      </c>
      <c r="E458" t="s">
        <v>1249</v>
      </c>
      <c r="F458" s="1">
        <v>45466</v>
      </c>
      <c r="G458" s="32" t="str">
        <f t="shared" si="22"/>
        <v>Jun</v>
      </c>
      <c r="H458">
        <v>1</v>
      </c>
      <c r="I458" t="str">
        <f t="shared" si="23"/>
        <v>Bronze</v>
      </c>
      <c r="J458" t="s">
        <v>14</v>
      </c>
      <c r="K458" s="17">
        <v>87461</v>
      </c>
      <c r="L458" s="17" t="s">
        <v>1220</v>
      </c>
      <c r="M458" t="s">
        <v>2253</v>
      </c>
      <c r="N458" t="s">
        <v>1232</v>
      </c>
      <c r="O458">
        <v>3000</v>
      </c>
      <c r="P458">
        <v>1200</v>
      </c>
      <c r="Q458">
        <v>1200</v>
      </c>
      <c r="R458" t="s">
        <v>1959</v>
      </c>
    </row>
    <row r="459" spans="1:18" x14ac:dyDescent="0.25">
      <c r="A459">
        <v>1495</v>
      </c>
      <c r="B459" t="s">
        <v>182</v>
      </c>
      <c r="C459" t="s">
        <v>16</v>
      </c>
      <c r="D459" t="str">
        <f t="shared" si="21"/>
        <v>Coleman Brian</v>
      </c>
      <c r="E459" t="s">
        <v>1205</v>
      </c>
      <c r="F459" s="1">
        <v>45467</v>
      </c>
      <c r="G459" s="32" t="str">
        <f t="shared" si="22"/>
        <v>Jun</v>
      </c>
      <c r="H459">
        <v>1</v>
      </c>
      <c r="I459" t="str">
        <f t="shared" si="23"/>
        <v>Bronze</v>
      </c>
      <c r="J459" t="s">
        <v>1242</v>
      </c>
      <c r="K459" s="17">
        <v>28702</v>
      </c>
      <c r="L459" s="17" t="s">
        <v>1218</v>
      </c>
      <c r="M459" t="s">
        <v>2256</v>
      </c>
      <c r="N459" t="s">
        <v>836</v>
      </c>
      <c r="O459">
        <v>2000</v>
      </c>
      <c r="P459">
        <v>250</v>
      </c>
      <c r="Q459">
        <v>250</v>
      </c>
      <c r="R459" t="s">
        <v>1511</v>
      </c>
    </row>
    <row r="460" spans="1:18" x14ac:dyDescent="0.25">
      <c r="A460">
        <v>2229</v>
      </c>
      <c r="B460" t="s">
        <v>1198</v>
      </c>
      <c r="C460" t="s">
        <v>523</v>
      </c>
      <c r="D460" t="str">
        <f t="shared" si="21"/>
        <v>Bond Malachi</v>
      </c>
      <c r="E460" t="s">
        <v>1249</v>
      </c>
      <c r="F460" s="1">
        <v>45467</v>
      </c>
      <c r="G460" s="32" t="str">
        <f t="shared" si="22"/>
        <v>Jun</v>
      </c>
      <c r="H460">
        <v>3</v>
      </c>
      <c r="I460" t="str">
        <f t="shared" si="23"/>
        <v>Gold</v>
      </c>
      <c r="J460" t="s">
        <v>1242</v>
      </c>
      <c r="K460" s="17">
        <v>84856</v>
      </c>
      <c r="L460" s="17" t="s">
        <v>1214</v>
      </c>
      <c r="M460" t="s">
        <v>2252</v>
      </c>
      <c r="N460" t="s">
        <v>1215</v>
      </c>
      <c r="O460">
        <v>6725</v>
      </c>
      <c r="P460">
        <v>1200</v>
      </c>
      <c r="Q460">
        <v>3600</v>
      </c>
      <c r="R460" t="s">
        <v>2247</v>
      </c>
    </row>
    <row r="461" spans="1:18" x14ac:dyDescent="0.25">
      <c r="A461">
        <v>1468</v>
      </c>
      <c r="B461" t="s">
        <v>118</v>
      </c>
      <c r="C461" t="s">
        <v>77</v>
      </c>
      <c r="D461" t="str">
        <f t="shared" si="21"/>
        <v>Blevins Collin</v>
      </c>
      <c r="E461" t="s">
        <v>1205</v>
      </c>
      <c r="F461" s="1">
        <v>45468</v>
      </c>
      <c r="G461" s="32" t="str">
        <f t="shared" si="22"/>
        <v>Jun</v>
      </c>
      <c r="H461">
        <v>2</v>
      </c>
      <c r="I461" t="str">
        <f t="shared" si="23"/>
        <v>Silver</v>
      </c>
      <c r="J461" t="s">
        <v>14</v>
      </c>
      <c r="K461" s="17">
        <v>98545</v>
      </c>
      <c r="L461" s="17" t="s">
        <v>1228</v>
      </c>
      <c r="M461" t="s">
        <v>2255</v>
      </c>
      <c r="N461" t="s">
        <v>1229</v>
      </c>
      <c r="O461">
        <v>7250</v>
      </c>
      <c r="P461">
        <v>250</v>
      </c>
      <c r="Q461">
        <v>500</v>
      </c>
      <c r="R461" t="s">
        <v>1484</v>
      </c>
    </row>
    <row r="462" spans="1:18" x14ac:dyDescent="0.25">
      <c r="A462">
        <v>1674</v>
      </c>
      <c r="B462" t="s">
        <v>689</v>
      </c>
      <c r="C462" t="s">
        <v>690</v>
      </c>
      <c r="D462" t="str">
        <f t="shared" si="21"/>
        <v>Dawson Ismael</v>
      </c>
      <c r="E462" t="s">
        <v>1205</v>
      </c>
      <c r="F462" s="1">
        <v>45468</v>
      </c>
      <c r="G462" s="32" t="str">
        <f t="shared" si="22"/>
        <v>Jun</v>
      </c>
      <c r="H462">
        <v>1</v>
      </c>
      <c r="I462" t="str">
        <f t="shared" si="23"/>
        <v>Bronze</v>
      </c>
      <c r="J462" t="s">
        <v>1242</v>
      </c>
      <c r="K462" s="17">
        <v>12063</v>
      </c>
      <c r="L462" s="17" t="s">
        <v>1220</v>
      </c>
      <c r="M462" t="s">
        <v>2252</v>
      </c>
      <c r="N462" t="s">
        <v>1221</v>
      </c>
      <c r="O462">
        <v>3350</v>
      </c>
      <c r="P462">
        <v>250</v>
      </c>
      <c r="Q462">
        <v>250</v>
      </c>
      <c r="R462" t="s">
        <v>1691</v>
      </c>
    </row>
    <row r="463" spans="1:18" x14ac:dyDescent="0.25">
      <c r="A463">
        <v>1681</v>
      </c>
      <c r="B463" t="s">
        <v>699</v>
      </c>
      <c r="C463" t="s">
        <v>700</v>
      </c>
      <c r="D463" t="str">
        <f t="shared" si="21"/>
        <v>Fischer Jeremiah</v>
      </c>
      <c r="E463" t="s">
        <v>1248</v>
      </c>
      <c r="F463" s="1">
        <v>45468</v>
      </c>
      <c r="G463" s="32" t="str">
        <f t="shared" si="22"/>
        <v>Jun</v>
      </c>
      <c r="H463">
        <v>2</v>
      </c>
      <c r="I463" t="str">
        <f t="shared" si="23"/>
        <v>Silver</v>
      </c>
      <c r="J463" t="s">
        <v>18</v>
      </c>
      <c r="K463" s="17">
        <v>79017</v>
      </c>
      <c r="L463" s="17" t="s">
        <v>1222</v>
      </c>
      <c r="M463" t="s">
        <v>2252</v>
      </c>
      <c r="N463" t="s">
        <v>1237</v>
      </c>
      <c r="O463">
        <v>4000</v>
      </c>
      <c r="P463">
        <v>300</v>
      </c>
      <c r="Q463">
        <v>600</v>
      </c>
      <c r="R463" t="s">
        <v>1698</v>
      </c>
    </row>
    <row r="464" spans="1:18" x14ac:dyDescent="0.25">
      <c r="A464">
        <v>1841</v>
      </c>
      <c r="B464" t="s">
        <v>624</v>
      </c>
      <c r="C464" t="s">
        <v>680</v>
      </c>
      <c r="D464" t="str">
        <f t="shared" si="21"/>
        <v>Lane Kash</v>
      </c>
      <c r="E464" t="s">
        <v>1249</v>
      </c>
      <c r="F464" s="1">
        <v>45468</v>
      </c>
      <c r="G464" s="32" t="str">
        <f t="shared" si="22"/>
        <v>Jun</v>
      </c>
      <c r="H464">
        <v>1</v>
      </c>
      <c r="I464" t="str">
        <f t="shared" si="23"/>
        <v>Bronze</v>
      </c>
      <c r="J464" t="s">
        <v>14</v>
      </c>
      <c r="K464" s="17">
        <v>31377</v>
      </c>
      <c r="L464" s="17" t="s">
        <v>1233</v>
      </c>
      <c r="M464" t="s">
        <v>2253</v>
      </c>
      <c r="N464" t="s">
        <v>1239</v>
      </c>
      <c r="O464">
        <v>870</v>
      </c>
      <c r="P464">
        <v>1200</v>
      </c>
      <c r="Q464">
        <v>1200</v>
      </c>
      <c r="R464" t="s">
        <v>1858</v>
      </c>
    </row>
    <row r="465" spans="1:18" x14ac:dyDescent="0.25">
      <c r="A465">
        <v>1237</v>
      </c>
      <c r="B465" t="s">
        <v>32</v>
      </c>
      <c r="C465" t="s">
        <v>33</v>
      </c>
      <c r="D465" t="str">
        <f t="shared" si="21"/>
        <v>Juarez Ryleigh</v>
      </c>
      <c r="E465" t="s">
        <v>1248</v>
      </c>
      <c r="F465" s="1">
        <v>45469</v>
      </c>
      <c r="G465" s="32" t="str">
        <f t="shared" si="22"/>
        <v>Jun</v>
      </c>
      <c r="H465">
        <v>3</v>
      </c>
      <c r="I465" t="str">
        <f t="shared" si="23"/>
        <v>Gold</v>
      </c>
      <c r="J465" t="s">
        <v>14</v>
      </c>
      <c r="K465" s="17">
        <v>67535</v>
      </c>
      <c r="L465" s="17" t="s">
        <v>1220</v>
      </c>
      <c r="M465" t="s">
        <v>2254</v>
      </c>
      <c r="N465" t="s">
        <v>1221</v>
      </c>
      <c r="O465">
        <v>3350</v>
      </c>
      <c r="P465">
        <v>300</v>
      </c>
      <c r="Q465">
        <v>900</v>
      </c>
      <c r="R465" t="s">
        <v>1253</v>
      </c>
    </row>
    <row r="466" spans="1:18" x14ac:dyDescent="0.25">
      <c r="A466">
        <v>1359</v>
      </c>
      <c r="B466" t="s">
        <v>254</v>
      </c>
      <c r="C466" t="s">
        <v>255</v>
      </c>
      <c r="D466" t="str">
        <f t="shared" si="21"/>
        <v>Hogan Bryce</v>
      </c>
      <c r="E466" t="s">
        <v>1249</v>
      </c>
      <c r="F466" s="1">
        <v>45469</v>
      </c>
      <c r="G466" s="32" t="str">
        <f t="shared" si="22"/>
        <v>Jun</v>
      </c>
      <c r="H466">
        <v>3</v>
      </c>
      <c r="I466" t="str">
        <f t="shared" si="23"/>
        <v>Gold</v>
      </c>
      <c r="J466" t="s">
        <v>1242</v>
      </c>
      <c r="K466" s="17">
        <v>95057</v>
      </c>
      <c r="L466" s="17" t="s">
        <v>1228</v>
      </c>
      <c r="M466" t="s">
        <v>2256</v>
      </c>
      <c r="N466" t="s">
        <v>1240</v>
      </c>
      <c r="O466">
        <v>7310</v>
      </c>
      <c r="P466">
        <v>1200</v>
      </c>
      <c r="Q466">
        <v>3600</v>
      </c>
      <c r="R466" t="s">
        <v>1375</v>
      </c>
    </row>
    <row r="467" spans="1:18" x14ac:dyDescent="0.25">
      <c r="A467">
        <v>1457</v>
      </c>
      <c r="B467" t="s">
        <v>412</v>
      </c>
      <c r="C467" t="s">
        <v>413</v>
      </c>
      <c r="D467" t="str">
        <f t="shared" si="21"/>
        <v>Booth Karter</v>
      </c>
      <c r="E467" t="s">
        <v>1249</v>
      </c>
      <c r="F467" s="1">
        <v>45469</v>
      </c>
      <c r="G467" s="32" t="str">
        <f t="shared" si="22"/>
        <v>Jun</v>
      </c>
      <c r="H467">
        <v>1</v>
      </c>
      <c r="I467" t="str">
        <f t="shared" si="23"/>
        <v>Bronze</v>
      </c>
      <c r="J467" t="s">
        <v>1243</v>
      </c>
      <c r="K467" s="17">
        <v>63957</v>
      </c>
      <c r="L467" s="17" t="s">
        <v>1222</v>
      </c>
      <c r="M467" t="s">
        <v>2253</v>
      </c>
      <c r="N467" t="s">
        <v>1237</v>
      </c>
      <c r="O467">
        <v>4000</v>
      </c>
      <c r="P467">
        <v>1200</v>
      </c>
      <c r="Q467">
        <v>1200</v>
      </c>
      <c r="R467" t="s">
        <v>1473</v>
      </c>
    </row>
    <row r="468" spans="1:18" x14ac:dyDescent="0.25">
      <c r="A468">
        <v>1676</v>
      </c>
      <c r="B468" t="s">
        <v>693</v>
      </c>
      <c r="C468" t="s">
        <v>694</v>
      </c>
      <c r="D468" t="str">
        <f t="shared" si="21"/>
        <v>Singleton Bradley</v>
      </c>
      <c r="E468" t="s">
        <v>1208</v>
      </c>
      <c r="F468" s="1">
        <v>45469</v>
      </c>
      <c r="G468" s="32" t="str">
        <f t="shared" si="22"/>
        <v>Jun</v>
      </c>
      <c r="H468">
        <v>2</v>
      </c>
      <c r="I468" t="str">
        <f t="shared" si="23"/>
        <v>Silver</v>
      </c>
      <c r="J468" t="s">
        <v>1242</v>
      </c>
      <c r="K468" s="17">
        <v>15597</v>
      </c>
      <c r="L468" s="17" t="s">
        <v>1220</v>
      </c>
      <c r="M468" t="s">
        <v>2252</v>
      </c>
      <c r="N468" t="s">
        <v>1221</v>
      </c>
      <c r="O468">
        <v>3350</v>
      </c>
      <c r="P468">
        <v>800</v>
      </c>
      <c r="Q468">
        <v>1600</v>
      </c>
      <c r="R468" t="s">
        <v>1693</v>
      </c>
    </row>
    <row r="469" spans="1:18" x14ac:dyDescent="0.25">
      <c r="A469">
        <v>1772</v>
      </c>
      <c r="B469" t="s">
        <v>72</v>
      </c>
      <c r="C469" t="s">
        <v>102</v>
      </c>
      <c r="D469" t="str">
        <f t="shared" si="21"/>
        <v>Herrera Collins</v>
      </c>
      <c r="E469" t="s">
        <v>1205</v>
      </c>
      <c r="F469" s="1">
        <v>45469</v>
      </c>
      <c r="G469" s="32" t="str">
        <f t="shared" si="22"/>
        <v>Jun</v>
      </c>
      <c r="H469">
        <v>2</v>
      </c>
      <c r="I469" t="str">
        <f t="shared" si="23"/>
        <v>Silver</v>
      </c>
      <c r="J469" t="s">
        <v>1242</v>
      </c>
      <c r="K469" s="17">
        <v>16153</v>
      </c>
      <c r="L469" s="17" t="s">
        <v>1233</v>
      </c>
      <c r="M469" t="s">
        <v>2256</v>
      </c>
      <c r="N469" t="s">
        <v>1234</v>
      </c>
      <c r="O469">
        <v>800</v>
      </c>
      <c r="P469">
        <v>250</v>
      </c>
      <c r="Q469">
        <v>500</v>
      </c>
      <c r="R469" t="s">
        <v>1789</v>
      </c>
    </row>
    <row r="470" spans="1:18" x14ac:dyDescent="0.25">
      <c r="A470">
        <v>1884</v>
      </c>
      <c r="B470" t="s">
        <v>298</v>
      </c>
      <c r="C470" t="s">
        <v>849</v>
      </c>
      <c r="D470" t="str">
        <f t="shared" si="21"/>
        <v>Solis Jonathan</v>
      </c>
      <c r="E470" t="s">
        <v>1208</v>
      </c>
      <c r="F470" s="1">
        <v>45470</v>
      </c>
      <c r="G470" s="32" t="str">
        <f t="shared" si="22"/>
        <v>Jun</v>
      </c>
      <c r="H470">
        <v>2</v>
      </c>
      <c r="I470" t="str">
        <f t="shared" si="23"/>
        <v>Silver</v>
      </c>
      <c r="J470" t="s">
        <v>1242</v>
      </c>
      <c r="K470" s="17">
        <v>99075</v>
      </c>
      <c r="L470" s="17" t="s">
        <v>1220</v>
      </c>
      <c r="M470" t="s">
        <v>2255</v>
      </c>
      <c r="N470" t="s">
        <v>1232</v>
      </c>
      <c r="O470">
        <v>3000</v>
      </c>
      <c r="P470">
        <v>800</v>
      </c>
      <c r="Q470">
        <v>1600</v>
      </c>
      <c r="R470" t="s">
        <v>1901</v>
      </c>
    </row>
    <row r="471" spans="1:18" x14ac:dyDescent="0.25">
      <c r="A471">
        <v>2018</v>
      </c>
      <c r="B471" t="s">
        <v>534</v>
      </c>
      <c r="C471" t="s">
        <v>1026</v>
      </c>
      <c r="D471" t="str">
        <f t="shared" si="21"/>
        <v>Kennedy Serenity</v>
      </c>
      <c r="E471" t="s">
        <v>1207</v>
      </c>
      <c r="F471" s="1">
        <v>45470</v>
      </c>
      <c r="G471" s="32" t="str">
        <f t="shared" si="22"/>
        <v>Jun</v>
      </c>
      <c r="H471">
        <v>2</v>
      </c>
      <c r="I471" t="str">
        <f t="shared" si="23"/>
        <v>Silver</v>
      </c>
      <c r="J471" t="s">
        <v>14</v>
      </c>
      <c r="K471" s="17">
        <v>63674</v>
      </c>
      <c r="L471" s="17" t="s">
        <v>1222</v>
      </c>
      <c r="M471" t="s">
        <v>2256</v>
      </c>
      <c r="N471" t="s">
        <v>1223</v>
      </c>
      <c r="O471">
        <v>4217</v>
      </c>
      <c r="P471">
        <v>250</v>
      </c>
      <c r="Q471">
        <v>500</v>
      </c>
      <c r="R471" t="s">
        <v>2035</v>
      </c>
    </row>
    <row r="472" spans="1:18" x14ac:dyDescent="0.25">
      <c r="A472">
        <v>2069</v>
      </c>
      <c r="B472" t="s">
        <v>691</v>
      </c>
      <c r="C472" t="s">
        <v>1073</v>
      </c>
      <c r="D472" t="str">
        <f t="shared" si="21"/>
        <v>Porter Lyla</v>
      </c>
      <c r="E472" t="s">
        <v>1249</v>
      </c>
      <c r="F472" s="1">
        <v>45470</v>
      </c>
      <c r="G472" s="32" t="str">
        <f t="shared" si="22"/>
        <v>Jun</v>
      </c>
      <c r="H472">
        <v>1</v>
      </c>
      <c r="I472" t="str">
        <f t="shared" si="23"/>
        <v>Bronze</v>
      </c>
      <c r="J472" t="s">
        <v>1242</v>
      </c>
      <c r="K472" s="17">
        <v>28056</v>
      </c>
      <c r="L472" s="17" t="s">
        <v>1216</v>
      </c>
      <c r="M472" t="s">
        <v>2255</v>
      </c>
      <c r="N472" t="s">
        <v>1217</v>
      </c>
      <c r="O472">
        <v>2600</v>
      </c>
      <c r="P472">
        <v>1200</v>
      </c>
      <c r="Q472">
        <v>1200</v>
      </c>
      <c r="R472" t="s">
        <v>2086</v>
      </c>
    </row>
    <row r="473" spans="1:18" x14ac:dyDescent="0.25">
      <c r="A473">
        <v>1394</v>
      </c>
      <c r="B473" t="s">
        <v>311</v>
      </c>
      <c r="C473" t="s">
        <v>312</v>
      </c>
      <c r="D473" t="str">
        <f t="shared" si="21"/>
        <v>Mckay Serena</v>
      </c>
      <c r="E473" t="s">
        <v>1203</v>
      </c>
      <c r="F473" s="1">
        <v>45471</v>
      </c>
      <c r="G473" s="32" t="str">
        <f t="shared" si="22"/>
        <v>Jun</v>
      </c>
      <c r="H473">
        <v>3</v>
      </c>
      <c r="I473" t="str">
        <f t="shared" si="23"/>
        <v>Gold</v>
      </c>
      <c r="J473" t="s">
        <v>14</v>
      </c>
      <c r="K473" s="17">
        <v>97459</v>
      </c>
      <c r="L473" s="17" t="s">
        <v>1218</v>
      </c>
      <c r="M473" t="s">
        <v>2252</v>
      </c>
      <c r="N473" t="s">
        <v>1219</v>
      </c>
      <c r="O473">
        <v>2300</v>
      </c>
      <c r="P473">
        <v>600</v>
      </c>
      <c r="Q473">
        <v>1800</v>
      </c>
      <c r="R473" t="s">
        <v>1410</v>
      </c>
    </row>
    <row r="474" spans="1:18" x14ac:dyDescent="0.25">
      <c r="A474">
        <v>1613</v>
      </c>
      <c r="B474" t="s">
        <v>575</v>
      </c>
      <c r="C474" t="s">
        <v>319</v>
      </c>
      <c r="D474" t="str">
        <f t="shared" si="21"/>
        <v>Reeves Jayden</v>
      </c>
      <c r="E474" t="s">
        <v>1205</v>
      </c>
      <c r="F474" s="1">
        <v>45471</v>
      </c>
      <c r="G474" s="32" t="str">
        <f t="shared" si="22"/>
        <v>Jun</v>
      </c>
      <c r="H474">
        <v>3</v>
      </c>
      <c r="I474" t="str">
        <f t="shared" si="23"/>
        <v>Gold</v>
      </c>
      <c r="J474" t="s">
        <v>1242</v>
      </c>
      <c r="K474" s="17">
        <v>13624</v>
      </c>
      <c r="L474" s="17" t="s">
        <v>1228</v>
      </c>
      <c r="M474" t="s">
        <v>2252</v>
      </c>
      <c r="N474" t="s">
        <v>1229</v>
      </c>
      <c r="O474">
        <v>7250</v>
      </c>
      <c r="P474">
        <v>250</v>
      </c>
      <c r="Q474">
        <v>750</v>
      </c>
      <c r="R474" t="s">
        <v>1629</v>
      </c>
    </row>
    <row r="475" spans="1:18" x14ac:dyDescent="0.25">
      <c r="A475">
        <v>1814</v>
      </c>
      <c r="B475" t="s">
        <v>34</v>
      </c>
      <c r="C475" t="s">
        <v>112</v>
      </c>
      <c r="D475" t="str">
        <f t="shared" si="21"/>
        <v>Preston Francis</v>
      </c>
      <c r="E475" t="s">
        <v>1207</v>
      </c>
      <c r="F475" s="1">
        <v>45471</v>
      </c>
      <c r="G475" s="32" t="str">
        <f t="shared" si="22"/>
        <v>Jun</v>
      </c>
      <c r="H475">
        <v>3</v>
      </c>
      <c r="I475" t="str">
        <f t="shared" si="23"/>
        <v>Gold</v>
      </c>
      <c r="J475" t="s">
        <v>1242</v>
      </c>
      <c r="K475" s="17">
        <v>27068</v>
      </c>
      <c r="L475" s="17" t="s">
        <v>1216</v>
      </c>
      <c r="M475" t="s">
        <v>2256</v>
      </c>
      <c r="N475" t="s">
        <v>1217</v>
      </c>
      <c r="O475">
        <v>2600</v>
      </c>
      <c r="P475">
        <v>250</v>
      </c>
      <c r="Q475">
        <v>750</v>
      </c>
      <c r="R475" t="s">
        <v>1831</v>
      </c>
    </row>
    <row r="476" spans="1:18" x14ac:dyDescent="0.25">
      <c r="A476">
        <v>1904</v>
      </c>
      <c r="B476" t="s">
        <v>257</v>
      </c>
      <c r="C476" t="s">
        <v>935</v>
      </c>
      <c r="D476" t="str">
        <f t="shared" si="21"/>
        <v>Griffin Ariana</v>
      </c>
      <c r="E476" t="s">
        <v>1249</v>
      </c>
      <c r="F476" s="1">
        <v>45471</v>
      </c>
      <c r="G476" s="32" t="str">
        <f t="shared" si="22"/>
        <v>Jun</v>
      </c>
      <c r="H476">
        <v>3</v>
      </c>
      <c r="I476" t="str">
        <f t="shared" si="23"/>
        <v>Gold</v>
      </c>
      <c r="J476" t="s">
        <v>1242</v>
      </c>
      <c r="K476" s="17">
        <v>22491</v>
      </c>
      <c r="L476" s="17" t="s">
        <v>1220</v>
      </c>
      <c r="M476" t="s">
        <v>2252</v>
      </c>
      <c r="N476" t="s">
        <v>1221</v>
      </c>
      <c r="O476">
        <v>3350</v>
      </c>
      <c r="P476">
        <v>1200</v>
      </c>
      <c r="Q476">
        <v>3600</v>
      </c>
      <c r="R476" t="s">
        <v>1921</v>
      </c>
    </row>
    <row r="477" spans="1:18" x14ac:dyDescent="0.25">
      <c r="A477">
        <v>2143</v>
      </c>
      <c r="B477" t="s">
        <v>380</v>
      </c>
      <c r="C477" t="s">
        <v>300</v>
      </c>
      <c r="D477" t="str">
        <f t="shared" si="21"/>
        <v>Raymond Abel</v>
      </c>
      <c r="E477" t="s">
        <v>1248</v>
      </c>
      <c r="F477" s="1">
        <v>45472</v>
      </c>
      <c r="G477" s="32" t="str">
        <f t="shared" si="22"/>
        <v>Jun</v>
      </c>
      <c r="H477">
        <v>3</v>
      </c>
      <c r="I477" t="str">
        <f t="shared" si="23"/>
        <v>Gold</v>
      </c>
      <c r="J477" t="s">
        <v>14</v>
      </c>
      <c r="K477" s="17">
        <v>99259</v>
      </c>
      <c r="L477" s="17" t="s">
        <v>1222</v>
      </c>
      <c r="M477" t="s">
        <v>2255</v>
      </c>
      <c r="N477" t="s">
        <v>1223</v>
      </c>
      <c r="O477">
        <v>4217</v>
      </c>
      <c r="P477">
        <v>300</v>
      </c>
      <c r="Q477">
        <v>900</v>
      </c>
      <c r="R477" t="s">
        <v>2161</v>
      </c>
    </row>
    <row r="478" spans="1:18" x14ac:dyDescent="0.25">
      <c r="A478">
        <v>1248</v>
      </c>
      <c r="B478" t="s">
        <v>54</v>
      </c>
      <c r="C478" t="s">
        <v>55</v>
      </c>
      <c r="D478" t="str">
        <f t="shared" si="21"/>
        <v>Woodard Destiny</v>
      </c>
      <c r="E478" t="s">
        <v>1205</v>
      </c>
      <c r="F478" s="1">
        <v>45473</v>
      </c>
      <c r="G478" s="32" t="str">
        <f t="shared" si="22"/>
        <v>Jun</v>
      </c>
      <c r="H478">
        <v>2</v>
      </c>
      <c r="I478" t="str">
        <f t="shared" si="23"/>
        <v>Silver</v>
      </c>
      <c r="J478" t="s">
        <v>1242</v>
      </c>
      <c r="K478" s="17">
        <v>52948</v>
      </c>
      <c r="L478" s="17" t="s">
        <v>1218</v>
      </c>
      <c r="M478" t="s">
        <v>2255</v>
      </c>
      <c r="N478" t="s">
        <v>1219</v>
      </c>
      <c r="O478">
        <v>2300</v>
      </c>
      <c r="P478">
        <v>250</v>
      </c>
      <c r="Q478">
        <v>500</v>
      </c>
      <c r="R478" t="s">
        <v>1264</v>
      </c>
    </row>
    <row r="479" spans="1:18" x14ac:dyDescent="0.25">
      <c r="A479">
        <v>1322</v>
      </c>
      <c r="B479" t="s">
        <v>192</v>
      </c>
      <c r="C479" t="s">
        <v>126</v>
      </c>
      <c r="D479" t="str">
        <f t="shared" si="21"/>
        <v>Weber Harvey</v>
      </c>
      <c r="E479" t="s">
        <v>1207</v>
      </c>
      <c r="F479" s="1">
        <v>45474</v>
      </c>
      <c r="G479" s="32" t="str">
        <f t="shared" si="22"/>
        <v>Jul</v>
      </c>
      <c r="H479">
        <v>3</v>
      </c>
      <c r="I479" t="str">
        <f t="shared" si="23"/>
        <v>Gold</v>
      </c>
      <c r="J479" t="s">
        <v>14</v>
      </c>
      <c r="K479" s="17">
        <v>95202</v>
      </c>
      <c r="L479" s="17" t="s">
        <v>1218</v>
      </c>
      <c r="M479" t="s">
        <v>2254</v>
      </c>
      <c r="N479" t="s">
        <v>1235</v>
      </c>
      <c r="O479">
        <v>2500</v>
      </c>
      <c r="P479">
        <v>250</v>
      </c>
      <c r="Q479">
        <v>750</v>
      </c>
      <c r="R479" t="s">
        <v>1338</v>
      </c>
    </row>
    <row r="480" spans="1:18" x14ac:dyDescent="0.25">
      <c r="A480">
        <v>1878</v>
      </c>
      <c r="B480" t="s">
        <v>376</v>
      </c>
      <c r="C480" t="s">
        <v>908</v>
      </c>
      <c r="D480" t="str">
        <f t="shared" si="21"/>
        <v>Norris Hayes</v>
      </c>
      <c r="E480" t="s">
        <v>1249</v>
      </c>
      <c r="F480" s="1">
        <v>45474</v>
      </c>
      <c r="G480" s="32" t="str">
        <f t="shared" si="22"/>
        <v>Jul</v>
      </c>
      <c r="H480">
        <v>2</v>
      </c>
      <c r="I480" t="str">
        <f t="shared" si="23"/>
        <v>Silver</v>
      </c>
      <c r="J480" t="s">
        <v>14</v>
      </c>
      <c r="K480" s="17">
        <v>23036</v>
      </c>
      <c r="L480" s="17" t="s">
        <v>1218</v>
      </c>
      <c r="M480" t="s">
        <v>2253</v>
      </c>
      <c r="N480" t="s">
        <v>1219</v>
      </c>
      <c r="O480">
        <v>2300</v>
      </c>
      <c r="P480">
        <v>1200</v>
      </c>
      <c r="Q480">
        <v>2400</v>
      </c>
      <c r="R480" t="s">
        <v>1895</v>
      </c>
    </row>
    <row r="481" spans="1:18" x14ac:dyDescent="0.25">
      <c r="A481">
        <v>2165</v>
      </c>
      <c r="B481" t="s">
        <v>1157</v>
      </c>
      <c r="C481" t="s">
        <v>340</v>
      </c>
      <c r="D481" t="str">
        <f t="shared" si="21"/>
        <v>Fernandez Dax</v>
      </c>
      <c r="E481" t="s">
        <v>1205</v>
      </c>
      <c r="F481" s="1">
        <v>45474</v>
      </c>
      <c r="G481" s="32" t="str">
        <f t="shared" si="22"/>
        <v>Jul</v>
      </c>
      <c r="H481">
        <v>2</v>
      </c>
      <c r="I481" t="str">
        <f t="shared" si="23"/>
        <v>Silver</v>
      </c>
      <c r="J481" t="s">
        <v>18</v>
      </c>
      <c r="K481" s="17">
        <v>24441</v>
      </c>
      <c r="L481" s="17" t="s">
        <v>1224</v>
      </c>
      <c r="M481" t="s">
        <v>2253</v>
      </c>
      <c r="N481" t="s">
        <v>1064</v>
      </c>
      <c r="O481">
        <v>5000</v>
      </c>
      <c r="P481">
        <v>250</v>
      </c>
      <c r="Q481">
        <v>500</v>
      </c>
      <c r="R481" t="s">
        <v>2183</v>
      </c>
    </row>
    <row r="482" spans="1:18" x14ac:dyDescent="0.25">
      <c r="A482">
        <v>1302</v>
      </c>
      <c r="B482" t="s">
        <v>156</v>
      </c>
      <c r="C482" t="s">
        <v>157</v>
      </c>
      <c r="D482" t="str">
        <f t="shared" si="21"/>
        <v>Correa Brantley</v>
      </c>
      <c r="E482" t="s">
        <v>1207</v>
      </c>
      <c r="F482" s="1">
        <v>45475</v>
      </c>
      <c r="G482" s="32" t="str">
        <f t="shared" si="22"/>
        <v>Jul</v>
      </c>
      <c r="H482">
        <v>1</v>
      </c>
      <c r="I482" t="str">
        <f t="shared" si="23"/>
        <v>Bronze</v>
      </c>
      <c r="J482" t="s">
        <v>1242</v>
      </c>
      <c r="K482" s="17">
        <v>25920</v>
      </c>
      <c r="L482" s="17" t="s">
        <v>1228</v>
      </c>
      <c r="M482" t="s">
        <v>2256</v>
      </c>
      <c r="N482" t="s">
        <v>1229</v>
      </c>
      <c r="O482">
        <v>7250</v>
      </c>
      <c r="P482">
        <v>250</v>
      </c>
      <c r="Q482">
        <v>250</v>
      </c>
      <c r="R482" t="s">
        <v>1318</v>
      </c>
    </row>
    <row r="483" spans="1:18" x14ac:dyDescent="0.25">
      <c r="A483">
        <v>1800</v>
      </c>
      <c r="B483" t="s">
        <v>365</v>
      </c>
      <c r="C483" t="s">
        <v>127</v>
      </c>
      <c r="D483" t="str">
        <f t="shared" si="21"/>
        <v>Reyna Greyson</v>
      </c>
      <c r="E483" t="s">
        <v>1249</v>
      </c>
      <c r="F483" s="1">
        <v>45475</v>
      </c>
      <c r="G483" s="32" t="str">
        <f t="shared" si="22"/>
        <v>Jul</v>
      </c>
      <c r="H483">
        <v>2</v>
      </c>
      <c r="I483" t="str">
        <f t="shared" si="23"/>
        <v>Silver</v>
      </c>
      <c r="J483" t="s">
        <v>14</v>
      </c>
      <c r="K483" s="17">
        <v>82760</v>
      </c>
      <c r="L483" s="17" t="s">
        <v>1216</v>
      </c>
      <c r="M483" t="s">
        <v>2256</v>
      </c>
      <c r="N483" t="s">
        <v>1217</v>
      </c>
      <c r="O483">
        <v>2600</v>
      </c>
      <c r="P483">
        <v>1200</v>
      </c>
      <c r="Q483">
        <v>2400</v>
      </c>
      <c r="R483" t="s">
        <v>1817</v>
      </c>
    </row>
    <row r="484" spans="1:18" x14ac:dyDescent="0.25">
      <c r="A484">
        <v>2024</v>
      </c>
      <c r="B484" t="s">
        <v>875</v>
      </c>
      <c r="C484" t="s">
        <v>806</v>
      </c>
      <c r="D484" t="str">
        <f t="shared" si="21"/>
        <v>Schroeder Gianna</v>
      </c>
      <c r="E484" t="s">
        <v>1249</v>
      </c>
      <c r="F484" s="1">
        <v>45475</v>
      </c>
      <c r="G484" s="32" t="str">
        <f t="shared" si="22"/>
        <v>Jul</v>
      </c>
      <c r="H484">
        <v>1</v>
      </c>
      <c r="I484" t="str">
        <f t="shared" si="23"/>
        <v>Bronze</v>
      </c>
      <c r="J484" t="s">
        <v>18</v>
      </c>
      <c r="K484" s="17">
        <v>11369</v>
      </c>
      <c r="L484" s="17" t="s">
        <v>1228</v>
      </c>
      <c r="M484" t="s">
        <v>2255</v>
      </c>
      <c r="N484" t="s">
        <v>1229</v>
      </c>
      <c r="O484">
        <v>7250</v>
      </c>
      <c r="P484">
        <v>1200</v>
      </c>
      <c r="Q484">
        <v>1200</v>
      </c>
      <c r="R484" t="s">
        <v>2041</v>
      </c>
    </row>
    <row r="485" spans="1:18" x14ac:dyDescent="0.25">
      <c r="A485">
        <v>1416</v>
      </c>
      <c r="B485" t="s">
        <v>345</v>
      </c>
      <c r="C485" t="s">
        <v>346</v>
      </c>
      <c r="D485" t="str">
        <f t="shared" si="21"/>
        <v>Mccarthy Calvin</v>
      </c>
      <c r="E485" t="s">
        <v>1249</v>
      </c>
      <c r="F485" s="1">
        <v>45476</v>
      </c>
      <c r="G485" s="32" t="str">
        <f t="shared" si="22"/>
        <v>Jul</v>
      </c>
      <c r="H485">
        <v>1</v>
      </c>
      <c r="I485" t="str">
        <f t="shared" si="23"/>
        <v>Bronze</v>
      </c>
      <c r="J485" t="s">
        <v>1242</v>
      </c>
      <c r="K485" s="17">
        <v>80596</v>
      </c>
      <c r="L485" s="17" t="s">
        <v>1224</v>
      </c>
      <c r="M485" t="s">
        <v>2252</v>
      </c>
      <c r="N485" t="s">
        <v>1238</v>
      </c>
      <c r="O485">
        <v>5600</v>
      </c>
      <c r="P485">
        <v>1200</v>
      </c>
      <c r="Q485">
        <v>1200</v>
      </c>
      <c r="R485" t="s">
        <v>1432</v>
      </c>
    </row>
    <row r="486" spans="1:18" x14ac:dyDescent="0.25">
      <c r="A486">
        <v>1458</v>
      </c>
      <c r="B486" t="s">
        <v>321</v>
      </c>
      <c r="C486" t="s">
        <v>414</v>
      </c>
      <c r="D486" t="str">
        <f t="shared" si="21"/>
        <v>Jordan Fernando</v>
      </c>
      <c r="E486" t="s">
        <v>1249</v>
      </c>
      <c r="F486" s="1">
        <v>45476</v>
      </c>
      <c r="G486" s="32" t="str">
        <f t="shared" si="22"/>
        <v>Jul</v>
      </c>
      <c r="H486">
        <v>2</v>
      </c>
      <c r="I486" t="str">
        <f t="shared" si="23"/>
        <v>Silver</v>
      </c>
      <c r="J486" t="s">
        <v>1242</v>
      </c>
      <c r="K486" s="17">
        <v>89320</v>
      </c>
      <c r="L486" s="17" t="s">
        <v>1220</v>
      </c>
      <c r="M486" t="s">
        <v>2253</v>
      </c>
      <c r="N486" t="s">
        <v>1221</v>
      </c>
      <c r="O486">
        <v>3350</v>
      </c>
      <c r="P486">
        <v>1200</v>
      </c>
      <c r="Q486">
        <v>2400</v>
      </c>
      <c r="R486" t="s">
        <v>1474</v>
      </c>
    </row>
    <row r="487" spans="1:18" x14ac:dyDescent="0.25">
      <c r="A487">
        <v>1741</v>
      </c>
      <c r="B487" t="s">
        <v>667</v>
      </c>
      <c r="C487" t="s">
        <v>362</v>
      </c>
      <c r="D487" t="str">
        <f t="shared" si="21"/>
        <v>Fletcher Maximus</v>
      </c>
      <c r="E487" t="s">
        <v>1207</v>
      </c>
      <c r="F487" s="1">
        <v>45476</v>
      </c>
      <c r="G487" s="32" t="str">
        <f t="shared" si="22"/>
        <v>Jul</v>
      </c>
      <c r="H487">
        <v>3</v>
      </c>
      <c r="I487" t="str">
        <f t="shared" si="23"/>
        <v>Gold</v>
      </c>
      <c r="J487" t="s">
        <v>14</v>
      </c>
      <c r="K487" s="17">
        <v>12758</v>
      </c>
      <c r="L487" s="17" t="s">
        <v>1216</v>
      </c>
      <c r="M487" t="s">
        <v>2252</v>
      </c>
      <c r="N487" t="s">
        <v>1217</v>
      </c>
      <c r="O487">
        <v>2600</v>
      </c>
      <c r="P487">
        <v>250</v>
      </c>
      <c r="Q487">
        <v>750</v>
      </c>
      <c r="R487" t="s">
        <v>1758</v>
      </c>
    </row>
    <row r="488" spans="1:18" x14ac:dyDescent="0.25">
      <c r="A488">
        <v>1959</v>
      </c>
      <c r="B488" t="s">
        <v>973</v>
      </c>
      <c r="C488" t="s">
        <v>185</v>
      </c>
      <c r="D488" t="str">
        <f t="shared" si="21"/>
        <v>Potts Aria</v>
      </c>
      <c r="E488" t="s">
        <v>1208</v>
      </c>
      <c r="F488" s="1">
        <v>45476</v>
      </c>
      <c r="G488" s="32" t="str">
        <f t="shared" si="22"/>
        <v>Jul</v>
      </c>
      <c r="H488">
        <v>3</v>
      </c>
      <c r="I488" t="str">
        <f t="shared" si="23"/>
        <v>Gold</v>
      </c>
      <c r="J488" t="s">
        <v>14</v>
      </c>
      <c r="K488" s="17">
        <v>15229</v>
      </c>
      <c r="L488" s="17" t="s">
        <v>1233</v>
      </c>
      <c r="M488" t="s">
        <v>2253</v>
      </c>
      <c r="N488" t="s">
        <v>1239</v>
      </c>
      <c r="O488">
        <v>870</v>
      </c>
      <c r="P488">
        <v>800</v>
      </c>
      <c r="Q488">
        <v>2400</v>
      </c>
      <c r="R488" t="s">
        <v>1976</v>
      </c>
    </row>
    <row r="489" spans="1:18" x14ac:dyDescent="0.25">
      <c r="A489">
        <v>2190</v>
      </c>
      <c r="B489" t="s">
        <v>1173</v>
      </c>
      <c r="C489" t="s">
        <v>678</v>
      </c>
      <c r="D489" t="str">
        <f t="shared" si="21"/>
        <v>Floyd Colin</v>
      </c>
      <c r="E489" t="s">
        <v>1208</v>
      </c>
      <c r="F489" s="1">
        <v>45476</v>
      </c>
      <c r="G489" s="32" t="str">
        <f t="shared" si="22"/>
        <v>Jul</v>
      </c>
      <c r="H489">
        <v>3</v>
      </c>
      <c r="I489" t="str">
        <f t="shared" si="23"/>
        <v>Gold</v>
      </c>
      <c r="J489" t="s">
        <v>14</v>
      </c>
      <c r="K489" s="17">
        <v>12837</v>
      </c>
      <c r="L489" s="17" t="s">
        <v>1233</v>
      </c>
      <c r="M489" t="s">
        <v>2254</v>
      </c>
      <c r="N489" t="s">
        <v>1239</v>
      </c>
      <c r="O489">
        <v>870</v>
      </c>
      <c r="P489">
        <v>800</v>
      </c>
      <c r="Q489">
        <v>2400</v>
      </c>
      <c r="R489" t="s">
        <v>2208</v>
      </c>
    </row>
    <row r="490" spans="1:18" x14ac:dyDescent="0.25">
      <c r="A490">
        <v>2219</v>
      </c>
      <c r="B490" t="s">
        <v>1189</v>
      </c>
      <c r="C490" t="s">
        <v>1190</v>
      </c>
      <c r="D490" t="str">
        <f t="shared" si="21"/>
        <v>Clements Blair</v>
      </c>
      <c r="E490" t="s">
        <v>1249</v>
      </c>
      <c r="F490" s="1">
        <v>45476</v>
      </c>
      <c r="G490" s="32" t="str">
        <f t="shared" si="22"/>
        <v>Jul</v>
      </c>
      <c r="H490">
        <v>3</v>
      </c>
      <c r="I490" t="str">
        <f t="shared" si="23"/>
        <v>Gold</v>
      </c>
      <c r="J490" t="s">
        <v>1242</v>
      </c>
      <c r="K490" s="17">
        <v>35284</v>
      </c>
      <c r="L490" s="17" t="s">
        <v>1220</v>
      </c>
      <c r="M490" t="s">
        <v>2255</v>
      </c>
      <c r="N490" t="s">
        <v>1232</v>
      </c>
      <c r="O490">
        <v>3000</v>
      </c>
      <c r="P490">
        <v>1200</v>
      </c>
      <c r="Q490">
        <v>3600</v>
      </c>
      <c r="R490" t="s">
        <v>2237</v>
      </c>
    </row>
    <row r="491" spans="1:18" x14ac:dyDescent="0.25">
      <c r="A491">
        <v>1941</v>
      </c>
      <c r="B491" t="s">
        <v>972</v>
      </c>
      <c r="C491" t="s">
        <v>232</v>
      </c>
      <c r="D491" t="str">
        <f t="shared" si="21"/>
        <v>Randall Miguel</v>
      </c>
      <c r="E491" t="s">
        <v>1248</v>
      </c>
      <c r="F491" s="1">
        <v>45477</v>
      </c>
      <c r="G491" s="32" t="str">
        <f t="shared" si="22"/>
        <v>Jul</v>
      </c>
      <c r="H491">
        <v>1</v>
      </c>
      <c r="I491" t="str">
        <f t="shared" si="23"/>
        <v>Bronze</v>
      </c>
      <c r="J491" t="s">
        <v>1243</v>
      </c>
      <c r="K491" s="17">
        <v>14581</v>
      </c>
      <c r="L491" s="17" t="s">
        <v>1228</v>
      </c>
      <c r="M491" t="s">
        <v>2254</v>
      </c>
      <c r="N491" t="s">
        <v>1240</v>
      </c>
      <c r="O491">
        <v>7310</v>
      </c>
      <c r="P491">
        <v>300</v>
      </c>
      <c r="Q491">
        <v>300</v>
      </c>
      <c r="R491" t="s">
        <v>1958</v>
      </c>
    </row>
    <row r="492" spans="1:18" x14ac:dyDescent="0.25">
      <c r="A492">
        <v>1793</v>
      </c>
      <c r="B492" t="s">
        <v>821</v>
      </c>
      <c r="C492" t="s">
        <v>198</v>
      </c>
      <c r="D492" t="str">
        <f t="shared" si="21"/>
        <v>Palacios Luna</v>
      </c>
      <c r="E492" t="s">
        <v>1203</v>
      </c>
      <c r="F492" s="1">
        <v>45478</v>
      </c>
      <c r="G492" s="32" t="str">
        <f t="shared" si="22"/>
        <v>Jul</v>
      </c>
      <c r="H492">
        <v>3</v>
      </c>
      <c r="I492" t="str">
        <f t="shared" si="23"/>
        <v>Gold</v>
      </c>
      <c r="J492" t="s">
        <v>1242</v>
      </c>
      <c r="K492" s="17">
        <v>48911</v>
      </c>
      <c r="L492" s="17" t="s">
        <v>1222</v>
      </c>
      <c r="M492" t="s">
        <v>2254</v>
      </c>
      <c r="N492" t="s">
        <v>1237</v>
      </c>
      <c r="O492">
        <v>4000</v>
      </c>
      <c r="P492">
        <v>600</v>
      </c>
      <c r="Q492">
        <v>1800</v>
      </c>
      <c r="R492" t="s">
        <v>1810</v>
      </c>
    </row>
    <row r="493" spans="1:18" x14ac:dyDescent="0.25">
      <c r="A493">
        <v>2026</v>
      </c>
      <c r="B493" t="s">
        <v>645</v>
      </c>
      <c r="C493" t="s">
        <v>834</v>
      </c>
      <c r="D493" t="str">
        <f t="shared" si="21"/>
        <v>Hahn Nadia</v>
      </c>
      <c r="E493" t="s">
        <v>1203</v>
      </c>
      <c r="F493" s="1">
        <v>45478</v>
      </c>
      <c r="G493" s="32" t="str">
        <f t="shared" si="22"/>
        <v>Jul</v>
      </c>
      <c r="H493">
        <v>3</v>
      </c>
      <c r="I493" t="str">
        <f t="shared" si="23"/>
        <v>Gold</v>
      </c>
      <c r="J493" t="s">
        <v>14</v>
      </c>
      <c r="K493" s="17">
        <v>78249</v>
      </c>
      <c r="L493" s="17" t="s">
        <v>1222</v>
      </c>
      <c r="M493" t="s">
        <v>2252</v>
      </c>
      <c r="N493" t="s">
        <v>1231</v>
      </c>
      <c r="O493">
        <v>4870</v>
      </c>
      <c r="P493">
        <v>600</v>
      </c>
      <c r="Q493">
        <v>1800</v>
      </c>
      <c r="R493" t="s">
        <v>2043</v>
      </c>
    </row>
    <row r="494" spans="1:18" x14ac:dyDescent="0.25">
      <c r="A494">
        <v>2036</v>
      </c>
      <c r="B494" t="s">
        <v>1040</v>
      </c>
      <c r="C494" t="s">
        <v>1041</v>
      </c>
      <c r="D494" t="str">
        <f t="shared" si="21"/>
        <v>Duffy Hannah</v>
      </c>
      <c r="E494" t="s">
        <v>1249</v>
      </c>
      <c r="F494" s="1">
        <v>45479</v>
      </c>
      <c r="G494" s="32" t="str">
        <f t="shared" si="22"/>
        <v>Jul</v>
      </c>
      <c r="H494">
        <v>1</v>
      </c>
      <c r="I494" t="str">
        <f t="shared" si="23"/>
        <v>Bronze</v>
      </c>
      <c r="J494" t="s">
        <v>1242</v>
      </c>
      <c r="K494" s="17">
        <v>23764</v>
      </c>
      <c r="L494" s="17" t="s">
        <v>1216</v>
      </c>
      <c r="M494" t="s">
        <v>2253</v>
      </c>
      <c r="N494" t="s">
        <v>1217</v>
      </c>
      <c r="O494">
        <v>2600</v>
      </c>
      <c r="P494">
        <v>1200</v>
      </c>
      <c r="Q494">
        <v>1200</v>
      </c>
      <c r="R494" t="s">
        <v>2053</v>
      </c>
    </row>
    <row r="495" spans="1:18" x14ac:dyDescent="0.25">
      <c r="A495">
        <v>1345</v>
      </c>
      <c r="B495" t="s">
        <v>197</v>
      </c>
      <c r="C495" t="s">
        <v>233</v>
      </c>
      <c r="D495" t="str">
        <f t="shared" si="21"/>
        <v>Rosales Clara</v>
      </c>
      <c r="E495" t="s">
        <v>1205</v>
      </c>
      <c r="F495" s="1">
        <v>45480</v>
      </c>
      <c r="G495" s="32" t="str">
        <f t="shared" si="22"/>
        <v>Jul</v>
      </c>
      <c r="H495">
        <v>1</v>
      </c>
      <c r="I495" t="str">
        <f t="shared" si="23"/>
        <v>Bronze</v>
      </c>
      <c r="J495" t="s">
        <v>1242</v>
      </c>
      <c r="K495" s="17">
        <v>5229</v>
      </c>
      <c r="L495" s="17" t="s">
        <v>1222</v>
      </c>
      <c r="M495" t="s">
        <v>2254</v>
      </c>
      <c r="N495" t="s">
        <v>1223</v>
      </c>
      <c r="O495">
        <v>4217</v>
      </c>
      <c r="P495">
        <v>250</v>
      </c>
      <c r="Q495">
        <v>250</v>
      </c>
      <c r="R495" t="s">
        <v>1361</v>
      </c>
    </row>
    <row r="496" spans="1:18" x14ac:dyDescent="0.25">
      <c r="A496">
        <v>1916</v>
      </c>
      <c r="B496" t="s">
        <v>176</v>
      </c>
      <c r="C496" t="s">
        <v>943</v>
      </c>
      <c r="D496" t="str">
        <f t="shared" si="21"/>
        <v>Cooper Aisha</v>
      </c>
      <c r="E496" t="s">
        <v>1205</v>
      </c>
      <c r="F496" s="1">
        <v>45480</v>
      </c>
      <c r="G496" s="32" t="str">
        <f t="shared" si="22"/>
        <v>Jul</v>
      </c>
      <c r="H496">
        <v>3</v>
      </c>
      <c r="I496" t="str">
        <f t="shared" si="23"/>
        <v>Gold</v>
      </c>
      <c r="J496" t="s">
        <v>14</v>
      </c>
      <c r="K496" s="17">
        <v>74126</v>
      </c>
      <c r="L496" s="17" t="s">
        <v>1228</v>
      </c>
      <c r="M496" t="s">
        <v>2253</v>
      </c>
      <c r="N496" t="s">
        <v>1230</v>
      </c>
      <c r="O496">
        <v>7000</v>
      </c>
      <c r="P496">
        <v>250</v>
      </c>
      <c r="Q496">
        <v>750</v>
      </c>
      <c r="R496" t="s">
        <v>1933</v>
      </c>
    </row>
    <row r="497" spans="1:18" x14ac:dyDescent="0.25">
      <c r="A497">
        <v>2065</v>
      </c>
      <c r="B497" t="s">
        <v>643</v>
      </c>
      <c r="C497" t="s">
        <v>1068</v>
      </c>
      <c r="D497" t="str">
        <f t="shared" si="21"/>
        <v>Garrett Ricardo</v>
      </c>
      <c r="E497" t="s">
        <v>1208</v>
      </c>
      <c r="F497" s="1">
        <v>45480</v>
      </c>
      <c r="G497" s="32" t="str">
        <f t="shared" si="22"/>
        <v>Jul</v>
      </c>
      <c r="H497">
        <v>1</v>
      </c>
      <c r="I497" t="str">
        <f t="shared" si="23"/>
        <v>Bronze</v>
      </c>
      <c r="J497" t="s">
        <v>14</v>
      </c>
      <c r="K497" s="17">
        <v>5057</v>
      </c>
      <c r="L497" s="17" t="s">
        <v>1222</v>
      </c>
      <c r="M497" t="s">
        <v>2254</v>
      </c>
      <c r="N497" t="s">
        <v>1231</v>
      </c>
      <c r="O497">
        <v>4870</v>
      </c>
      <c r="P497">
        <v>800</v>
      </c>
      <c r="Q497">
        <v>800</v>
      </c>
      <c r="R497" t="s">
        <v>2082</v>
      </c>
    </row>
    <row r="498" spans="1:18" x14ac:dyDescent="0.25">
      <c r="A498">
        <v>1347</v>
      </c>
      <c r="B498" t="s">
        <v>234</v>
      </c>
      <c r="C498" t="s">
        <v>235</v>
      </c>
      <c r="D498" t="str">
        <f t="shared" si="21"/>
        <v>Bartlett Joshua</v>
      </c>
      <c r="E498" t="s">
        <v>1248</v>
      </c>
      <c r="F498" s="1">
        <v>45481</v>
      </c>
      <c r="G498" s="32" t="str">
        <f t="shared" si="22"/>
        <v>Jul</v>
      </c>
      <c r="H498">
        <v>3</v>
      </c>
      <c r="I498" t="str">
        <f t="shared" si="23"/>
        <v>Gold</v>
      </c>
      <c r="J498" t="s">
        <v>14</v>
      </c>
      <c r="K498" s="17">
        <v>75404</v>
      </c>
      <c r="L498" s="17" t="s">
        <v>1228</v>
      </c>
      <c r="M498" t="s">
        <v>2255</v>
      </c>
      <c r="N498" t="s">
        <v>1229</v>
      </c>
      <c r="O498">
        <v>7250</v>
      </c>
      <c r="P498">
        <v>300</v>
      </c>
      <c r="Q498">
        <v>900</v>
      </c>
      <c r="R498" t="s">
        <v>1363</v>
      </c>
    </row>
    <row r="499" spans="1:18" x14ac:dyDescent="0.25">
      <c r="A499">
        <v>1463</v>
      </c>
      <c r="B499" t="s">
        <v>422</v>
      </c>
      <c r="C499" t="s">
        <v>423</v>
      </c>
      <c r="D499" t="str">
        <f t="shared" si="21"/>
        <v>Dixon Stevie</v>
      </c>
      <c r="E499" t="s">
        <v>1208</v>
      </c>
      <c r="F499" s="1">
        <v>45481</v>
      </c>
      <c r="G499" s="32" t="str">
        <f t="shared" si="22"/>
        <v>Jul</v>
      </c>
      <c r="H499">
        <v>2</v>
      </c>
      <c r="I499" t="str">
        <f t="shared" si="23"/>
        <v>Silver</v>
      </c>
      <c r="J499" t="s">
        <v>14</v>
      </c>
      <c r="K499" s="17">
        <v>6497</v>
      </c>
      <c r="L499" s="17" t="s">
        <v>1220</v>
      </c>
      <c r="M499" t="s">
        <v>2256</v>
      </c>
      <c r="N499" t="s">
        <v>1221</v>
      </c>
      <c r="O499">
        <v>3350</v>
      </c>
      <c r="P499">
        <v>800</v>
      </c>
      <c r="Q499">
        <v>1600</v>
      </c>
      <c r="R499" t="s">
        <v>1479</v>
      </c>
    </row>
    <row r="500" spans="1:18" x14ac:dyDescent="0.25">
      <c r="A500">
        <v>1589</v>
      </c>
      <c r="B500" t="s">
        <v>383</v>
      </c>
      <c r="C500" t="s">
        <v>589</v>
      </c>
      <c r="D500" t="str">
        <f t="shared" si="21"/>
        <v>English Oakley</v>
      </c>
      <c r="E500" t="s">
        <v>1207</v>
      </c>
      <c r="F500" s="1">
        <v>45483</v>
      </c>
      <c r="G500" s="32" t="str">
        <f t="shared" si="22"/>
        <v>Jul</v>
      </c>
      <c r="H500">
        <v>1</v>
      </c>
      <c r="I500" t="str">
        <f t="shared" si="23"/>
        <v>Bronze</v>
      </c>
      <c r="J500" t="s">
        <v>1243</v>
      </c>
      <c r="K500" s="17">
        <v>4594</v>
      </c>
      <c r="L500" s="17" t="s">
        <v>1216</v>
      </c>
      <c r="M500" t="s">
        <v>2254</v>
      </c>
      <c r="N500" t="s">
        <v>1217</v>
      </c>
      <c r="O500">
        <v>2600</v>
      </c>
      <c r="P500">
        <v>250</v>
      </c>
      <c r="Q500">
        <v>250</v>
      </c>
      <c r="R500" t="s">
        <v>1605</v>
      </c>
    </row>
    <row r="501" spans="1:18" x14ac:dyDescent="0.25">
      <c r="A501">
        <v>1880</v>
      </c>
      <c r="B501" t="s">
        <v>910</v>
      </c>
      <c r="C501" t="s">
        <v>696</v>
      </c>
      <c r="D501" t="str">
        <f t="shared" si="21"/>
        <v>Mcgee Brooklynn</v>
      </c>
      <c r="E501" t="s">
        <v>1208</v>
      </c>
      <c r="F501" s="1">
        <v>45483</v>
      </c>
      <c r="G501" s="32" t="str">
        <f t="shared" si="22"/>
        <v>Jul</v>
      </c>
      <c r="H501">
        <v>2</v>
      </c>
      <c r="I501" t="str">
        <f t="shared" si="23"/>
        <v>Silver</v>
      </c>
      <c r="J501" t="s">
        <v>1242</v>
      </c>
      <c r="K501" s="17">
        <v>95924</v>
      </c>
      <c r="L501" s="17" t="s">
        <v>1214</v>
      </c>
      <c r="M501" t="s">
        <v>2253</v>
      </c>
      <c r="N501" t="s">
        <v>1227</v>
      </c>
      <c r="O501">
        <v>6160</v>
      </c>
      <c r="P501">
        <v>800</v>
      </c>
      <c r="Q501">
        <v>1600</v>
      </c>
      <c r="R501" t="s">
        <v>1897</v>
      </c>
    </row>
    <row r="502" spans="1:18" x14ac:dyDescent="0.25">
      <c r="A502">
        <v>1947</v>
      </c>
      <c r="B502" t="s">
        <v>147</v>
      </c>
      <c r="C502" t="s">
        <v>479</v>
      </c>
      <c r="D502" t="str">
        <f t="shared" si="21"/>
        <v>Harrington Emersyn</v>
      </c>
      <c r="E502" t="s">
        <v>1208</v>
      </c>
      <c r="F502" s="1">
        <v>45483</v>
      </c>
      <c r="G502" s="32" t="str">
        <f t="shared" si="22"/>
        <v>Jul</v>
      </c>
      <c r="H502">
        <v>3</v>
      </c>
      <c r="I502" t="str">
        <f t="shared" si="23"/>
        <v>Gold</v>
      </c>
      <c r="J502" t="s">
        <v>14</v>
      </c>
      <c r="K502" s="17">
        <v>6020</v>
      </c>
      <c r="L502" s="17" t="s">
        <v>1216</v>
      </c>
      <c r="M502" t="s">
        <v>2252</v>
      </c>
      <c r="N502" t="s">
        <v>1217</v>
      </c>
      <c r="O502">
        <v>2600</v>
      </c>
      <c r="P502">
        <v>800</v>
      </c>
      <c r="Q502">
        <v>2400</v>
      </c>
      <c r="R502" t="s">
        <v>1964</v>
      </c>
    </row>
    <row r="503" spans="1:18" x14ac:dyDescent="0.25">
      <c r="A503">
        <v>1970</v>
      </c>
      <c r="B503" t="s">
        <v>202</v>
      </c>
      <c r="C503" t="s">
        <v>993</v>
      </c>
      <c r="D503" t="str">
        <f t="shared" si="21"/>
        <v>Crawford Dallas</v>
      </c>
      <c r="E503" t="s">
        <v>1203</v>
      </c>
      <c r="F503" s="1">
        <v>45483</v>
      </c>
      <c r="G503" s="32" t="str">
        <f t="shared" si="22"/>
        <v>Jul</v>
      </c>
      <c r="H503">
        <v>3</v>
      </c>
      <c r="I503" t="str">
        <f t="shared" si="23"/>
        <v>Gold</v>
      </c>
      <c r="J503" t="s">
        <v>1242</v>
      </c>
      <c r="K503" s="17">
        <v>14817</v>
      </c>
      <c r="L503" s="17" t="s">
        <v>1224</v>
      </c>
      <c r="M503" t="s">
        <v>2252</v>
      </c>
      <c r="N503" t="s">
        <v>1238</v>
      </c>
      <c r="O503">
        <v>5600</v>
      </c>
      <c r="P503">
        <v>600</v>
      </c>
      <c r="Q503">
        <v>1800</v>
      </c>
      <c r="R503" t="s">
        <v>1987</v>
      </c>
    </row>
    <row r="504" spans="1:18" x14ac:dyDescent="0.25">
      <c r="A504">
        <v>1551</v>
      </c>
      <c r="B504" t="s">
        <v>538</v>
      </c>
      <c r="C504" t="s">
        <v>539</v>
      </c>
      <c r="D504" t="str">
        <f t="shared" si="21"/>
        <v>Castillo Milani</v>
      </c>
      <c r="E504" t="s">
        <v>1205</v>
      </c>
      <c r="F504" s="1">
        <v>45484</v>
      </c>
      <c r="G504" s="32" t="str">
        <f t="shared" si="22"/>
        <v>Jul</v>
      </c>
      <c r="H504">
        <v>1</v>
      </c>
      <c r="I504" t="str">
        <f t="shared" si="23"/>
        <v>Bronze</v>
      </c>
      <c r="J504" t="s">
        <v>14</v>
      </c>
      <c r="K504" s="17">
        <v>34383</v>
      </c>
      <c r="L504" s="17" t="s">
        <v>1218</v>
      </c>
      <c r="M504" t="s">
        <v>2254</v>
      </c>
      <c r="N504" t="s">
        <v>1219</v>
      </c>
      <c r="O504">
        <v>2300</v>
      </c>
      <c r="P504">
        <v>250</v>
      </c>
      <c r="Q504">
        <v>250</v>
      </c>
      <c r="R504" t="s">
        <v>1567</v>
      </c>
    </row>
    <row r="505" spans="1:18" x14ac:dyDescent="0.25">
      <c r="A505">
        <v>1692</v>
      </c>
      <c r="B505" t="s">
        <v>715</v>
      </c>
      <c r="C505" t="s">
        <v>716</v>
      </c>
      <c r="D505" t="str">
        <f t="shared" si="21"/>
        <v>Best Aubrey</v>
      </c>
      <c r="E505" t="s">
        <v>1203</v>
      </c>
      <c r="F505" s="1">
        <v>45484</v>
      </c>
      <c r="G505" s="32" t="str">
        <f t="shared" si="22"/>
        <v>Jul</v>
      </c>
      <c r="H505">
        <v>2</v>
      </c>
      <c r="I505" t="str">
        <f t="shared" si="23"/>
        <v>Silver</v>
      </c>
      <c r="J505" t="s">
        <v>1242</v>
      </c>
      <c r="K505" s="17">
        <v>4970</v>
      </c>
      <c r="L505" s="17" t="s">
        <v>1224</v>
      </c>
      <c r="M505" t="s">
        <v>2252</v>
      </c>
      <c r="N505" t="s">
        <v>1238</v>
      </c>
      <c r="O505">
        <v>5600</v>
      </c>
      <c r="P505">
        <v>600</v>
      </c>
      <c r="Q505">
        <v>1200</v>
      </c>
      <c r="R505" t="s">
        <v>1709</v>
      </c>
    </row>
    <row r="506" spans="1:18" x14ac:dyDescent="0.25">
      <c r="A506">
        <v>2212</v>
      </c>
      <c r="B506" t="s">
        <v>657</v>
      </c>
      <c r="C506" t="s">
        <v>979</v>
      </c>
      <c r="D506" t="str">
        <f t="shared" si="21"/>
        <v>Daugherty Aaliyah</v>
      </c>
      <c r="E506" t="s">
        <v>1208</v>
      </c>
      <c r="F506" s="1">
        <v>45484</v>
      </c>
      <c r="G506" s="32" t="str">
        <f t="shared" si="22"/>
        <v>Jul</v>
      </c>
      <c r="H506">
        <v>2</v>
      </c>
      <c r="I506" t="str">
        <f t="shared" si="23"/>
        <v>Silver</v>
      </c>
      <c r="J506" t="s">
        <v>1242</v>
      </c>
      <c r="K506" s="17">
        <v>36027</v>
      </c>
      <c r="L506" s="17" t="s">
        <v>1228</v>
      </c>
      <c r="M506" t="s">
        <v>2256</v>
      </c>
      <c r="N506" t="s">
        <v>1240</v>
      </c>
      <c r="O506">
        <v>7310</v>
      </c>
      <c r="P506">
        <v>800</v>
      </c>
      <c r="Q506">
        <v>1600</v>
      </c>
      <c r="R506" t="s">
        <v>2230</v>
      </c>
    </row>
    <row r="507" spans="1:18" x14ac:dyDescent="0.25">
      <c r="A507">
        <v>1305</v>
      </c>
      <c r="B507" t="s">
        <v>161</v>
      </c>
      <c r="C507" t="s">
        <v>162</v>
      </c>
      <c r="D507" t="str">
        <f t="shared" si="21"/>
        <v>Carroll Chance</v>
      </c>
      <c r="E507" t="s">
        <v>1248</v>
      </c>
      <c r="F507" s="1">
        <v>45485</v>
      </c>
      <c r="G507" s="32" t="str">
        <f t="shared" si="22"/>
        <v>Jul</v>
      </c>
      <c r="H507">
        <v>1</v>
      </c>
      <c r="I507" t="str">
        <f t="shared" si="23"/>
        <v>Bronze</v>
      </c>
      <c r="J507" t="s">
        <v>14</v>
      </c>
      <c r="K507" s="17">
        <v>51302</v>
      </c>
      <c r="L507" s="17" t="s">
        <v>1220</v>
      </c>
      <c r="M507" t="s">
        <v>2252</v>
      </c>
      <c r="N507" t="s">
        <v>1221</v>
      </c>
      <c r="O507">
        <v>3350</v>
      </c>
      <c r="P507">
        <v>300</v>
      </c>
      <c r="Q507">
        <v>300</v>
      </c>
      <c r="R507" t="s">
        <v>1321</v>
      </c>
    </row>
    <row r="508" spans="1:18" x14ac:dyDescent="0.25">
      <c r="A508">
        <v>1368</v>
      </c>
      <c r="B508" t="s">
        <v>234</v>
      </c>
      <c r="C508" t="s">
        <v>271</v>
      </c>
      <c r="D508" t="str">
        <f t="shared" si="21"/>
        <v>Bartlett Oscar</v>
      </c>
      <c r="E508" t="s">
        <v>1208</v>
      </c>
      <c r="F508" s="1">
        <v>45485</v>
      </c>
      <c r="G508" s="32" t="str">
        <f t="shared" si="22"/>
        <v>Jul</v>
      </c>
      <c r="H508">
        <v>3</v>
      </c>
      <c r="I508" t="str">
        <f t="shared" si="23"/>
        <v>Gold</v>
      </c>
      <c r="J508" t="s">
        <v>1243</v>
      </c>
      <c r="K508" s="17">
        <v>9856</v>
      </c>
      <c r="L508" s="17" t="s">
        <v>1228</v>
      </c>
      <c r="M508" t="s">
        <v>2253</v>
      </c>
      <c r="N508" t="s">
        <v>1230</v>
      </c>
      <c r="O508">
        <v>7000</v>
      </c>
      <c r="P508">
        <v>800</v>
      </c>
      <c r="Q508">
        <v>2400</v>
      </c>
      <c r="R508" t="s">
        <v>1384</v>
      </c>
    </row>
    <row r="509" spans="1:18" x14ac:dyDescent="0.25">
      <c r="A509">
        <v>2062</v>
      </c>
      <c r="B509" t="s">
        <v>11</v>
      </c>
      <c r="C509" t="s">
        <v>1066</v>
      </c>
      <c r="D509" t="str">
        <f t="shared" si="21"/>
        <v>Johnson Ronan</v>
      </c>
      <c r="E509" t="s">
        <v>1249</v>
      </c>
      <c r="F509" s="1">
        <v>45485</v>
      </c>
      <c r="G509" s="32" t="str">
        <f t="shared" si="22"/>
        <v>Jul</v>
      </c>
      <c r="H509">
        <v>1</v>
      </c>
      <c r="I509" t="str">
        <f t="shared" si="23"/>
        <v>Bronze</v>
      </c>
      <c r="J509" t="s">
        <v>1242</v>
      </c>
      <c r="K509" s="17">
        <v>9647</v>
      </c>
      <c r="L509" s="17" t="s">
        <v>1214</v>
      </c>
      <c r="M509" t="s">
        <v>2255</v>
      </c>
      <c r="N509" t="s">
        <v>1215</v>
      </c>
      <c r="O509">
        <v>6725</v>
      </c>
      <c r="P509">
        <v>1200</v>
      </c>
      <c r="Q509">
        <v>1200</v>
      </c>
      <c r="R509" t="s">
        <v>2079</v>
      </c>
    </row>
    <row r="510" spans="1:18" x14ac:dyDescent="0.25">
      <c r="A510">
        <v>2112</v>
      </c>
      <c r="B510" t="s">
        <v>1110</v>
      </c>
      <c r="C510" t="s">
        <v>1111</v>
      </c>
      <c r="D510" t="str">
        <f t="shared" si="21"/>
        <v>Gordon Jett</v>
      </c>
      <c r="E510" t="s">
        <v>1207</v>
      </c>
      <c r="F510" s="1">
        <v>45485</v>
      </c>
      <c r="G510" s="32" t="str">
        <f t="shared" si="22"/>
        <v>Jul</v>
      </c>
      <c r="H510">
        <v>2</v>
      </c>
      <c r="I510" t="str">
        <f t="shared" si="23"/>
        <v>Silver</v>
      </c>
      <c r="J510" t="s">
        <v>1242</v>
      </c>
      <c r="K510" s="17">
        <v>18905</v>
      </c>
      <c r="L510" s="17" t="s">
        <v>1214</v>
      </c>
      <c r="M510" t="s">
        <v>2253</v>
      </c>
      <c r="N510" t="s">
        <v>1236</v>
      </c>
      <c r="O510">
        <v>6000</v>
      </c>
      <c r="P510">
        <v>250</v>
      </c>
      <c r="Q510">
        <v>500</v>
      </c>
      <c r="R510" t="s">
        <v>2130</v>
      </c>
    </row>
    <row r="511" spans="1:18" x14ac:dyDescent="0.25">
      <c r="A511">
        <v>1246</v>
      </c>
      <c r="B511" t="s">
        <v>50</v>
      </c>
      <c r="C511" t="s">
        <v>51</v>
      </c>
      <c r="D511" t="str">
        <f t="shared" si="21"/>
        <v>Holt Thea</v>
      </c>
      <c r="E511" t="s">
        <v>1248</v>
      </c>
      <c r="F511" s="1">
        <v>45486</v>
      </c>
      <c r="G511" s="32" t="str">
        <f t="shared" si="22"/>
        <v>Jul</v>
      </c>
      <c r="H511">
        <v>1</v>
      </c>
      <c r="I511" t="str">
        <f t="shared" si="23"/>
        <v>Bronze</v>
      </c>
      <c r="J511" t="s">
        <v>1242</v>
      </c>
      <c r="K511" s="17">
        <v>74442</v>
      </c>
      <c r="L511" s="17" t="s">
        <v>1224</v>
      </c>
      <c r="M511" t="s">
        <v>2254</v>
      </c>
      <c r="N511" t="s">
        <v>1064</v>
      </c>
      <c r="O511">
        <v>5000</v>
      </c>
      <c r="P511">
        <v>300</v>
      </c>
      <c r="Q511">
        <v>300</v>
      </c>
      <c r="R511" t="s">
        <v>1262</v>
      </c>
    </row>
    <row r="512" spans="1:18" x14ac:dyDescent="0.25">
      <c r="A512">
        <v>1874</v>
      </c>
      <c r="B512" t="s">
        <v>334</v>
      </c>
      <c r="C512" t="s">
        <v>447</v>
      </c>
      <c r="D512" t="str">
        <f t="shared" si="21"/>
        <v>Hoffman Joy</v>
      </c>
      <c r="E512" t="s">
        <v>1249</v>
      </c>
      <c r="F512" s="1">
        <v>45486</v>
      </c>
      <c r="G512" s="32" t="str">
        <f t="shared" si="22"/>
        <v>Jul</v>
      </c>
      <c r="H512">
        <v>3</v>
      </c>
      <c r="I512" t="str">
        <f t="shared" si="23"/>
        <v>Gold</v>
      </c>
      <c r="J512" t="s">
        <v>14</v>
      </c>
      <c r="K512" s="17">
        <v>39820</v>
      </c>
      <c r="L512" s="17" t="s">
        <v>1220</v>
      </c>
      <c r="M512" t="s">
        <v>2252</v>
      </c>
      <c r="N512" t="s">
        <v>1221</v>
      </c>
      <c r="O512">
        <v>3350</v>
      </c>
      <c r="P512">
        <v>1200</v>
      </c>
      <c r="Q512">
        <v>3600</v>
      </c>
      <c r="R512" t="s">
        <v>1891</v>
      </c>
    </row>
    <row r="513" spans="1:18" x14ac:dyDescent="0.25">
      <c r="A513">
        <v>2206</v>
      </c>
      <c r="B513" t="s">
        <v>940</v>
      </c>
      <c r="C513" t="s">
        <v>419</v>
      </c>
      <c r="D513" t="str">
        <f t="shared" si="21"/>
        <v>Hodge River</v>
      </c>
      <c r="E513" t="s">
        <v>1249</v>
      </c>
      <c r="F513" s="1">
        <v>45486</v>
      </c>
      <c r="G513" s="32" t="str">
        <f t="shared" si="22"/>
        <v>Jul</v>
      </c>
      <c r="H513">
        <v>2</v>
      </c>
      <c r="I513" t="str">
        <f t="shared" si="23"/>
        <v>Silver</v>
      </c>
      <c r="J513" t="s">
        <v>14</v>
      </c>
      <c r="K513" s="17">
        <v>55106</v>
      </c>
      <c r="L513" s="17" t="s">
        <v>1224</v>
      </c>
      <c r="M513" t="s">
        <v>2256</v>
      </c>
      <c r="N513" t="s">
        <v>1238</v>
      </c>
      <c r="O513">
        <v>5600</v>
      </c>
      <c r="P513">
        <v>1200</v>
      </c>
      <c r="Q513">
        <v>2400</v>
      </c>
      <c r="R513" t="s">
        <v>2224</v>
      </c>
    </row>
    <row r="514" spans="1:18" x14ac:dyDescent="0.25">
      <c r="A514">
        <v>1236</v>
      </c>
      <c r="B514" t="s">
        <v>30</v>
      </c>
      <c r="C514" t="s">
        <v>31</v>
      </c>
      <c r="D514" t="str">
        <f t="shared" ref="D514:D577" si="24">CONCATENATE(B514, " ", C514)</f>
        <v>Beck Mila</v>
      </c>
      <c r="E514" t="s">
        <v>1248</v>
      </c>
      <c r="F514" s="1">
        <v>45487</v>
      </c>
      <c r="G514" s="32" t="str">
        <f t="shared" ref="G514:G577" si="25">TEXT(F514, "MMM")</f>
        <v>Jul</v>
      </c>
      <c r="H514">
        <v>2</v>
      </c>
      <c r="I514" t="str">
        <f t="shared" ref="I514:I577" si="26">IF(H514=1,"Bronze",IF(H514=2,"Silver",IF(H514=3,"Gold")))</f>
        <v>Silver</v>
      </c>
      <c r="J514" t="s">
        <v>14</v>
      </c>
      <c r="K514" s="17">
        <v>35446</v>
      </c>
      <c r="L514" s="17" t="s">
        <v>1218</v>
      </c>
      <c r="M514" t="s">
        <v>2253</v>
      </c>
      <c r="N514" t="s">
        <v>1219</v>
      </c>
      <c r="O514">
        <v>2300</v>
      </c>
      <c r="P514">
        <v>300</v>
      </c>
      <c r="Q514">
        <v>600</v>
      </c>
      <c r="R514" t="s">
        <v>1252</v>
      </c>
    </row>
    <row r="515" spans="1:18" x14ac:dyDescent="0.25">
      <c r="A515">
        <v>1779</v>
      </c>
      <c r="B515" t="s">
        <v>803</v>
      </c>
      <c r="C515" t="s">
        <v>804</v>
      </c>
      <c r="D515" t="str">
        <f t="shared" si="24"/>
        <v>Alvarez Seth</v>
      </c>
      <c r="E515" t="s">
        <v>1249</v>
      </c>
      <c r="F515" s="1">
        <v>45487</v>
      </c>
      <c r="G515" s="32" t="str">
        <f t="shared" si="25"/>
        <v>Jul</v>
      </c>
      <c r="H515">
        <v>2</v>
      </c>
      <c r="I515" t="str">
        <f t="shared" si="26"/>
        <v>Silver</v>
      </c>
      <c r="J515" t="s">
        <v>14</v>
      </c>
      <c r="K515" s="17">
        <v>96315</v>
      </c>
      <c r="L515" s="17" t="s">
        <v>1216</v>
      </c>
      <c r="M515" t="s">
        <v>2252</v>
      </c>
      <c r="N515" t="s">
        <v>1217</v>
      </c>
      <c r="O515">
        <v>2600</v>
      </c>
      <c r="P515">
        <v>1200</v>
      </c>
      <c r="Q515">
        <v>2400</v>
      </c>
      <c r="R515" t="s">
        <v>1796</v>
      </c>
    </row>
    <row r="516" spans="1:18" x14ac:dyDescent="0.25">
      <c r="A516">
        <v>1318</v>
      </c>
      <c r="B516" t="s">
        <v>184</v>
      </c>
      <c r="C516" t="s">
        <v>185</v>
      </c>
      <c r="D516" t="str">
        <f t="shared" si="24"/>
        <v>Clay Aria</v>
      </c>
      <c r="E516" t="s">
        <v>1249</v>
      </c>
      <c r="F516" s="1">
        <v>45488</v>
      </c>
      <c r="G516" s="32" t="str">
        <f t="shared" si="25"/>
        <v>Jul</v>
      </c>
      <c r="H516">
        <v>2</v>
      </c>
      <c r="I516" t="str">
        <f t="shared" si="26"/>
        <v>Silver</v>
      </c>
      <c r="J516" t="s">
        <v>1242</v>
      </c>
      <c r="K516" s="17">
        <v>39289</v>
      </c>
      <c r="L516" s="17" t="s">
        <v>1222</v>
      </c>
      <c r="M516" t="s">
        <v>2255</v>
      </c>
      <c r="N516" t="s">
        <v>1223</v>
      </c>
      <c r="O516">
        <v>4217</v>
      </c>
      <c r="P516">
        <v>1200</v>
      </c>
      <c r="Q516">
        <v>2400</v>
      </c>
      <c r="R516" t="s">
        <v>1334</v>
      </c>
    </row>
    <row r="517" spans="1:18" x14ac:dyDescent="0.25">
      <c r="A517">
        <v>1677</v>
      </c>
      <c r="B517" t="s">
        <v>695</v>
      </c>
      <c r="C517" t="s">
        <v>531</v>
      </c>
      <c r="D517" t="str">
        <f t="shared" si="24"/>
        <v>Castro Gregory</v>
      </c>
      <c r="E517" t="s">
        <v>1249</v>
      </c>
      <c r="F517" s="1">
        <v>45488</v>
      </c>
      <c r="G517" s="32" t="str">
        <f t="shared" si="25"/>
        <v>Jul</v>
      </c>
      <c r="H517">
        <v>1</v>
      </c>
      <c r="I517" t="str">
        <f t="shared" si="26"/>
        <v>Bronze</v>
      </c>
      <c r="J517" t="s">
        <v>1242</v>
      </c>
      <c r="K517" s="17">
        <v>62184</v>
      </c>
      <c r="L517" s="17" t="s">
        <v>1218</v>
      </c>
      <c r="M517" t="s">
        <v>2254</v>
      </c>
      <c r="N517" t="s">
        <v>1219</v>
      </c>
      <c r="O517">
        <v>2300</v>
      </c>
      <c r="P517">
        <v>1200</v>
      </c>
      <c r="Q517">
        <v>1200</v>
      </c>
      <c r="R517" t="s">
        <v>1694</v>
      </c>
    </row>
    <row r="518" spans="1:18" x14ac:dyDescent="0.25">
      <c r="A518">
        <v>2157</v>
      </c>
      <c r="B518" t="s">
        <v>1152</v>
      </c>
      <c r="C518" t="s">
        <v>291</v>
      </c>
      <c r="D518" t="str">
        <f t="shared" si="24"/>
        <v>Davila Spencer</v>
      </c>
      <c r="E518" t="s">
        <v>1249</v>
      </c>
      <c r="F518" s="1">
        <v>45488</v>
      </c>
      <c r="G518" s="32" t="str">
        <f t="shared" si="25"/>
        <v>Jul</v>
      </c>
      <c r="H518">
        <v>1</v>
      </c>
      <c r="I518" t="str">
        <f t="shared" si="26"/>
        <v>Bronze</v>
      </c>
      <c r="J518" t="s">
        <v>14</v>
      </c>
      <c r="K518" s="17">
        <v>97891</v>
      </c>
      <c r="L518" s="17" t="s">
        <v>1222</v>
      </c>
      <c r="M518" t="s">
        <v>2252</v>
      </c>
      <c r="N518" t="s">
        <v>1231</v>
      </c>
      <c r="O518">
        <v>4870</v>
      </c>
      <c r="P518">
        <v>1200</v>
      </c>
      <c r="Q518">
        <v>1200</v>
      </c>
      <c r="R518" t="s">
        <v>2175</v>
      </c>
    </row>
    <row r="519" spans="1:18" x14ac:dyDescent="0.25">
      <c r="A519">
        <v>1344</v>
      </c>
      <c r="B519" t="s">
        <v>231</v>
      </c>
      <c r="C519" t="s">
        <v>232</v>
      </c>
      <c r="D519" t="str">
        <f t="shared" si="24"/>
        <v>Keller Miguel</v>
      </c>
      <c r="E519" t="s">
        <v>1249</v>
      </c>
      <c r="F519" s="1">
        <v>45489</v>
      </c>
      <c r="G519" s="32" t="str">
        <f t="shared" si="25"/>
        <v>Jul</v>
      </c>
      <c r="H519">
        <v>3</v>
      </c>
      <c r="I519" t="str">
        <f t="shared" si="26"/>
        <v>Gold</v>
      </c>
      <c r="J519" t="s">
        <v>18</v>
      </c>
      <c r="K519" s="17">
        <v>86447</v>
      </c>
      <c r="L519" s="17" t="s">
        <v>1224</v>
      </c>
      <c r="M519" t="s">
        <v>2252</v>
      </c>
      <c r="N519" t="s">
        <v>1064</v>
      </c>
      <c r="O519">
        <v>5000</v>
      </c>
      <c r="P519">
        <v>1200</v>
      </c>
      <c r="Q519">
        <v>3600</v>
      </c>
      <c r="R519" t="s">
        <v>1360</v>
      </c>
    </row>
    <row r="520" spans="1:18" x14ac:dyDescent="0.25">
      <c r="A520">
        <v>2082</v>
      </c>
      <c r="B520" t="s">
        <v>734</v>
      </c>
      <c r="C520" t="s">
        <v>1084</v>
      </c>
      <c r="D520" t="str">
        <f t="shared" si="24"/>
        <v>Bates Grayson</v>
      </c>
      <c r="E520" t="s">
        <v>1249</v>
      </c>
      <c r="F520" s="1">
        <v>45489</v>
      </c>
      <c r="G520" s="32" t="str">
        <f t="shared" si="25"/>
        <v>Jul</v>
      </c>
      <c r="H520">
        <v>2</v>
      </c>
      <c r="I520" t="str">
        <f t="shared" si="26"/>
        <v>Silver</v>
      </c>
      <c r="J520" t="s">
        <v>1242</v>
      </c>
      <c r="K520" s="17">
        <v>73823</v>
      </c>
      <c r="L520" s="17" t="s">
        <v>1218</v>
      </c>
      <c r="M520" t="s">
        <v>2252</v>
      </c>
      <c r="N520" t="s">
        <v>1235</v>
      </c>
      <c r="O520">
        <v>2500</v>
      </c>
      <c r="P520">
        <v>1200</v>
      </c>
      <c r="Q520">
        <v>2400</v>
      </c>
      <c r="R520" t="s">
        <v>2099</v>
      </c>
    </row>
    <row r="521" spans="1:18" x14ac:dyDescent="0.25">
      <c r="A521">
        <v>1339</v>
      </c>
      <c r="B521" t="s">
        <v>222</v>
      </c>
      <c r="C521" t="s">
        <v>223</v>
      </c>
      <c r="D521" t="str">
        <f t="shared" si="24"/>
        <v>Xiong Selah</v>
      </c>
      <c r="E521" t="s">
        <v>1207</v>
      </c>
      <c r="F521" s="1">
        <v>45490</v>
      </c>
      <c r="G521" s="32" t="str">
        <f t="shared" si="25"/>
        <v>Jul</v>
      </c>
      <c r="H521">
        <v>2</v>
      </c>
      <c r="I521" t="str">
        <f t="shared" si="26"/>
        <v>Silver</v>
      </c>
      <c r="J521" t="s">
        <v>14</v>
      </c>
      <c r="K521" s="17">
        <v>3487</v>
      </c>
      <c r="L521" s="17" t="s">
        <v>1214</v>
      </c>
      <c r="M521" t="s">
        <v>2253</v>
      </c>
      <c r="N521" t="s">
        <v>1215</v>
      </c>
      <c r="O521">
        <v>6725</v>
      </c>
      <c r="P521">
        <v>250</v>
      </c>
      <c r="Q521">
        <v>500</v>
      </c>
      <c r="R521" t="s">
        <v>1355</v>
      </c>
    </row>
    <row r="522" spans="1:18" x14ac:dyDescent="0.25">
      <c r="A522">
        <v>1784</v>
      </c>
      <c r="B522" t="s">
        <v>809</v>
      </c>
      <c r="C522" t="s">
        <v>462</v>
      </c>
      <c r="D522" t="str">
        <f t="shared" si="24"/>
        <v>Little Adan</v>
      </c>
      <c r="E522" t="s">
        <v>1207</v>
      </c>
      <c r="F522" s="1">
        <v>45490</v>
      </c>
      <c r="G522" s="32" t="str">
        <f t="shared" si="25"/>
        <v>Jul</v>
      </c>
      <c r="H522">
        <v>2</v>
      </c>
      <c r="I522" t="str">
        <f t="shared" si="26"/>
        <v>Silver</v>
      </c>
      <c r="J522" t="s">
        <v>1242</v>
      </c>
      <c r="K522" s="17">
        <v>68575</v>
      </c>
      <c r="L522" s="17" t="s">
        <v>1224</v>
      </c>
      <c r="M522" t="s">
        <v>2255</v>
      </c>
      <c r="N522" t="s">
        <v>1238</v>
      </c>
      <c r="O522">
        <v>5600</v>
      </c>
      <c r="P522">
        <v>250</v>
      </c>
      <c r="Q522">
        <v>500</v>
      </c>
      <c r="R522" t="s">
        <v>1801</v>
      </c>
    </row>
    <row r="523" spans="1:18" x14ac:dyDescent="0.25">
      <c r="A523">
        <v>1817</v>
      </c>
      <c r="B523" t="s">
        <v>845</v>
      </c>
      <c r="C523" t="s">
        <v>20</v>
      </c>
      <c r="D523" t="str">
        <f t="shared" si="24"/>
        <v>Henson Vivian</v>
      </c>
      <c r="E523" t="s">
        <v>1249</v>
      </c>
      <c r="F523" s="1">
        <v>45490</v>
      </c>
      <c r="G523" s="32" t="str">
        <f t="shared" si="25"/>
        <v>Jul</v>
      </c>
      <c r="H523">
        <v>1</v>
      </c>
      <c r="I523" t="str">
        <f t="shared" si="26"/>
        <v>Bronze</v>
      </c>
      <c r="J523" t="s">
        <v>18</v>
      </c>
      <c r="K523" s="17">
        <v>86008</v>
      </c>
      <c r="L523" s="17" t="s">
        <v>1233</v>
      </c>
      <c r="M523" t="s">
        <v>2256</v>
      </c>
      <c r="N523" t="s">
        <v>1239</v>
      </c>
      <c r="O523">
        <v>870</v>
      </c>
      <c r="P523">
        <v>1200</v>
      </c>
      <c r="Q523">
        <v>1200</v>
      </c>
      <c r="R523" t="s">
        <v>1834</v>
      </c>
    </row>
    <row r="524" spans="1:18" x14ac:dyDescent="0.25">
      <c r="A524">
        <v>1235</v>
      </c>
      <c r="B524" t="s">
        <v>28</v>
      </c>
      <c r="C524" t="s">
        <v>29</v>
      </c>
      <c r="D524" t="str">
        <f t="shared" si="24"/>
        <v>Gomez Ali</v>
      </c>
      <c r="E524" t="s">
        <v>1208</v>
      </c>
      <c r="F524" s="1">
        <v>45491</v>
      </c>
      <c r="G524" s="32" t="str">
        <f t="shared" si="25"/>
        <v>Jul</v>
      </c>
      <c r="H524">
        <v>3</v>
      </c>
      <c r="I524" t="str">
        <f t="shared" si="26"/>
        <v>Gold</v>
      </c>
      <c r="J524" t="s">
        <v>1243</v>
      </c>
      <c r="K524" s="17">
        <v>31652</v>
      </c>
      <c r="L524" s="17" t="s">
        <v>1216</v>
      </c>
      <c r="M524" t="s">
        <v>2252</v>
      </c>
      <c r="N524" t="s">
        <v>1217</v>
      </c>
      <c r="O524">
        <v>2600</v>
      </c>
      <c r="P524">
        <v>800</v>
      </c>
      <c r="Q524">
        <v>2400</v>
      </c>
      <c r="R524" t="s">
        <v>1251</v>
      </c>
    </row>
    <row r="525" spans="1:18" x14ac:dyDescent="0.25">
      <c r="A525">
        <v>1406</v>
      </c>
      <c r="B525" t="s">
        <v>329</v>
      </c>
      <c r="C525" t="s">
        <v>330</v>
      </c>
      <c r="D525" t="str">
        <f t="shared" si="24"/>
        <v>Martinez Samantha</v>
      </c>
      <c r="E525" t="s">
        <v>1205</v>
      </c>
      <c r="F525" s="1">
        <v>45491</v>
      </c>
      <c r="G525" s="32" t="str">
        <f t="shared" si="25"/>
        <v>Jul</v>
      </c>
      <c r="H525">
        <v>3</v>
      </c>
      <c r="I525" t="str">
        <f t="shared" si="26"/>
        <v>Gold</v>
      </c>
      <c r="J525" t="s">
        <v>14</v>
      </c>
      <c r="K525" s="17">
        <v>84519</v>
      </c>
      <c r="L525" s="17" t="s">
        <v>1218</v>
      </c>
      <c r="M525" t="s">
        <v>2254</v>
      </c>
      <c r="N525" t="s">
        <v>1235</v>
      </c>
      <c r="O525">
        <v>2500</v>
      </c>
      <c r="P525">
        <v>250</v>
      </c>
      <c r="Q525">
        <v>750</v>
      </c>
      <c r="R525" t="s">
        <v>1422</v>
      </c>
    </row>
    <row r="526" spans="1:18" x14ac:dyDescent="0.25">
      <c r="A526">
        <v>1620</v>
      </c>
      <c r="B526" t="s">
        <v>126</v>
      </c>
      <c r="C526" t="s">
        <v>624</v>
      </c>
      <c r="D526" t="str">
        <f t="shared" si="24"/>
        <v>Harvey Lane</v>
      </c>
      <c r="E526" t="s">
        <v>1203</v>
      </c>
      <c r="F526" s="1">
        <v>45491</v>
      </c>
      <c r="G526" s="32" t="str">
        <f t="shared" si="25"/>
        <v>Jul</v>
      </c>
      <c r="H526">
        <v>1</v>
      </c>
      <c r="I526" t="str">
        <f t="shared" si="26"/>
        <v>Bronze</v>
      </c>
      <c r="J526" t="s">
        <v>18</v>
      </c>
      <c r="K526" s="17">
        <v>55447</v>
      </c>
      <c r="L526" s="17" t="s">
        <v>1224</v>
      </c>
      <c r="M526" t="s">
        <v>2253</v>
      </c>
      <c r="N526" t="s">
        <v>1238</v>
      </c>
      <c r="O526">
        <v>5600</v>
      </c>
      <c r="P526">
        <v>600</v>
      </c>
      <c r="Q526">
        <v>600</v>
      </c>
      <c r="R526" t="s">
        <v>1637</v>
      </c>
    </row>
    <row r="527" spans="1:18" x14ac:dyDescent="0.25">
      <c r="A527">
        <v>1749</v>
      </c>
      <c r="B527" t="s">
        <v>776</v>
      </c>
      <c r="C527" t="s">
        <v>588</v>
      </c>
      <c r="D527" t="str">
        <f t="shared" si="24"/>
        <v>Manning Blake</v>
      </c>
      <c r="E527" t="s">
        <v>1203</v>
      </c>
      <c r="F527" s="1">
        <v>45491</v>
      </c>
      <c r="G527" s="32" t="str">
        <f t="shared" si="25"/>
        <v>Jul</v>
      </c>
      <c r="H527">
        <v>1</v>
      </c>
      <c r="I527" t="str">
        <f t="shared" si="26"/>
        <v>Bronze</v>
      </c>
      <c r="J527" t="s">
        <v>1242</v>
      </c>
      <c r="K527" s="17">
        <v>98309</v>
      </c>
      <c r="L527" s="17" t="s">
        <v>1222</v>
      </c>
      <c r="M527" t="s">
        <v>2256</v>
      </c>
      <c r="N527" t="s">
        <v>1231</v>
      </c>
      <c r="O527">
        <v>4870</v>
      </c>
      <c r="P527">
        <v>600</v>
      </c>
      <c r="Q527">
        <v>600</v>
      </c>
      <c r="R527" t="s">
        <v>1766</v>
      </c>
    </row>
    <row r="528" spans="1:18" x14ac:dyDescent="0.25">
      <c r="A528">
        <v>1865</v>
      </c>
      <c r="B528" t="s">
        <v>895</v>
      </c>
      <c r="C528" t="s">
        <v>479</v>
      </c>
      <c r="D528" t="str">
        <f t="shared" si="24"/>
        <v>Quintero Emersyn</v>
      </c>
      <c r="E528" t="s">
        <v>1208</v>
      </c>
      <c r="F528" s="1">
        <v>45491</v>
      </c>
      <c r="G528" s="32" t="str">
        <f t="shared" si="25"/>
        <v>Jul</v>
      </c>
      <c r="H528">
        <v>3</v>
      </c>
      <c r="I528" t="str">
        <f t="shared" si="26"/>
        <v>Gold</v>
      </c>
      <c r="J528" t="s">
        <v>18</v>
      </c>
      <c r="K528" s="17">
        <v>95315</v>
      </c>
      <c r="L528" s="17" t="s">
        <v>1224</v>
      </c>
      <c r="M528" t="s">
        <v>2252</v>
      </c>
      <c r="N528" t="s">
        <v>1238</v>
      </c>
      <c r="O528">
        <v>5600</v>
      </c>
      <c r="P528">
        <v>800</v>
      </c>
      <c r="Q528">
        <v>2400</v>
      </c>
      <c r="R528" t="s">
        <v>1882</v>
      </c>
    </row>
    <row r="529" spans="1:18" x14ac:dyDescent="0.25">
      <c r="A529">
        <v>2153</v>
      </c>
      <c r="B529" t="s">
        <v>1151</v>
      </c>
      <c r="C529" t="s">
        <v>983</v>
      </c>
      <c r="D529" t="str">
        <f t="shared" si="24"/>
        <v>Simmons Emiliano</v>
      </c>
      <c r="E529" t="s">
        <v>1208</v>
      </c>
      <c r="F529" s="1">
        <v>45491</v>
      </c>
      <c r="G529" s="32" t="str">
        <f t="shared" si="25"/>
        <v>Jul</v>
      </c>
      <c r="H529">
        <v>1</v>
      </c>
      <c r="I529" t="str">
        <f t="shared" si="26"/>
        <v>Bronze</v>
      </c>
      <c r="J529" t="s">
        <v>1243</v>
      </c>
      <c r="K529" s="17">
        <v>74288</v>
      </c>
      <c r="L529" s="17" t="s">
        <v>1218</v>
      </c>
      <c r="M529" t="s">
        <v>2254</v>
      </c>
      <c r="N529" t="s">
        <v>1219</v>
      </c>
      <c r="O529">
        <v>2300</v>
      </c>
      <c r="P529">
        <v>800</v>
      </c>
      <c r="Q529">
        <v>800</v>
      </c>
      <c r="R529" t="s">
        <v>2171</v>
      </c>
    </row>
    <row r="530" spans="1:18" x14ac:dyDescent="0.25">
      <c r="A530">
        <v>2031</v>
      </c>
      <c r="B530" t="s">
        <v>646</v>
      </c>
      <c r="C530" t="s">
        <v>1039</v>
      </c>
      <c r="D530" t="str">
        <f t="shared" si="24"/>
        <v>Gibson Charlee</v>
      </c>
      <c r="E530" t="s">
        <v>1205</v>
      </c>
      <c r="F530" s="1">
        <v>45492</v>
      </c>
      <c r="G530" s="32" t="str">
        <f t="shared" si="25"/>
        <v>Jul</v>
      </c>
      <c r="H530">
        <v>1</v>
      </c>
      <c r="I530" t="str">
        <f t="shared" si="26"/>
        <v>Bronze</v>
      </c>
      <c r="J530" t="s">
        <v>14</v>
      </c>
      <c r="K530" s="17">
        <v>9389</v>
      </c>
      <c r="L530" s="17" t="s">
        <v>1220</v>
      </c>
      <c r="M530" t="s">
        <v>2254</v>
      </c>
      <c r="N530" t="s">
        <v>1226</v>
      </c>
      <c r="O530">
        <v>3220</v>
      </c>
      <c r="P530">
        <v>250</v>
      </c>
      <c r="Q530">
        <v>250</v>
      </c>
      <c r="R530" t="s">
        <v>2048</v>
      </c>
    </row>
    <row r="531" spans="1:18" x14ac:dyDescent="0.25">
      <c r="A531">
        <v>2207</v>
      </c>
      <c r="B531" t="s">
        <v>184</v>
      </c>
      <c r="C531" t="s">
        <v>503</v>
      </c>
      <c r="D531" t="str">
        <f t="shared" si="24"/>
        <v>Clay Lennox</v>
      </c>
      <c r="E531" t="s">
        <v>1249</v>
      </c>
      <c r="F531" s="1">
        <v>45492</v>
      </c>
      <c r="G531" s="32" t="str">
        <f t="shared" si="25"/>
        <v>Jul</v>
      </c>
      <c r="H531">
        <v>1</v>
      </c>
      <c r="I531" t="str">
        <f t="shared" si="26"/>
        <v>Bronze</v>
      </c>
      <c r="J531" t="s">
        <v>1242</v>
      </c>
      <c r="K531" s="17">
        <v>81501</v>
      </c>
      <c r="L531" s="17" t="s">
        <v>1214</v>
      </c>
      <c r="M531" t="s">
        <v>2256</v>
      </c>
      <c r="N531" t="s">
        <v>1215</v>
      </c>
      <c r="O531">
        <v>6725</v>
      </c>
      <c r="P531">
        <v>1200</v>
      </c>
      <c r="Q531">
        <v>1200</v>
      </c>
      <c r="R531" t="s">
        <v>2225</v>
      </c>
    </row>
    <row r="532" spans="1:18" x14ac:dyDescent="0.25">
      <c r="A532">
        <v>1337</v>
      </c>
      <c r="B532" t="s">
        <v>212</v>
      </c>
      <c r="C532" t="s">
        <v>219</v>
      </c>
      <c r="D532" t="str">
        <f t="shared" si="24"/>
        <v>Mcbride Luke</v>
      </c>
      <c r="E532" t="s">
        <v>1249</v>
      </c>
      <c r="F532" s="1">
        <v>45493</v>
      </c>
      <c r="G532" s="32" t="str">
        <f t="shared" si="25"/>
        <v>Jul</v>
      </c>
      <c r="H532">
        <v>3</v>
      </c>
      <c r="I532" t="str">
        <f t="shared" si="26"/>
        <v>Gold</v>
      </c>
      <c r="J532" t="s">
        <v>14</v>
      </c>
      <c r="K532" s="17">
        <v>95531</v>
      </c>
      <c r="L532" s="17" t="s">
        <v>1222</v>
      </c>
      <c r="M532" t="s">
        <v>2252</v>
      </c>
      <c r="N532" t="s">
        <v>1231</v>
      </c>
      <c r="O532">
        <v>4870</v>
      </c>
      <c r="P532">
        <v>1200</v>
      </c>
      <c r="Q532">
        <v>3600</v>
      </c>
      <c r="R532" t="s">
        <v>1353</v>
      </c>
    </row>
    <row r="533" spans="1:18" x14ac:dyDescent="0.25">
      <c r="A533">
        <v>1783</v>
      </c>
      <c r="B533" t="s">
        <v>213</v>
      </c>
      <c r="C533" t="s">
        <v>808</v>
      </c>
      <c r="D533" t="str">
        <f t="shared" si="24"/>
        <v>Ellis Bo</v>
      </c>
      <c r="E533" t="s">
        <v>1248</v>
      </c>
      <c r="F533" s="1">
        <v>45493</v>
      </c>
      <c r="G533" s="32" t="str">
        <f t="shared" si="25"/>
        <v>Jul</v>
      </c>
      <c r="H533">
        <v>3</v>
      </c>
      <c r="I533" t="str">
        <f t="shared" si="26"/>
        <v>Gold</v>
      </c>
      <c r="J533" t="s">
        <v>1242</v>
      </c>
      <c r="K533" s="17">
        <v>59332</v>
      </c>
      <c r="L533" s="17" t="s">
        <v>1222</v>
      </c>
      <c r="M533" t="s">
        <v>2254</v>
      </c>
      <c r="N533" t="s">
        <v>1231</v>
      </c>
      <c r="O533">
        <v>4870</v>
      </c>
      <c r="P533">
        <v>300</v>
      </c>
      <c r="Q533">
        <v>900</v>
      </c>
      <c r="R533" t="s">
        <v>1800</v>
      </c>
    </row>
    <row r="534" spans="1:18" x14ac:dyDescent="0.25">
      <c r="A534">
        <v>1376</v>
      </c>
      <c r="B534" t="s">
        <v>284</v>
      </c>
      <c r="C534" t="s">
        <v>285</v>
      </c>
      <c r="D534" t="str">
        <f t="shared" si="24"/>
        <v>Walton Erick</v>
      </c>
      <c r="E534" t="s">
        <v>1248</v>
      </c>
      <c r="F534" s="1">
        <v>45495</v>
      </c>
      <c r="G534" s="32" t="str">
        <f t="shared" si="25"/>
        <v>Jul</v>
      </c>
      <c r="H534">
        <v>2</v>
      </c>
      <c r="I534" t="str">
        <f t="shared" si="26"/>
        <v>Silver</v>
      </c>
      <c r="J534" t="s">
        <v>1243</v>
      </c>
      <c r="K534" s="17">
        <v>77854</v>
      </c>
      <c r="L534" s="17" t="s">
        <v>1218</v>
      </c>
      <c r="M534" t="s">
        <v>2255</v>
      </c>
      <c r="N534" t="s">
        <v>1219</v>
      </c>
      <c r="O534">
        <v>2300</v>
      </c>
      <c r="P534">
        <v>300</v>
      </c>
      <c r="Q534">
        <v>600</v>
      </c>
      <c r="R534" t="s">
        <v>1392</v>
      </c>
    </row>
    <row r="535" spans="1:18" x14ac:dyDescent="0.25">
      <c r="A535">
        <v>1523</v>
      </c>
      <c r="B535" t="s">
        <v>336</v>
      </c>
      <c r="C535" t="s">
        <v>505</v>
      </c>
      <c r="D535" t="str">
        <f t="shared" si="24"/>
        <v>Horn Damien</v>
      </c>
      <c r="E535" t="s">
        <v>1248</v>
      </c>
      <c r="F535" s="1">
        <v>45496</v>
      </c>
      <c r="G535" s="32" t="str">
        <f t="shared" si="25"/>
        <v>Jul</v>
      </c>
      <c r="H535">
        <v>1</v>
      </c>
      <c r="I535" t="str">
        <f t="shared" si="26"/>
        <v>Bronze</v>
      </c>
      <c r="J535" t="s">
        <v>18</v>
      </c>
      <c r="K535" s="17">
        <v>75747</v>
      </c>
      <c r="L535" s="17" t="s">
        <v>1220</v>
      </c>
      <c r="M535" t="s">
        <v>2254</v>
      </c>
      <c r="N535" t="s">
        <v>1221</v>
      </c>
      <c r="O535">
        <v>3350</v>
      </c>
      <c r="P535">
        <v>300</v>
      </c>
      <c r="Q535">
        <v>300</v>
      </c>
      <c r="R535" t="s">
        <v>1539</v>
      </c>
    </row>
    <row r="536" spans="1:18" x14ac:dyDescent="0.25">
      <c r="A536">
        <v>1707</v>
      </c>
      <c r="B536" t="s">
        <v>734</v>
      </c>
      <c r="C536" t="s">
        <v>735</v>
      </c>
      <c r="D536" t="str">
        <f t="shared" si="24"/>
        <v>Bates Anya</v>
      </c>
      <c r="E536" t="s">
        <v>1205</v>
      </c>
      <c r="F536" s="1">
        <v>45496</v>
      </c>
      <c r="G536" s="32" t="str">
        <f t="shared" si="25"/>
        <v>Jul</v>
      </c>
      <c r="H536">
        <v>3</v>
      </c>
      <c r="I536" t="str">
        <f t="shared" si="26"/>
        <v>Gold</v>
      </c>
      <c r="J536" t="s">
        <v>14</v>
      </c>
      <c r="K536" s="17">
        <v>6183</v>
      </c>
      <c r="L536" s="17" t="s">
        <v>1233</v>
      </c>
      <c r="M536" t="s">
        <v>2253</v>
      </c>
      <c r="N536" t="s">
        <v>1234</v>
      </c>
      <c r="O536">
        <v>800</v>
      </c>
      <c r="P536">
        <v>250</v>
      </c>
      <c r="Q536">
        <v>750</v>
      </c>
      <c r="R536" t="s">
        <v>1724</v>
      </c>
    </row>
    <row r="537" spans="1:18" x14ac:dyDescent="0.25">
      <c r="A537">
        <v>1815</v>
      </c>
      <c r="B537" t="s">
        <v>841</v>
      </c>
      <c r="C537" t="s">
        <v>842</v>
      </c>
      <c r="D537" t="str">
        <f t="shared" si="24"/>
        <v>Vaughan Leila</v>
      </c>
      <c r="E537" t="s">
        <v>1205</v>
      </c>
      <c r="F537" s="1">
        <v>45496</v>
      </c>
      <c r="G537" s="32" t="str">
        <f t="shared" si="25"/>
        <v>Jul</v>
      </c>
      <c r="H537">
        <v>3</v>
      </c>
      <c r="I537" t="str">
        <f t="shared" si="26"/>
        <v>Gold</v>
      </c>
      <c r="J537" t="s">
        <v>1242</v>
      </c>
      <c r="K537" s="17">
        <v>92945</v>
      </c>
      <c r="L537" s="17" t="s">
        <v>1216</v>
      </c>
      <c r="M537" t="s">
        <v>2253</v>
      </c>
      <c r="N537" t="s">
        <v>1217</v>
      </c>
      <c r="O537">
        <v>2600</v>
      </c>
      <c r="P537">
        <v>250</v>
      </c>
      <c r="Q537">
        <v>750</v>
      </c>
      <c r="R537" t="s">
        <v>1832</v>
      </c>
    </row>
    <row r="538" spans="1:18" x14ac:dyDescent="0.25">
      <c r="A538">
        <v>1928</v>
      </c>
      <c r="B538" t="s">
        <v>959</v>
      </c>
      <c r="C538" t="s">
        <v>245</v>
      </c>
      <c r="D538" t="str">
        <f t="shared" si="24"/>
        <v>Payne Zion</v>
      </c>
      <c r="E538" t="s">
        <v>1203</v>
      </c>
      <c r="F538" s="1">
        <v>45496</v>
      </c>
      <c r="G538" s="32" t="str">
        <f t="shared" si="25"/>
        <v>Jul</v>
      </c>
      <c r="H538">
        <v>2</v>
      </c>
      <c r="I538" t="str">
        <f t="shared" si="26"/>
        <v>Silver</v>
      </c>
      <c r="J538" t="s">
        <v>1242</v>
      </c>
      <c r="K538" s="17">
        <v>71866</v>
      </c>
      <c r="L538" s="17" t="s">
        <v>1233</v>
      </c>
      <c r="M538" t="s">
        <v>2252</v>
      </c>
      <c r="N538" t="s">
        <v>1239</v>
      </c>
      <c r="O538">
        <v>870</v>
      </c>
      <c r="P538">
        <v>600</v>
      </c>
      <c r="Q538">
        <v>1200</v>
      </c>
      <c r="R538" t="s">
        <v>1945</v>
      </c>
    </row>
    <row r="539" spans="1:18" x14ac:dyDescent="0.25">
      <c r="A539">
        <v>1690</v>
      </c>
      <c r="B539" t="s">
        <v>711</v>
      </c>
      <c r="C539" t="s">
        <v>712</v>
      </c>
      <c r="D539" t="str">
        <f t="shared" si="24"/>
        <v>Stevenson Landon</v>
      </c>
      <c r="E539" t="s">
        <v>1248</v>
      </c>
      <c r="F539" s="1">
        <v>45497</v>
      </c>
      <c r="G539" s="32" t="str">
        <f t="shared" si="25"/>
        <v>Jul</v>
      </c>
      <c r="H539">
        <v>2</v>
      </c>
      <c r="I539" t="str">
        <f t="shared" si="26"/>
        <v>Silver</v>
      </c>
      <c r="J539" t="s">
        <v>14</v>
      </c>
      <c r="K539" s="17">
        <v>23259</v>
      </c>
      <c r="L539" s="17" t="s">
        <v>1233</v>
      </c>
      <c r="M539" t="s">
        <v>2254</v>
      </c>
      <c r="N539" t="s">
        <v>1234</v>
      </c>
      <c r="O539">
        <v>800</v>
      </c>
      <c r="P539">
        <v>300</v>
      </c>
      <c r="Q539">
        <v>600</v>
      </c>
      <c r="R539" t="s">
        <v>1707</v>
      </c>
    </row>
    <row r="540" spans="1:18" x14ac:dyDescent="0.25">
      <c r="A540">
        <v>1775</v>
      </c>
      <c r="B540" t="s">
        <v>638</v>
      </c>
      <c r="C540" t="s">
        <v>798</v>
      </c>
      <c r="D540" t="str">
        <f t="shared" si="24"/>
        <v>Haley Haisley</v>
      </c>
      <c r="E540" t="s">
        <v>1249</v>
      </c>
      <c r="F540" s="1">
        <v>45497</v>
      </c>
      <c r="G540" s="32" t="str">
        <f t="shared" si="25"/>
        <v>Jul</v>
      </c>
      <c r="H540">
        <v>3</v>
      </c>
      <c r="I540" t="str">
        <f t="shared" si="26"/>
        <v>Gold</v>
      </c>
      <c r="J540" t="s">
        <v>14</v>
      </c>
      <c r="K540" s="17">
        <v>86651</v>
      </c>
      <c r="L540" s="17" t="s">
        <v>1216</v>
      </c>
      <c r="M540" t="s">
        <v>2256</v>
      </c>
      <c r="N540" t="s">
        <v>1217</v>
      </c>
      <c r="O540">
        <v>2600</v>
      </c>
      <c r="P540">
        <v>1200</v>
      </c>
      <c r="Q540">
        <v>3600</v>
      </c>
      <c r="R540" t="s">
        <v>1792</v>
      </c>
    </row>
    <row r="541" spans="1:18" x14ac:dyDescent="0.25">
      <c r="A541">
        <v>1831</v>
      </c>
      <c r="B541" t="s">
        <v>859</v>
      </c>
      <c r="C541" t="s">
        <v>145</v>
      </c>
      <c r="D541" t="str">
        <f t="shared" si="24"/>
        <v>Cordova Russell</v>
      </c>
      <c r="E541" t="s">
        <v>1205</v>
      </c>
      <c r="F541" s="1">
        <v>45497</v>
      </c>
      <c r="G541" s="32" t="str">
        <f t="shared" si="25"/>
        <v>Jul</v>
      </c>
      <c r="H541">
        <v>1</v>
      </c>
      <c r="I541" t="str">
        <f t="shared" si="26"/>
        <v>Bronze</v>
      </c>
      <c r="J541" t="s">
        <v>14</v>
      </c>
      <c r="K541" s="17">
        <v>63263</v>
      </c>
      <c r="L541" s="17" t="s">
        <v>1220</v>
      </c>
      <c r="M541" t="s">
        <v>2253</v>
      </c>
      <c r="N541" t="s">
        <v>1221</v>
      </c>
      <c r="O541">
        <v>3350</v>
      </c>
      <c r="P541">
        <v>250</v>
      </c>
      <c r="Q541">
        <v>250</v>
      </c>
      <c r="R541" t="s">
        <v>1848</v>
      </c>
    </row>
    <row r="542" spans="1:18" x14ac:dyDescent="0.25">
      <c r="A542">
        <v>1422</v>
      </c>
      <c r="B542" t="s">
        <v>357</v>
      </c>
      <c r="C542" t="s">
        <v>348</v>
      </c>
      <c r="D542" t="str">
        <f t="shared" si="24"/>
        <v>Gould Lyra</v>
      </c>
      <c r="E542" t="s">
        <v>1207</v>
      </c>
      <c r="F542" s="1">
        <v>45498</v>
      </c>
      <c r="G542" s="32" t="str">
        <f t="shared" si="25"/>
        <v>Jul</v>
      </c>
      <c r="H542">
        <v>1</v>
      </c>
      <c r="I542" t="str">
        <f t="shared" si="26"/>
        <v>Bronze</v>
      </c>
      <c r="J542" t="s">
        <v>18</v>
      </c>
      <c r="K542" s="17">
        <v>92951</v>
      </c>
      <c r="L542" s="17" t="s">
        <v>1233</v>
      </c>
      <c r="M542" t="s">
        <v>2255</v>
      </c>
      <c r="N542" t="s">
        <v>1234</v>
      </c>
      <c r="O542">
        <v>800</v>
      </c>
      <c r="P542">
        <v>250</v>
      </c>
      <c r="Q542">
        <v>250</v>
      </c>
      <c r="R542" t="s">
        <v>1438</v>
      </c>
    </row>
    <row r="543" spans="1:18" x14ac:dyDescent="0.25">
      <c r="A543">
        <v>1517</v>
      </c>
      <c r="B543" t="s">
        <v>79</v>
      </c>
      <c r="C543" t="s">
        <v>498</v>
      </c>
      <c r="D543" t="str">
        <f t="shared" si="24"/>
        <v>Kane Nolan</v>
      </c>
      <c r="E543" t="s">
        <v>1203</v>
      </c>
      <c r="F543" s="1">
        <v>45498</v>
      </c>
      <c r="G543" s="32" t="str">
        <f t="shared" si="25"/>
        <v>Jul</v>
      </c>
      <c r="H543">
        <v>2</v>
      </c>
      <c r="I543" t="str">
        <f t="shared" si="26"/>
        <v>Silver</v>
      </c>
      <c r="J543" t="s">
        <v>1242</v>
      </c>
      <c r="K543" s="17">
        <v>3562</v>
      </c>
      <c r="L543" s="17" t="s">
        <v>1228</v>
      </c>
      <c r="M543" t="s">
        <v>2256</v>
      </c>
      <c r="N543" t="s">
        <v>1230</v>
      </c>
      <c r="O543">
        <v>7000</v>
      </c>
      <c r="P543">
        <v>600</v>
      </c>
      <c r="Q543">
        <v>1200</v>
      </c>
      <c r="R543" t="s">
        <v>1533</v>
      </c>
    </row>
    <row r="544" spans="1:18" x14ac:dyDescent="0.25">
      <c r="A544">
        <v>1868</v>
      </c>
      <c r="B544" t="s">
        <v>897</v>
      </c>
      <c r="C544" t="s">
        <v>898</v>
      </c>
      <c r="D544" t="str">
        <f t="shared" si="24"/>
        <v>Ryan Maisie</v>
      </c>
      <c r="E544" t="s">
        <v>1207</v>
      </c>
      <c r="F544" s="1">
        <v>45498</v>
      </c>
      <c r="G544" s="32" t="str">
        <f t="shared" si="25"/>
        <v>Jul</v>
      </c>
      <c r="H544">
        <v>2</v>
      </c>
      <c r="I544" t="str">
        <f t="shared" si="26"/>
        <v>Silver</v>
      </c>
      <c r="J544" t="s">
        <v>18</v>
      </c>
      <c r="K544" s="17">
        <v>10471</v>
      </c>
      <c r="L544" s="17" t="s">
        <v>1233</v>
      </c>
      <c r="M544" t="s">
        <v>2256</v>
      </c>
      <c r="N544" t="s">
        <v>1234</v>
      </c>
      <c r="O544">
        <v>800</v>
      </c>
      <c r="P544">
        <v>250</v>
      </c>
      <c r="Q544">
        <v>500</v>
      </c>
      <c r="R544" t="s">
        <v>1885</v>
      </c>
    </row>
    <row r="545" spans="1:18" x14ac:dyDescent="0.25">
      <c r="A545">
        <v>1913</v>
      </c>
      <c r="B545" t="s">
        <v>940</v>
      </c>
      <c r="C545" t="s">
        <v>219</v>
      </c>
      <c r="D545" t="str">
        <f t="shared" si="24"/>
        <v>Hodge Luke</v>
      </c>
      <c r="E545" t="s">
        <v>1249</v>
      </c>
      <c r="F545" s="1">
        <v>45498</v>
      </c>
      <c r="G545" s="32" t="str">
        <f t="shared" si="25"/>
        <v>Jul</v>
      </c>
      <c r="H545">
        <v>1</v>
      </c>
      <c r="I545" t="str">
        <f t="shared" si="26"/>
        <v>Bronze</v>
      </c>
      <c r="J545" t="s">
        <v>14</v>
      </c>
      <c r="K545" s="17">
        <v>61286</v>
      </c>
      <c r="L545" s="17" t="s">
        <v>1214</v>
      </c>
      <c r="M545" t="s">
        <v>2254</v>
      </c>
      <c r="N545" t="s">
        <v>1236</v>
      </c>
      <c r="O545">
        <v>6000</v>
      </c>
      <c r="P545">
        <v>1200</v>
      </c>
      <c r="Q545">
        <v>1200</v>
      </c>
      <c r="R545" t="s">
        <v>1930</v>
      </c>
    </row>
    <row r="546" spans="1:18" x14ac:dyDescent="0.25">
      <c r="A546">
        <v>1721</v>
      </c>
      <c r="B546" t="s">
        <v>320</v>
      </c>
      <c r="C546" t="s">
        <v>308</v>
      </c>
      <c r="D546" t="str">
        <f t="shared" si="24"/>
        <v>Carpenter Bodie</v>
      </c>
      <c r="E546" t="s">
        <v>1207</v>
      </c>
      <c r="F546" s="1">
        <v>45499</v>
      </c>
      <c r="G546" s="32" t="str">
        <f t="shared" si="25"/>
        <v>Jul</v>
      </c>
      <c r="H546">
        <v>3</v>
      </c>
      <c r="I546" t="str">
        <f t="shared" si="26"/>
        <v>Gold</v>
      </c>
      <c r="J546" t="s">
        <v>14</v>
      </c>
      <c r="K546" s="17">
        <v>36175</v>
      </c>
      <c r="L546" s="17" t="s">
        <v>1214</v>
      </c>
      <c r="M546" t="s">
        <v>2252</v>
      </c>
      <c r="N546" t="s">
        <v>1215</v>
      </c>
      <c r="O546">
        <v>6725</v>
      </c>
      <c r="P546">
        <v>250</v>
      </c>
      <c r="Q546">
        <v>750</v>
      </c>
      <c r="R546" t="s">
        <v>1738</v>
      </c>
    </row>
    <row r="547" spans="1:18" x14ac:dyDescent="0.25">
      <c r="A547">
        <v>1723</v>
      </c>
      <c r="B547" t="s">
        <v>747</v>
      </c>
      <c r="C547" t="s">
        <v>748</v>
      </c>
      <c r="D547" t="str">
        <f t="shared" si="24"/>
        <v>Duncan Maryam</v>
      </c>
      <c r="E547" t="s">
        <v>1248</v>
      </c>
      <c r="F547" s="1">
        <v>45499</v>
      </c>
      <c r="G547" s="32" t="str">
        <f t="shared" si="25"/>
        <v>Jul</v>
      </c>
      <c r="H547">
        <v>3</v>
      </c>
      <c r="I547" t="str">
        <f t="shared" si="26"/>
        <v>Gold</v>
      </c>
      <c r="J547" t="s">
        <v>14</v>
      </c>
      <c r="K547" s="17">
        <v>19848</v>
      </c>
      <c r="L547" s="17" t="s">
        <v>1214</v>
      </c>
      <c r="M547" t="s">
        <v>2253</v>
      </c>
      <c r="N547" t="s">
        <v>1236</v>
      </c>
      <c r="O547">
        <v>6000</v>
      </c>
      <c r="P547">
        <v>300</v>
      </c>
      <c r="Q547">
        <v>900</v>
      </c>
      <c r="R547" t="s">
        <v>1740</v>
      </c>
    </row>
    <row r="548" spans="1:18" x14ac:dyDescent="0.25">
      <c r="A548">
        <v>2220</v>
      </c>
      <c r="B548" t="s">
        <v>1191</v>
      </c>
      <c r="C548" t="s">
        <v>1192</v>
      </c>
      <c r="D548" t="str">
        <f t="shared" si="24"/>
        <v>Butler Natalie</v>
      </c>
      <c r="E548" t="s">
        <v>1248</v>
      </c>
      <c r="F548" s="1">
        <v>45499</v>
      </c>
      <c r="G548" s="32" t="str">
        <f t="shared" si="25"/>
        <v>Jul</v>
      </c>
      <c r="H548">
        <v>3</v>
      </c>
      <c r="I548" t="str">
        <f t="shared" si="26"/>
        <v>Gold</v>
      </c>
      <c r="J548" t="s">
        <v>1242</v>
      </c>
      <c r="K548" s="17">
        <v>53445</v>
      </c>
      <c r="L548" s="17" t="s">
        <v>1233</v>
      </c>
      <c r="M548" t="s">
        <v>2256</v>
      </c>
      <c r="N548" t="s">
        <v>1234</v>
      </c>
      <c r="O548">
        <v>800</v>
      </c>
      <c r="P548">
        <v>300</v>
      </c>
      <c r="Q548">
        <v>900</v>
      </c>
      <c r="R548" t="s">
        <v>2238</v>
      </c>
    </row>
    <row r="549" spans="1:18" x14ac:dyDescent="0.25">
      <c r="A549">
        <v>1375</v>
      </c>
      <c r="B549" t="s">
        <v>283</v>
      </c>
      <c r="C549" t="s">
        <v>39</v>
      </c>
      <c r="D549" t="str">
        <f t="shared" si="24"/>
        <v>Powell Brooke</v>
      </c>
      <c r="E549" t="s">
        <v>1248</v>
      </c>
      <c r="F549" s="1">
        <v>45500</v>
      </c>
      <c r="G549" s="32" t="str">
        <f t="shared" si="25"/>
        <v>Jul</v>
      </c>
      <c r="H549">
        <v>3</v>
      </c>
      <c r="I549" t="str">
        <f t="shared" si="26"/>
        <v>Gold</v>
      </c>
      <c r="J549" t="s">
        <v>14</v>
      </c>
      <c r="K549" s="17">
        <v>76884</v>
      </c>
      <c r="L549" s="17" t="s">
        <v>1233</v>
      </c>
      <c r="M549" t="s">
        <v>2254</v>
      </c>
      <c r="N549" t="s">
        <v>1239</v>
      </c>
      <c r="O549">
        <v>870</v>
      </c>
      <c r="P549">
        <v>300</v>
      </c>
      <c r="Q549">
        <v>900</v>
      </c>
      <c r="R549" t="s">
        <v>1391</v>
      </c>
    </row>
    <row r="550" spans="1:18" x14ac:dyDescent="0.25">
      <c r="A550">
        <v>1419</v>
      </c>
      <c r="B550" t="s">
        <v>351</v>
      </c>
      <c r="C550" t="s">
        <v>352</v>
      </c>
      <c r="D550" t="str">
        <f t="shared" si="24"/>
        <v>Lynch Xander</v>
      </c>
      <c r="E550" t="s">
        <v>1249</v>
      </c>
      <c r="F550" s="1">
        <v>45500</v>
      </c>
      <c r="G550" s="32" t="str">
        <f t="shared" si="25"/>
        <v>Jul</v>
      </c>
      <c r="H550">
        <v>1</v>
      </c>
      <c r="I550" t="str">
        <f t="shared" si="26"/>
        <v>Bronze</v>
      </c>
      <c r="J550" t="s">
        <v>1242</v>
      </c>
      <c r="K550" s="17">
        <v>93495</v>
      </c>
      <c r="L550" s="17" t="s">
        <v>1228</v>
      </c>
      <c r="M550" t="s">
        <v>2255</v>
      </c>
      <c r="N550" t="s">
        <v>1229</v>
      </c>
      <c r="O550">
        <v>7250</v>
      </c>
      <c r="P550">
        <v>1200</v>
      </c>
      <c r="Q550">
        <v>1200</v>
      </c>
      <c r="R550" t="s">
        <v>1435</v>
      </c>
    </row>
    <row r="551" spans="1:18" x14ac:dyDescent="0.25">
      <c r="A551">
        <v>1714</v>
      </c>
      <c r="B551" t="s">
        <v>740</v>
      </c>
      <c r="C551" t="s">
        <v>460</v>
      </c>
      <c r="D551" t="str">
        <f t="shared" si="24"/>
        <v>Ayers Amaya</v>
      </c>
      <c r="E551" t="s">
        <v>1207</v>
      </c>
      <c r="F551" s="1">
        <v>45500</v>
      </c>
      <c r="G551" s="32" t="str">
        <f t="shared" si="25"/>
        <v>Jul</v>
      </c>
      <c r="H551">
        <v>2</v>
      </c>
      <c r="I551" t="str">
        <f t="shared" si="26"/>
        <v>Silver</v>
      </c>
      <c r="J551" t="s">
        <v>1242</v>
      </c>
      <c r="K551" s="17">
        <v>18409</v>
      </c>
      <c r="L551" s="17" t="s">
        <v>1214</v>
      </c>
      <c r="M551" t="s">
        <v>2253</v>
      </c>
      <c r="N551" t="s">
        <v>1236</v>
      </c>
      <c r="O551">
        <v>6000</v>
      </c>
      <c r="P551">
        <v>250</v>
      </c>
      <c r="Q551">
        <v>500</v>
      </c>
      <c r="R551" t="s">
        <v>1731</v>
      </c>
    </row>
    <row r="552" spans="1:18" x14ac:dyDescent="0.25">
      <c r="A552">
        <v>2054</v>
      </c>
      <c r="B552" t="s">
        <v>1060</v>
      </c>
      <c r="C552" t="s">
        <v>778</v>
      </c>
      <c r="D552" t="str">
        <f t="shared" si="24"/>
        <v>Farrell Raelynn</v>
      </c>
      <c r="E552" t="s">
        <v>1207</v>
      </c>
      <c r="F552" s="1">
        <v>45500</v>
      </c>
      <c r="G552" s="32" t="str">
        <f t="shared" si="25"/>
        <v>Jul</v>
      </c>
      <c r="H552">
        <v>1</v>
      </c>
      <c r="I552" t="str">
        <f t="shared" si="26"/>
        <v>Bronze</v>
      </c>
      <c r="J552" t="s">
        <v>1242</v>
      </c>
      <c r="K552" s="17">
        <v>26830</v>
      </c>
      <c r="L552" s="17" t="s">
        <v>1228</v>
      </c>
      <c r="M552" t="s">
        <v>2255</v>
      </c>
      <c r="N552" t="s">
        <v>1240</v>
      </c>
      <c r="O552">
        <v>7310</v>
      </c>
      <c r="P552">
        <v>250</v>
      </c>
      <c r="Q552">
        <v>250</v>
      </c>
      <c r="R552" t="s">
        <v>2071</v>
      </c>
    </row>
    <row r="553" spans="1:18" x14ac:dyDescent="0.25">
      <c r="A553">
        <v>1607</v>
      </c>
      <c r="B553" t="s">
        <v>609</v>
      </c>
      <c r="C553" t="s">
        <v>473</v>
      </c>
      <c r="D553" t="str">
        <f t="shared" si="24"/>
        <v>Portillo Logan</v>
      </c>
      <c r="E553" t="s">
        <v>1208</v>
      </c>
      <c r="F553" s="1">
        <v>45501</v>
      </c>
      <c r="G553" s="32" t="str">
        <f t="shared" si="25"/>
        <v>Jul</v>
      </c>
      <c r="H553">
        <v>3</v>
      </c>
      <c r="I553" t="str">
        <f t="shared" si="26"/>
        <v>Gold</v>
      </c>
      <c r="J553" t="s">
        <v>14</v>
      </c>
      <c r="K553" s="17">
        <v>2471</v>
      </c>
      <c r="L553" s="17" t="s">
        <v>1222</v>
      </c>
      <c r="M553" t="s">
        <v>2256</v>
      </c>
      <c r="N553" t="s">
        <v>1231</v>
      </c>
      <c r="O553">
        <v>4870</v>
      </c>
      <c r="P553">
        <v>800</v>
      </c>
      <c r="Q553">
        <v>2400</v>
      </c>
      <c r="R553" t="s">
        <v>1623</v>
      </c>
    </row>
    <row r="554" spans="1:18" x14ac:dyDescent="0.25">
      <c r="A554">
        <v>1614</v>
      </c>
      <c r="B554" t="s">
        <v>616</v>
      </c>
      <c r="C554" t="s">
        <v>541</v>
      </c>
      <c r="D554" t="str">
        <f t="shared" si="24"/>
        <v>Ávila Karson</v>
      </c>
      <c r="E554" t="s">
        <v>1205</v>
      </c>
      <c r="F554" s="1">
        <v>45501</v>
      </c>
      <c r="G554" s="32" t="str">
        <f t="shared" si="25"/>
        <v>Jul</v>
      </c>
      <c r="H554">
        <v>2</v>
      </c>
      <c r="I554" t="str">
        <f t="shared" si="26"/>
        <v>Silver</v>
      </c>
      <c r="J554" t="s">
        <v>18</v>
      </c>
      <c r="K554" s="17">
        <v>14632</v>
      </c>
      <c r="L554" s="17" t="s">
        <v>1224</v>
      </c>
      <c r="M554" t="s">
        <v>2252</v>
      </c>
      <c r="N554" t="s">
        <v>1064</v>
      </c>
      <c r="O554">
        <v>5000</v>
      </c>
      <c r="P554">
        <v>250</v>
      </c>
      <c r="Q554">
        <v>500</v>
      </c>
      <c r="R554" t="s">
        <v>1630</v>
      </c>
    </row>
    <row r="555" spans="1:18" x14ac:dyDescent="0.25">
      <c r="A555">
        <v>2077</v>
      </c>
      <c r="B555" t="s">
        <v>1079</v>
      </c>
      <c r="C555" t="s">
        <v>1080</v>
      </c>
      <c r="D555" t="str">
        <f t="shared" si="24"/>
        <v>Sanford Caroline</v>
      </c>
      <c r="E555" t="s">
        <v>1248</v>
      </c>
      <c r="F555" s="1">
        <v>45501</v>
      </c>
      <c r="G555" s="32" t="str">
        <f t="shared" si="25"/>
        <v>Jul</v>
      </c>
      <c r="H555">
        <v>2</v>
      </c>
      <c r="I555" t="str">
        <f t="shared" si="26"/>
        <v>Silver</v>
      </c>
      <c r="J555" t="s">
        <v>14</v>
      </c>
      <c r="K555" s="17">
        <v>49736</v>
      </c>
      <c r="L555" s="17" t="s">
        <v>1218</v>
      </c>
      <c r="M555" t="s">
        <v>2254</v>
      </c>
      <c r="N555" t="s">
        <v>1235</v>
      </c>
      <c r="O555">
        <v>2500</v>
      </c>
      <c r="P555">
        <v>300</v>
      </c>
      <c r="Q555">
        <v>600</v>
      </c>
      <c r="R555" t="s">
        <v>2094</v>
      </c>
    </row>
    <row r="556" spans="1:18" x14ac:dyDescent="0.25">
      <c r="A556">
        <v>1891</v>
      </c>
      <c r="B556" t="s">
        <v>922</v>
      </c>
      <c r="C556" t="s">
        <v>698</v>
      </c>
      <c r="D556" t="str">
        <f t="shared" si="24"/>
        <v>Steele Briella</v>
      </c>
      <c r="E556" t="s">
        <v>1203</v>
      </c>
      <c r="F556" s="1">
        <v>45502</v>
      </c>
      <c r="G556" s="32" t="str">
        <f t="shared" si="25"/>
        <v>Jul</v>
      </c>
      <c r="H556">
        <v>2</v>
      </c>
      <c r="I556" t="str">
        <f t="shared" si="26"/>
        <v>Silver</v>
      </c>
      <c r="J556" t="s">
        <v>1242</v>
      </c>
      <c r="K556" s="17">
        <v>94366</v>
      </c>
      <c r="L556" s="17" t="s">
        <v>1228</v>
      </c>
      <c r="M556" t="s">
        <v>2252</v>
      </c>
      <c r="N556" t="s">
        <v>1240</v>
      </c>
      <c r="O556">
        <v>7310</v>
      </c>
      <c r="P556">
        <v>600</v>
      </c>
      <c r="Q556">
        <v>1200</v>
      </c>
      <c r="R556" t="s">
        <v>1908</v>
      </c>
    </row>
    <row r="557" spans="1:18" x14ac:dyDescent="0.25">
      <c r="A557">
        <v>2150</v>
      </c>
      <c r="B557" t="s">
        <v>1146</v>
      </c>
      <c r="C557" t="s">
        <v>409</v>
      </c>
      <c r="D557" t="str">
        <f t="shared" si="24"/>
        <v>West Kashton</v>
      </c>
      <c r="E557" t="s">
        <v>1208</v>
      </c>
      <c r="F557" s="1">
        <v>45502</v>
      </c>
      <c r="G557" s="32" t="str">
        <f t="shared" si="25"/>
        <v>Jul</v>
      </c>
      <c r="H557">
        <v>3</v>
      </c>
      <c r="I557" t="str">
        <f t="shared" si="26"/>
        <v>Gold</v>
      </c>
      <c r="J557" t="s">
        <v>14</v>
      </c>
      <c r="K557" s="17">
        <v>22837</v>
      </c>
      <c r="L557" s="17" t="s">
        <v>1233</v>
      </c>
      <c r="M557" t="s">
        <v>2254</v>
      </c>
      <c r="N557" t="s">
        <v>1239</v>
      </c>
      <c r="O557">
        <v>870</v>
      </c>
      <c r="P557">
        <v>800</v>
      </c>
      <c r="Q557">
        <v>2400</v>
      </c>
      <c r="R557" t="s">
        <v>2168</v>
      </c>
    </row>
    <row r="558" spans="1:18" x14ac:dyDescent="0.25">
      <c r="A558">
        <v>1636</v>
      </c>
      <c r="B558" t="s">
        <v>44</v>
      </c>
      <c r="C558" t="s">
        <v>641</v>
      </c>
      <c r="D558" t="str">
        <f t="shared" si="24"/>
        <v>Pierce Bianca</v>
      </c>
      <c r="E558" t="s">
        <v>1205</v>
      </c>
      <c r="F558" s="1">
        <v>45503</v>
      </c>
      <c r="G558" s="32" t="str">
        <f t="shared" si="25"/>
        <v>Jul</v>
      </c>
      <c r="H558">
        <v>2</v>
      </c>
      <c r="I558" t="str">
        <f t="shared" si="26"/>
        <v>Silver</v>
      </c>
      <c r="J558" t="s">
        <v>18</v>
      </c>
      <c r="K558" s="17">
        <v>40529</v>
      </c>
      <c r="L558" s="17" t="s">
        <v>1220</v>
      </c>
      <c r="M558" t="s">
        <v>2254</v>
      </c>
      <c r="N558" t="s">
        <v>1232</v>
      </c>
      <c r="O558">
        <v>3000</v>
      </c>
      <c r="P558">
        <v>250</v>
      </c>
      <c r="Q558">
        <v>500</v>
      </c>
      <c r="R558" t="s">
        <v>1653</v>
      </c>
    </row>
    <row r="559" spans="1:18" x14ac:dyDescent="0.25">
      <c r="A559">
        <v>1847</v>
      </c>
      <c r="B559" t="s">
        <v>875</v>
      </c>
      <c r="C559" t="s">
        <v>55</v>
      </c>
      <c r="D559" t="str">
        <f t="shared" si="24"/>
        <v>Schroeder Destiny</v>
      </c>
      <c r="E559" t="s">
        <v>1205</v>
      </c>
      <c r="F559" s="1">
        <v>45503</v>
      </c>
      <c r="G559" s="32" t="str">
        <f t="shared" si="25"/>
        <v>Jul</v>
      </c>
      <c r="H559">
        <v>1</v>
      </c>
      <c r="I559" t="str">
        <f t="shared" si="26"/>
        <v>Bronze</v>
      </c>
      <c r="J559" t="s">
        <v>14</v>
      </c>
      <c r="K559" s="17">
        <v>36180</v>
      </c>
      <c r="L559" s="17" t="s">
        <v>1228</v>
      </c>
      <c r="M559" t="s">
        <v>2254</v>
      </c>
      <c r="N559" t="s">
        <v>1230</v>
      </c>
      <c r="O559">
        <v>7000</v>
      </c>
      <c r="P559">
        <v>250</v>
      </c>
      <c r="Q559">
        <v>250</v>
      </c>
      <c r="R559" t="s">
        <v>1864</v>
      </c>
    </row>
    <row r="560" spans="1:18" x14ac:dyDescent="0.25">
      <c r="A560">
        <v>1886</v>
      </c>
      <c r="B560" t="s">
        <v>862</v>
      </c>
      <c r="C560" t="s">
        <v>915</v>
      </c>
      <c r="D560" t="str">
        <f t="shared" si="24"/>
        <v>Roth Ximena</v>
      </c>
      <c r="E560" t="s">
        <v>1208</v>
      </c>
      <c r="F560" s="1">
        <v>45503</v>
      </c>
      <c r="G560" s="32" t="str">
        <f t="shared" si="25"/>
        <v>Jul</v>
      </c>
      <c r="H560">
        <v>1</v>
      </c>
      <c r="I560" t="str">
        <f t="shared" si="26"/>
        <v>Bronze</v>
      </c>
      <c r="J560" t="s">
        <v>14</v>
      </c>
      <c r="K560" s="17">
        <v>15053</v>
      </c>
      <c r="L560" s="17" t="s">
        <v>1233</v>
      </c>
      <c r="M560" t="s">
        <v>2256</v>
      </c>
      <c r="N560" t="s">
        <v>1234</v>
      </c>
      <c r="O560">
        <v>800</v>
      </c>
      <c r="P560">
        <v>800</v>
      </c>
      <c r="Q560">
        <v>800</v>
      </c>
      <c r="R560" t="s">
        <v>1903</v>
      </c>
    </row>
    <row r="561" spans="1:18" x14ac:dyDescent="0.25">
      <c r="A561">
        <v>1906</v>
      </c>
      <c r="B561" t="s">
        <v>738</v>
      </c>
      <c r="C561" t="s">
        <v>90</v>
      </c>
      <c r="D561" t="str">
        <f t="shared" si="24"/>
        <v>Enriquez Shiloh</v>
      </c>
      <c r="E561" t="s">
        <v>1249</v>
      </c>
      <c r="F561" s="1">
        <v>45503</v>
      </c>
      <c r="G561" s="32" t="str">
        <f t="shared" si="25"/>
        <v>Jul</v>
      </c>
      <c r="H561">
        <v>1</v>
      </c>
      <c r="I561" t="str">
        <f t="shared" si="26"/>
        <v>Bronze</v>
      </c>
      <c r="J561" t="s">
        <v>1243</v>
      </c>
      <c r="K561" s="17">
        <v>20837</v>
      </c>
      <c r="L561" s="17" t="s">
        <v>1220</v>
      </c>
      <c r="M561" t="s">
        <v>2256</v>
      </c>
      <c r="N561" t="s">
        <v>1226</v>
      </c>
      <c r="O561">
        <v>3220</v>
      </c>
      <c r="P561">
        <v>1200</v>
      </c>
      <c r="Q561">
        <v>1200</v>
      </c>
      <c r="R561" t="s">
        <v>1923</v>
      </c>
    </row>
    <row r="562" spans="1:18" x14ac:dyDescent="0.25">
      <c r="A562">
        <v>2183</v>
      </c>
      <c r="B562" t="s">
        <v>1169</v>
      </c>
      <c r="C562" t="s">
        <v>1170</v>
      </c>
      <c r="D562" t="str">
        <f t="shared" si="24"/>
        <v>Moses Gabriella</v>
      </c>
      <c r="E562" t="s">
        <v>1205</v>
      </c>
      <c r="F562" s="1">
        <v>45503</v>
      </c>
      <c r="G562" s="32" t="str">
        <f t="shared" si="25"/>
        <v>Jul</v>
      </c>
      <c r="H562">
        <v>1</v>
      </c>
      <c r="I562" t="str">
        <f t="shared" si="26"/>
        <v>Bronze</v>
      </c>
      <c r="J562" t="s">
        <v>18</v>
      </c>
      <c r="K562" s="17">
        <v>97966</v>
      </c>
      <c r="L562" s="17" t="s">
        <v>1218</v>
      </c>
      <c r="M562" t="s">
        <v>2254</v>
      </c>
      <c r="N562" t="s">
        <v>1219</v>
      </c>
      <c r="O562">
        <v>2300</v>
      </c>
      <c r="P562">
        <v>250</v>
      </c>
      <c r="Q562">
        <v>250</v>
      </c>
      <c r="R562" t="s">
        <v>2201</v>
      </c>
    </row>
    <row r="563" spans="1:18" x14ac:dyDescent="0.25">
      <c r="A563">
        <v>1513</v>
      </c>
      <c r="B563" t="s">
        <v>492</v>
      </c>
      <c r="C563" t="s">
        <v>223</v>
      </c>
      <c r="D563" t="str">
        <f t="shared" si="24"/>
        <v>Peters Selah</v>
      </c>
      <c r="E563" t="s">
        <v>1248</v>
      </c>
      <c r="F563" s="1">
        <v>45504</v>
      </c>
      <c r="G563" s="32" t="str">
        <f t="shared" si="25"/>
        <v>Jul</v>
      </c>
      <c r="H563">
        <v>1</v>
      </c>
      <c r="I563" t="str">
        <f t="shared" si="26"/>
        <v>Bronze</v>
      </c>
      <c r="J563" t="s">
        <v>14</v>
      </c>
      <c r="K563" s="17">
        <v>19032</v>
      </c>
      <c r="L563" s="17" t="s">
        <v>1228</v>
      </c>
      <c r="M563" t="s">
        <v>2256</v>
      </c>
      <c r="N563" t="s">
        <v>1240</v>
      </c>
      <c r="O563">
        <v>7310</v>
      </c>
      <c r="P563">
        <v>300</v>
      </c>
      <c r="Q563">
        <v>300</v>
      </c>
      <c r="R563" t="s">
        <v>1529</v>
      </c>
    </row>
    <row r="564" spans="1:18" x14ac:dyDescent="0.25">
      <c r="A564">
        <v>1562</v>
      </c>
      <c r="B564" t="s">
        <v>555</v>
      </c>
      <c r="C564" t="s">
        <v>556</v>
      </c>
      <c r="D564" t="str">
        <f t="shared" si="24"/>
        <v>Hester Alora</v>
      </c>
      <c r="E564" t="s">
        <v>1207</v>
      </c>
      <c r="F564" s="1">
        <v>45504</v>
      </c>
      <c r="G564" s="32" t="str">
        <f t="shared" si="25"/>
        <v>Jul</v>
      </c>
      <c r="H564">
        <v>3</v>
      </c>
      <c r="I564" t="str">
        <f t="shared" si="26"/>
        <v>Gold</v>
      </c>
      <c r="J564" t="s">
        <v>1243</v>
      </c>
      <c r="K564" s="17">
        <v>28167</v>
      </c>
      <c r="L564" s="17" t="s">
        <v>1218</v>
      </c>
      <c r="M564" t="s">
        <v>2255</v>
      </c>
      <c r="N564" t="s">
        <v>1219</v>
      </c>
      <c r="O564">
        <v>2300</v>
      </c>
      <c r="P564">
        <v>250</v>
      </c>
      <c r="Q564">
        <v>750</v>
      </c>
      <c r="R564" t="s">
        <v>1578</v>
      </c>
    </row>
    <row r="565" spans="1:18" x14ac:dyDescent="0.25">
      <c r="A565">
        <v>1701</v>
      </c>
      <c r="B565" t="s">
        <v>726</v>
      </c>
      <c r="C565" t="s">
        <v>155</v>
      </c>
      <c r="D565" t="str">
        <f t="shared" si="24"/>
        <v>Brandt Legacy</v>
      </c>
      <c r="E565" t="s">
        <v>1207</v>
      </c>
      <c r="F565" s="1">
        <v>45504</v>
      </c>
      <c r="G565" s="32" t="str">
        <f t="shared" si="25"/>
        <v>Jul</v>
      </c>
      <c r="H565">
        <v>2</v>
      </c>
      <c r="I565" t="str">
        <f t="shared" si="26"/>
        <v>Silver</v>
      </c>
      <c r="J565" t="s">
        <v>1243</v>
      </c>
      <c r="K565" s="17">
        <v>68218</v>
      </c>
      <c r="L565" s="17" t="s">
        <v>1222</v>
      </c>
      <c r="M565" t="s">
        <v>2253</v>
      </c>
      <c r="N565" t="s">
        <v>1223</v>
      </c>
      <c r="O565">
        <v>4217</v>
      </c>
      <c r="P565">
        <v>250</v>
      </c>
      <c r="Q565">
        <v>500</v>
      </c>
      <c r="R565" t="s">
        <v>1718</v>
      </c>
    </row>
    <row r="566" spans="1:18" x14ac:dyDescent="0.25">
      <c r="A566">
        <v>1281</v>
      </c>
      <c r="B566" t="s">
        <v>118</v>
      </c>
      <c r="C566" t="s">
        <v>119</v>
      </c>
      <c r="D566" t="str">
        <f t="shared" si="24"/>
        <v>Blevins Madilyn</v>
      </c>
      <c r="E566" t="s">
        <v>1207</v>
      </c>
      <c r="F566" s="1">
        <v>45505</v>
      </c>
      <c r="G566" s="32" t="str">
        <f t="shared" si="25"/>
        <v>Aug</v>
      </c>
      <c r="H566">
        <v>2</v>
      </c>
      <c r="I566" t="str">
        <f t="shared" si="26"/>
        <v>Silver</v>
      </c>
      <c r="J566" t="s">
        <v>14</v>
      </c>
      <c r="K566" s="17">
        <v>67995</v>
      </c>
      <c r="L566" s="17" t="s">
        <v>1224</v>
      </c>
      <c r="M566" t="s">
        <v>2254</v>
      </c>
      <c r="N566" t="s">
        <v>1064</v>
      </c>
      <c r="O566">
        <v>5000</v>
      </c>
      <c r="P566">
        <v>250</v>
      </c>
      <c r="Q566">
        <v>500</v>
      </c>
      <c r="R566" t="s">
        <v>1297</v>
      </c>
    </row>
    <row r="567" spans="1:18" x14ac:dyDescent="0.25">
      <c r="A567">
        <v>1354</v>
      </c>
      <c r="B567" t="s">
        <v>246</v>
      </c>
      <c r="C567" t="s">
        <v>194</v>
      </c>
      <c r="D567" t="str">
        <f t="shared" si="24"/>
        <v>Randolph Joaquin</v>
      </c>
      <c r="E567" t="s">
        <v>1203</v>
      </c>
      <c r="F567" s="1">
        <v>45505</v>
      </c>
      <c r="G567" s="32" t="str">
        <f t="shared" si="25"/>
        <v>Aug</v>
      </c>
      <c r="H567">
        <v>2</v>
      </c>
      <c r="I567" t="str">
        <f t="shared" si="26"/>
        <v>Silver</v>
      </c>
      <c r="J567" t="s">
        <v>14</v>
      </c>
      <c r="K567" s="17">
        <v>40096</v>
      </c>
      <c r="L567" s="17" t="s">
        <v>1222</v>
      </c>
      <c r="M567" t="s">
        <v>2256</v>
      </c>
      <c r="N567" t="s">
        <v>1223</v>
      </c>
      <c r="O567">
        <v>4217</v>
      </c>
      <c r="P567">
        <v>600</v>
      </c>
      <c r="Q567">
        <v>1200</v>
      </c>
      <c r="R567" t="s">
        <v>1370</v>
      </c>
    </row>
    <row r="568" spans="1:18" x14ac:dyDescent="0.25">
      <c r="A568">
        <v>1529</v>
      </c>
      <c r="B568" t="s">
        <v>498</v>
      </c>
      <c r="C568" t="s">
        <v>176</v>
      </c>
      <c r="D568" t="str">
        <f t="shared" si="24"/>
        <v>Nolan Cooper</v>
      </c>
      <c r="E568" t="s">
        <v>1208</v>
      </c>
      <c r="F568" s="1">
        <v>45505</v>
      </c>
      <c r="G568" s="32" t="str">
        <f t="shared" si="25"/>
        <v>Aug</v>
      </c>
      <c r="H568">
        <v>2</v>
      </c>
      <c r="I568" t="str">
        <f t="shared" si="26"/>
        <v>Silver</v>
      </c>
      <c r="J568" t="s">
        <v>1242</v>
      </c>
      <c r="K568" s="17">
        <v>4083</v>
      </c>
      <c r="L568" s="17" t="s">
        <v>1233</v>
      </c>
      <c r="M568" t="s">
        <v>2255</v>
      </c>
      <c r="N568" t="s">
        <v>1234</v>
      </c>
      <c r="O568">
        <v>800</v>
      </c>
      <c r="P568">
        <v>800</v>
      </c>
      <c r="Q568">
        <v>1600</v>
      </c>
      <c r="R568" t="s">
        <v>1545</v>
      </c>
    </row>
    <row r="569" spans="1:18" x14ac:dyDescent="0.25">
      <c r="A569">
        <v>1540</v>
      </c>
      <c r="B569" t="s">
        <v>524</v>
      </c>
      <c r="C569" t="s">
        <v>525</v>
      </c>
      <c r="D569" t="str">
        <f t="shared" si="24"/>
        <v>Daniels Lilith</v>
      </c>
      <c r="E569" t="s">
        <v>1203</v>
      </c>
      <c r="F569" s="1">
        <v>45505</v>
      </c>
      <c r="G569" s="32" t="str">
        <f t="shared" si="25"/>
        <v>Aug</v>
      </c>
      <c r="H569">
        <v>3</v>
      </c>
      <c r="I569" t="str">
        <f t="shared" si="26"/>
        <v>Gold</v>
      </c>
      <c r="J569" t="s">
        <v>1242</v>
      </c>
      <c r="K569" s="17">
        <v>63374</v>
      </c>
      <c r="L569" s="17" t="s">
        <v>1224</v>
      </c>
      <c r="M569" t="s">
        <v>2252</v>
      </c>
      <c r="N569" t="s">
        <v>1064</v>
      </c>
      <c r="O569">
        <v>5000</v>
      </c>
      <c r="P569">
        <v>600</v>
      </c>
      <c r="Q569">
        <v>1800</v>
      </c>
      <c r="R569" t="s">
        <v>1556</v>
      </c>
    </row>
    <row r="570" spans="1:18" x14ac:dyDescent="0.25">
      <c r="A570">
        <v>1739</v>
      </c>
      <c r="B570" t="s">
        <v>766</v>
      </c>
      <c r="C570" t="s">
        <v>643</v>
      </c>
      <c r="D570" t="str">
        <f t="shared" si="24"/>
        <v>Beard Garrett</v>
      </c>
      <c r="E570" t="s">
        <v>1205</v>
      </c>
      <c r="F570" s="1">
        <v>45505</v>
      </c>
      <c r="G570" s="32" t="str">
        <f t="shared" si="25"/>
        <v>Aug</v>
      </c>
      <c r="H570">
        <v>3</v>
      </c>
      <c r="I570" t="str">
        <f t="shared" si="26"/>
        <v>Gold</v>
      </c>
      <c r="J570" t="s">
        <v>1242</v>
      </c>
      <c r="K570" s="17">
        <v>98012</v>
      </c>
      <c r="L570" s="17" t="s">
        <v>1214</v>
      </c>
      <c r="M570" t="s">
        <v>2254</v>
      </c>
      <c r="N570" t="s">
        <v>1236</v>
      </c>
      <c r="O570">
        <v>6000</v>
      </c>
      <c r="P570">
        <v>250</v>
      </c>
      <c r="Q570">
        <v>750</v>
      </c>
      <c r="R570" t="s">
        <v>1756</v>
      </c>
    </row>
    <row r="571" spans="1:18" x14ac:dyDescent="0.25">
      <c r="A571">
        <v>1966</v>
      </c>
      <c r="B571" t="s">
        <v>341</v>
      </c>
      <c r="C571" t="s">
        <v>288</v>
      </c>
      <c r="D571" t="str">
        <f t="shared" si="24"/>
        <v>Boone Rose</v>
      </c>
      <c r="E571" t="s">
        <v>1207</v>
      </c>
      <c r="F571" s="1">
        <v>45505</v>
      </c>
      <c r="G571" s="32" t="str">
        <f t="shared" si="25"/>
        <v>Aug</v>
      </c>
      <c r="H571">
        <v>2</v>
      </c>
      <c r="I571" t="str">
        <f t="shared" si="26"/>
        <v>Silver</v>
      </c>
      <c r="J571" t="s">
        <v>1242</v>
      </c>
      <c r="K571" s="17">
        <v>79497</v>
      </c>
      <c r="L571" s="17" t="s">
        <v>1216</v>
      </c>
      <c r="M571" t="s">
        <v>2253</v>
      </c>
      <c r="N571" t="s">
        <v>1217</v>
      </c>
      <c r="O571">
        <v>2600</v>
      </c>
      <c r="P571">
        <v>250</v>
      </c>
      <c r="Q571">
        <v>500</v>
      </c>
      <c r="R571" t="s">
        <v>1983</v>
      </c>
    </row>
    <row r="572" spans="1:18" x14ac:dyDescent="0.25">
      <c r="A572">
        <v>2187</v>
      </c>
      <c r="B572" t="s">
        <v>859</v>
      </c>
      <c r="C572" t="s">
        <v>643</v>
      </c>
      <c r="D572" t="str">
        <f t="shared" si="24"/>
        <v>Cordova Garrett</v>
      </c>
      <c r="E572" t="s">
        <v>1249</v>
      </c>
      <c r="F572" s="1">
        <v>45505</v>
      </c>
      <c r="G572" s="32" t="str">
        <f t="shared" si="25"/>
        <v>Aug</v>
      </c>
      <c r="H572">
        <v>1</v>
      </c>
      <c r="I572" t="str">
        <f t="shared" si="26"/>
        <v>Bronze</v>
      </c>
      <c r="J572" t="s">
        <v>14</v>
      </c>
      <c r="K572" s="17">
        <v>6792</v>
      </c>
      <c r="L572" s="17" t="s">
        <v>1228</v>
      </c>
      <c r="M572" t="s">
        <v>2252</v>
      </c>
      <c r="N572" t="s">
        <v>1240</v>
      </c>
      <c r="O572">
        <v>7310</v>
      </c>
      <c r="P572">
        <v>1200</v>
      </c>
      <c r="Q572">
        <v>1200</v>
      </c>
      <c r="R572" t="s">
        <v>2205</v>
      </c>
    </row>
    <row r="573" spans="1:18" x14ac:dyDescent="0.25">
      <c r="A573">
        <v>1593</v>
      </c>
      <c r="B573" t="s">
        <v>248</v>
      </c>
      <c r="C573" t="s">
        <v>593</v>
      </c>
      <c r="D573" t="str">
        <f t="shared" si="24"/>
        <v>Johnston Rebecca</v>
      </c>
      <c r="E573" t="s">
        <v>1249</v>
      </c>
      <c r="F573" s="1">
        <v>45506</v>
      </c>
      <c r="G573" s="32" t="str">
        <f t="shared" si="25"/>
        <v>Aug</v>
      </c>
      <c r="H573">
        <v>3</v>
      </c>
      <c r="I573" t="str">
        <f t="shared" si="26"/>
        <v>Gold</v>
      </c>
      <c r="J573" t="s">
        <v>14</v>
      </c>
      <c r="K573" s="17">
        <v>85432</v>
      </c>
      <c r="L573" s="17" t="s">
        <v>1233</v>
      </c>
      <c r="M573" t="s">
        <v>2256</v>
      </c>
      <c r="N573" t="s">
        <v>1234</v>
      </c>
      <c r="O573">
        <v>800</v>
      </c>
      <c r="P573">
        <v>1200</v>
      </c>
      <c r="Q573">
        <v>3600</v>
      </c>
      <c r="R573" t="s">
        <v>1609</v>
      </c>
    </row>
    <row r="574" spans="1:18" x14ac:dyDescent="0.25">
      <c r="A574">
        <v>1960</v>
      </c>
      <c r="B574" t="s">
        <v>984</v>
      </c>
      <c r="C574" t="s">
        <v>985</v>
      </c>
      <c r="D574" t="str">
        <f t="shared" si="24"/>
        <v>Jacobson Ariah</v>
      </c>
      <c r="E574" t="s">
        <v>1205</v>
      </c>
      <c r="F574" s="1">
        <v>45506</v>
      </c>
      <c r="G574" s="32" t="str">
        <f t="shared" si="25"/>
        <v>Aug</v>
      </c>
      <c r="H574">
        <v>1</v>
      </c>
      <c r="I574" t="str">
        <f t="shared" si="26"/>
        <v>Bronze</v>
      </c>
      <c r="J574" t="s">
        <v>1242</v>
      </c>
      <c r="K574" s="17">
        <v>4169</v>
      </c>
      <c r="L574" s="17" t="s">
        <v>1224</v>
      </c>
      <c r="M574" t="s">
        <v>2255</v>
      </c>
      <c r="N574" t="s">
        <v>1064</v>
      </c>
      <c r="O574">
        <v>5000</v>
      </c>
      <c r="P574">
        <v>250</v>
      </c>
      <c r="Q574">
        <v>250</v>
      </c>
      <c r="R574" t="s">
        <v>1977</v>
      </c>
    </row>
    <row r="575" spans="1:18" x14ac:dyDescent="0.25">
      <c r="A575">
        <v>2122</v>
      </c>
      <c r="B575" t="s">
        <v>1119</v>
      </c>
      <c r="C575" t="s">
        <v>1120</v>
      </c>
      <c r="D575" t="str">
        <f t="shared" si="24"/>
        <v>House Willow</v>
      </c>
      <c r="E575" t="s">
        <v>1248</v>
      </c>
      <c r="F575" s="1">
        <v>45506</v>
      </c>
      <c r="G575" s="32" t="str">
        <f t="shared" si="25"/>
        <v>Aug</v>
      </c>
      <c r="H575">
        <v>3</v>
      </c>
      <c r="I575" t="str">
        <f t="shared" si="26"/>
        <v>Gold</v>
      </c>
      <c r="J575" t="s">
        <v>14</v>
      </c>
      <c r="K575" s="17">
        <v>18201</v>
      </c>
      <c r="L575" s="17" t="s">
        <v>1220</v>
      </c>
      <c r="M575" t="s">
        <v>2255</v>
      </c>
      <c r="N575" t="s">
        <v>1232</v>
      </c>
      <c r="O575">
        <v>3000</v>
      </c>
      <c r="P575">
        <v>300</v>
      </c>
      <c r="Q575">
        <v>900</v>
      </c>
      <c r="R575" t="s">
        <v>2140</v>
      </c>
    </row>
    <row r="576" spans="1:18" x14ac:dyDescent="0.25">
      <c r="A576">
        <v>1590</v>
      </c>
      <c r="B576" t="s">
        <v>259</v>
      </c>
      <c r="C576" t="s">
        <v>590</v>
      </c>
      <c r="D576" t="str">
        <f t="shared" si="24"/>
        <v>Costa Brynlee</v>
      </c>
      <c r="E576" t="s">
        <v>1207</v>
      </c>
      <c r="F576" s="1">
        <v>45507</v>
      </c>
      <c r="G576" s="32" t="str">
        <f t="shared" si="25"/>
        <v>Aug</v>
      </c>
      <c r="H576">
        <v>1</v>
      </c>
      <c r="I576" t="str">
        <f t="shared" si="26"/>
        <v>Bronze</v>
      </c>
      <c r="J576" t="s">
        <v>1242</v>
      </c>
      <c r="K576" s="17">
        <v>36000</v>
      </c>
      <c r="L576" s="17" t="s">
        <v>1222</v>
      </c>
      <c r="M576" t="s">
        <v>2255</v>
      </c>
      <c r="N576" t="s">
        <v>1237</v>
      </c>
      <c r="O576">
        <v>4000</v>
      </c>
      <c r="P576">
        <v>250</v>
      </c>
      <c r="Q576">
        <v>250</v>
      </c>
      <c r="R576" t="s">
        <v>1606</v>
      </c>
    </row>
    <row r="577" spans="1:18" x14ac:dyDescent="0.25">
      <c r="A577">
        <v>1712</v>
      </c>
      <c r="B577" t="s">
        <v>449</v>
      </c>
      <c r="C577" t="s">
        <v>494</v>
      </c>
      <c r="D577" t="str">
        <f t="shared" si="24"/>
        <v>Frazier Genesis</v>
      </c>
      <c r="E577" t="s">
        <v>1207</v>
      </c>
      <c r="F577" s="1">
        <v>45507</v>
      </c>
      <c r="G577" s="32" t="str">
        <f t="shared" si="25"/>
        <v>Aug</v>
      </c>
      <c r="H577">
        <v>2</v>
      </c>
      <c r="I577" t="str">
        <f t="shared" si="26"/>
        <v>Silver</v>
      </c>
      <c r="J577" t="s">
        <v>14</v>
      </c>
      <c r="K577" s="17">
        <v>42214</v>
      </c>
      <c r="L577" s="17" t="s">
        <v>1216</v>
      </c>
      <c r="M577" t="s">
        <v>2256</v>
      </c>
      <c r="N577" t="s">
        <v>1217</v>
      </c>
      <c r="O577">
        <v>2600</v>
      </c>
      <c r="P577">
        <v>250</v>
      </c>
      <c r="Q577">
        <v>500</v>
      </c>
      <c r="R577" t="s">
        <v>1729</v>
      </c>
    </row>
    <row r="578" spans="1:18" x14ac:dyDescent="0.25">
      <c r="A578">
        <v>1907</v>
      </c>
      <c r="B578" t="s">
        <v>937</v>
      </c>
      <c r="C578" t="s">
        <v>938</v>
      </c>
      <c r="D578" t="str">
        <f t="shared" ref="D578:D641" si="27">CONCATENATE(B578, " ", C578)</f>
        <v>Walker Saige</v>
      </c>
      <c r="E578" t="s">
        <v>1203</v>
      </c>
      <c r="F578" s="1">
        <v>45507</v>
      </c>
      <c r="G578" s="32" t="str">
        <f t="shared" ref="G578:G641" si="28">TEXT(F578, "MMM")</f>
        <v>Aug</v>
      </c>
      <c r="H578">
        <v>1</v>
      </c>
      <c r="I578" t="str">
        <f t="shared" ref="I578:I641" si="29">IF(H578=1,"Bronze",IF(H578=2,"Silver",IF(H578=3,"Gold")))</f>
        <v>Bronze</v>
      </c>
      <c r="J578" t="s">
        <v>14</v>
      </c>
      <c r="K578" s="17">
        <v>39758</v>
      </c>
      <c r="L578" s="17" t="s">
        <v>1233</v>
      </c>
      <c r="M578" t="s">
        <v>2255</v>
      </c>
      <c r="N578" t="s">
        <v>1234</v>
      </c>
      <c r="O578">
        <v>800</v>
      </c>
      <c r="P578">
        <v>600</v>
      </c>
      <c r="Q578">
        <v>600</v>
      </c>
      <c r="R578" t="s">
        <v>1924</v>
      </c>
    </row>
    <row r="579" spans="1:18" x14ac:dyDescent="0.25">
      <c r="A579">
        <v>2108</v>
      </c>
      <c r="B579" t="s">
        <v>1105</v>
      </c>
      <c r="C579" t="s">
        <v>1106</v>
      </c>
      <c r="D579" t="str">
        <f t="shared" si="27"/>
        <v>Eaton Violet</v>
      </c>
      <c r="E579" t="s">
        <v>1207</v>
      </c>
      <c r="F579" s="1">
        <v>45508</v>
      </c>
      <c r="G579" s="32" t="str">
        <f t="shared" si="28"/>
        <v>Aug</v>
      </c>
      <c r="H579">
        <v>3</v>
      </c>
      <c r="I579" t="str">
        <f t="shared" si="29"/>
        <v>Gold</v>
      </c>
      <c r="J579" t="s">
        <v>1242</v>
      </c>
      <c r="K579" s="17">
        <v>41634</v>
      </c>
      <c r="L579" s="17" t="s">
        <v>1216</v>
      </c>
      <c r="M579" t="s">
        <v>2255</v>
      </c>
      <c r="N579" t="s">
        <v>1217</v>
      </c>
      <c r="O579">
        <v>2600</v>
      </c>
      <c r="P579">
        <v>250</v>
      </c>
      <c r="Q579">
        <v>750</v>
      </c>
      <c r="R579" t="s">
        <v>2126</v>
      </c>
    </row>
    <row r="580" spans="1:18" x14ac:dyDescent="0.25">
      <c r="A580">
        <v>1448</v>
      </c>
      <c r="B580" t="s">
        <v>398</v>
      </c>
      <c r="C580" t="s">
        <v>399</v>
      </c>
      <c r="D580" t="str">
        <f t="shared" si="27"/>
        <v>Cherry Diego</v>
      </c>
      <c r="E580" t="s">
        <v>1248</v>
      </c>
      <c r="F580" s="1">
        <v>45510</v>
      </c>
      <c r="G580" s="32" t="str">
        <f t="shared" si="28"/>
        <v>Aug</v>
      </c>
      <c r="H580">
        <v>2</v>
      </c>
      <c r="I580" t="str">
        <f t="shared" si="29"/>
        <v>Silver</v>
      </c>
      <c r="J580" t="s">
        <v>1242</v>
      </c>
      <c r="K580" s="17">
        <v>68827</v>
      </c>
      <c r="L580" s="17" t="s">
        <v>1220</v>
      </c>
      <c r="M580" t="s">
        <v>2252</v>
      </c>
      <c r="N580" t="s">
        <v>1221</v>
      </c>
      <c r="O580">
        <v>3350</v>
      </c>
      <c r="P580">
        <v>300</v>
      </c>
      <c r="Q580">
        <v>600</v>
      </c>
      <c r="R580" t="s">
        <v>1464</v>
      </c>
    </row>
    <row r="581" spans="1:18" x14ac:dyDescent="0.25">
      <c r="A581">
        <v>1503</v>
      </c>
      <c r="B581" t="s">
        <v>480</v>
      </c>
      <c r="C581" t="s">
        <v>481</v>
      </c>
      <c r="D581" t="str">
        <f t="shared" si="27"/>
        <v>Crosby Talia</v>
      </c>
      <c r="E581" t="s">
        <v>1248</v>
      </c>
      <c r="F581" s="1">
        <v>45510</v>
      </c>
      <c r="G581" s="32" t="str">
        <f t="shared" si="28"/>
        <v>Aug</v>
      </c>
      <c r="H581">
        <v>2</v>
      </c>
      <c r="I581" t="str">
        <f t="shared" si="29"/>
        <v>Silver</v>
      </c>
      <c r="J581" t="s">
        <v>1242</v>
      </c>
      <c r="K581" s="17">
        <v>60196</v>
      </c>
      <c r="L581" s="17" t="s">
        <v>1216</v>
      </c>
      <c r="M581" t="s">
        <v>2256</v>
      </c>
      <c r="N581" t="s">
        <v>1217</v>
      </c>
      <c r="O581">
        <v>2600</v>
      </c>
      <c r="P581">
        <v>300</v>
      </c>
      <c r="Q581">
        <v>600</v>
      </c>
      <c r="R581" t="s">
        <v>1519</v>
      </c>
    </row>
    <row r="582" spans="1:18" x14ac:dyDescent="0.25">
      <c r="A582">
        <v>1986</v>
      </c>
      <c r="B582" t="s">
        <v>1004</v>
      </c>
      <c r="C582" t="s">
        <v>1005</v>
      </c>
      <c r="D582" t="str">
        <f t="shared" si="27"/>
        <v>Avalos Alan</v>
      </c>
      <c r="E582" t="s">
        <v>1208</v>
      </c>
      <c r="F582" s="1">
        <v>45510</v>
      </c>
      <c r="G582" s="32" t="str">
        <f t="shared" si="28"/>
        <v>Aug</v>
      </c>
      <c r="H582">
        <v>2</v>
      </c>
      <c r="I582" t="str">
        <f t="shared" si="29"/>
        <v>Silver</v>
      </c>
      <c r="J582" t="s">
        <v>1242</v>
      </c>
      <c r="K582" s="17">
        <v>55153</v>
      </c>
      <c r="L582" s="17" t="s">
        <v>1218</v>
      </c>
      <c r="M582" t="s">
        <v>2254</v>
      </c>
      <c r="N582" t="s">
        <v>1219</v>
      </c>
      <c r="O582">
        <v>2300</v>
      </c>
      <c r="P582">
        <v>800</v>
      </c>
      <c r="Q582">
        <v>1600</v>
      </c>
      <c r="R582" t="s">
        <v>2003</v>
      </c>
    </row>
    <row r="583" spans="1:18" x14ac:dyDescent="0.25">
      <c r="A583">
        <v>1643</v>
      </c>
      <c r="B583" t="s">
        <v>636</v>
      </c>
      <c r="C583" t="s">
        <v>652</v>
      </c>
      <c r="D583" t="str">
        <f t="shared" si="27"/>
        <v>Combs Alonzo</v>
      </c>
      <c r="E583" t="s">
        <v>1205</v>
      </c>
      <c r="F583" s="1">
        <v>45511</v>
      </c>
      <c r="G583" s="32" t="str">
        <f t="shared" si="28"/>
        <v>Aug</v>
      </c>
      <c r="H583">
        <v>1</v>
      </c>
      <c r="I583" t="str">
        <f t="shared" si="29"/>
        <v>Bronze</v>
      </c>
      <c r="J583" t="s">
        <v>1243</v>
      </c>
      <c r="K583" s="17">
        <v>80513</v>
      </c>
      <c r="L583" s="17" t="s">
        <v>1220</v>
      </c>
      <c r="M583" t="s">
        <v>2256</v>
      </c>
      <c r="N583" t="s">
        <v>1226</v>
      </c>
      <c r="O583">
        <v>3220</v>
      </c>
      <c r="P583">
        <v>250</v>
      </c>
      <c r="Q583">
        <v>250</v>
      </c>
      <c r="R583" t="s">
        <v>1660</v>
      </c>
    </row>
    <row r="584" spans="1:18" x14ac:dyDescent="0.25">
      <c r="A584">
        <v>1999</v>
      </c>
      <c r="B584" t="s">
        <v>689</v>
      </c>
      <c r="C584" t="s">
        <v>1011</v>
      </c>
      <c r="D584" t="str">
        <f t="shared" si="27"/>
        <v>Dawson Alyssa</v>
      </c>
      <c r="E584" t="s">
        <v>1207</v>
      </c>
      <c r="F584" s="1">
        <v>45511</v>
      </c>
      <c r="G584" s="32" t="str">
        <f t="shared" si="28"/>
        <v>Aug</v>
      </c>
      <c r="H584">
        <v>3</v>
      </c>
      <c r="I584" t="str">
        <f t="shared" si="29"/>
        <v>Gold</v>
      </c>
      <c r="J584" t="s">
        <v>14</v>
      </c>
      <c r="K584" s="17">
        <v>10329</v>
      </c>
      <c r="L584" s="17" t="s">
        <v>1214</v>
      </c>
      <c r="M584" t="s">
        <v>2256</v>
      </c>
      <c r="N584" t="s">
        <v>1227</v>
      </c>
      <c r="O584">
        <v>6160</v>
      </c>
      <c r="P584">
        <v>250</v>
      </c>
      <c r="Q584">
        <v>750</v>
      </c>
      <c r="R584" t="s">
        <v>2016</v>
      </c>
    </row>
    <row r="585" spans="1:18" x14ac:dyDescent="0.25">
      <c r="A585">
        <v>2020</v>
      </c>
      <c r="B585" t="s">
        <v>536</v>
      </c>
      <c r="C585" t="s">
        <v>812</v>
      </c>
      <c r="D585" t="str">
        <f t="shared" si="27"/>
        <v>Case Atticus</v>
      </c>
      <c r="E585" t="s">
        <v>1205</v>
      </c>
      <c r="F585" s="1">
        <v>45511</v>
      </c>
      <c r="G585" s="32" t="str">
        <f t="shared" si="28"/>
        <v>Aug</v>
      </c>
      <c r="H585">
        <v>1</v>
      </c>
      <c r="I585" t="str">
        <f t="shared" si="29"/>
        <v>Bronze</v>
      </c>
      <c r="J585" t="s">
        <v>1242</v>
      </c>
      <c r="K585" s="17">
        <v>27719</v>
      </c>
      <c r="L585" s="17" t="s">
        <v>1224</v>
      </c>
      <c r="M585" t="s">
        <v>2255</v>
      </c>
      <c r="N585" t="s">
        <v>1225</v>
      </c>
      <c r="O585">
        <v>5290</v>
      </c>
      <c r="P585">
        <v>250</v>
      </c>
      <c r="Q585">
        <v>250</v>
      </c>
      <c r="R585" t="s">
        <v>2037</v>
      </c>
    </row>
    <row r="586" spans="1:18" x14ac:dyDescent="0.25">
      <c r="A586">
        <v>2038</v>
      </c>
      <c r="B586" t="s">
        <v>657</v>
      </c>
      <c r="C586" t="s">
        <v>870</v>
      </c>
      <c r="D586" t="str">
        <f t="shared" si="27"/>
        <v>Daugherty Maria</v>
      </c>
      <c r="E586" t="s">
        <v>1248</v>
      </c>
      <c r="F586" s="1">
        <v>45511</v>
      </c>
      <c r="G586" s="32" t="str">
        <f t="shared" si="28"/>
        <v>Aug</v>
      </c>
      <c r="H586">
        <v>3</v>
      </c>
      <c r="I586" t="str">
        <f t="shared" si="29"/>
        <v>Gold</v>
      </c>
      <c r="J586" t="s">
        <v>14</v>
      </c>
      <c r="K586" s="17">
        <v>77835</v>
      </c>
      <c r="L586" s="17" t="s">
        <v>1233</v>
      </c>
      <c r="M586" t="s">
        <v>2254</v>
      </c>
      <c r="N586" t="s">
        <v>1239</v>
      </c>
      <c r="O586">
        <v>870</v>
      </c>
      <c r="P586">
        <v>300</v>
      </c>
      <c r="Q586">
        <v>900</v>
      </c>
      <c r="R586" t="s">
        <v>2055</v>
      </c>
    </row>
    <row r="587" spans="1:18" x14ac:dyDescent="0.25">
      <c r="A587">
        <v>2099</v>
      </c>
      <c r="B587" t="s">
        <v>642</v>
      </c>
      <c r="C587" t="s">
        <v>1098</v>
      </c>
      <c r="D587" t="str">
        <f t="shared" si="27"/>
        <v>Cisneros Sabrina</v>
      </c>
      <c r="E587" t="s">
        <v>1208</v>
      </c>
      <c r="F587" s="1">
        <v>45511</v>
      </c>
      <c r="G587" s="32" t="str">
        <f t="shared" si="28"/>
        <v>Aug</v>
      </c>
      <c r="H587">
        <v>2</v>
      </c>
      <c r="I587" t="str">
        <f t="shared" si="29"/>
        <v>Silver</v>
      </c>
      <c r="J587" t="s">
        <v>18</v>
      </c>
      <c r="K587" s="17">
        <v>73258</v>
      </c>
      <c r="L587" s="17" t="s">
        <v>1222</v>
      </c>
      <c r="M587" t="s">
        <v>2252</v>
      </c>
      <c r="N587" t="s">
        <v>1231</v>
      </c>
      <c r="O587">
        <v>4870</v>
      </c>
      <c r="P587">
        <v>800</v>
      </c>
      <c r="Q587">
        <v>1600</v>
      </c>
      <c r="R587" t="s">
        <v>2117</v>
      </c>
    </row>
    <row r="588" spans="1:18" x14ac:dyDescent="0.25">
      <c r="A588">
        <v>2046</v>
      </c>
      <c r="B588" t="s">
        <v>789</v>
      </c>
      <c r="C588" t="s">
        <v>1051</v>
      </c>
      <c r="D588" t="str">
        <f t="shared" si="27"/>
        <v>Medina Reese</v>
      </c>
      <c r="E588" t="s">
        <v>1203</v>
      </c>
      <c r="F588" s="1">
        <v>45512</v>
      </c>
      <c r="G588" s="32" t="str">
        <f t="shared" si="28"/>
        <v>Aug</v>
      </c>
      <c r="H588">
        <v>1</v>
      </c>
      <c r="I588" t="str">
        <f t="shared" si="29"/>
        <v>Bronze</v>
      </c>
      <c r="J588" t="s">
        <v>18</v>
      </c>
      <c r="K588" s="17">
        <v>45307</v>
      </c>
      <c r="L588" s="17" t="s">
        <v>1220</v>
      </c>
      <c r="M588" t="s">
        <v>2254</v>
      </c>
      <c r="N588" t="s">
        <v>1232</v>
      </c>
      <c r="O588">
        <v>3000</v>
      </c>
      <c r="P588">
        <v>600</v>
      </c>
      <c r="Q588">
        <v>600</v>
      </c>
      <c r="R588" t="s">
        <v>2063</v>
      </c>
    </row>
    <row r="589" spans="1:18" x14ac:dyDescent="0.25">
      <c r="A589">
        <v>1943</v>
      </c>
      <c r="B589" t="s">
        <v>974</v>
      </c>
      <c r="C589" t="s">
        <v>47</v>
      </c>
      <c r="D589" t="str">
        <f t="shared" si="27"/>
        <v>Herman Walter</v>
      </c>
      <c r="E589" t="s">
        <v>1203</v>
      </c>
      <c r="F589" s="1">
        <v>45513</v>
      </c>
      <c r="G589" s="32" t="str">
        <f t="shared" si="28"/>
        <v>Aug</v>
      </c>
      <c r="H589">
        <v>3</v>
      </c>
      <c r="I589" t="str">
        <f t="shared" si="29"/>
        <v>Gold</v>
      </c>
      <c r="J589" t="s">
        <v>1242</v>
      </c>
      <c r="K589" s="17">
        <v>53570</v>
      </c>
      <c r="L589" s="17" t="s">
        <v>1218</v>
      </c>
      <c r="M589" t="s">
        <v>2256</v>
      </c>
      <c r="N589" t="s">
        <v>836</v>
      </c>
      <c r="O589">
        <v>2000</v>
      </c>
      <c r="P589">
        <v>600</v>
      </c>
      <c r="Q589">
        <v>1800</v>
      </c>
      <c r="R589" t="s">
        <v>1960</v>
      </c>
    </row>
    <row r="590" spans="1:18" x14ac:dyDescent="0.25">
      <c r="A590">
        <v>1314</v>
      </c>
      <c r="B590" t="s">
        <v>177</v>
      </c>
      <c r="C590" t="s">
        <v>178</v>
      </c>
      <c r="D590" t="str">
        <f t="shared" si="27"/>
        <v>Mason Jude</v>
      </c>
      <c r="E590" t="s">
        <v>1207</v>
      </c>
      <c r="F590" s="1">
        <v>45514</v>
      </c>
      <c r="G590" s="32" t="str">
        <f t="shared" si="28"/>
        <v>Aug</v>
      </c>
      <c r="H590">
        <v>3</v>
      </c>
      <c r="I590" t="str">
        <f t="shared" si="29"/>
        <v>Gold</v>
      </c>
      <c r="J590" t="s">
        <v>1242</v>
      </c>
      <c r="K590" s="17">
        <v>70539</v>
      </c>
      <c r="L590" s="17" t="s">
        <v>1220</v>
      </c>
      <c r="M590" t="s">
        <v>2253</v>
      </c>
      <c r="N590" t="s">
        <v>1232</v>
      </c>
      <c r="O590">
        <v>3000</v>
      </c>
      <c r="P590">
        <v>250</v>
      </c>
      <c r="Q590">
        <v>750</v>
      </c>
      <c r="R590" t="s">
        <v>1330</v>
      </c>
    </row>
    <row r="591" spans="1:18" x14ac:dyDescent="0.25">
      <c r="A591">
        <v>1623</v>
      </c>
      <c r="B591" t="s">
        <v>295</v>
      </c>
      <c r="C591" t="s">
        <v>141</v>
      </c>
      <c r="D591" t="str">
        <f t="shared" si="27"/>
        <v>Blackwell Adalynn</v>
      </c>
      <c r="E591" t="s">
        <v>1207</v>
      </c>
      <c r="F591" s="1">
        <v>45514</v>
      </c>
      <c r="G591" s="32" t="str">
        <f t="shared" si="28"/>
        <v>Aug</v>
      </c>
      <c r="H591">
        <v>3</v>
      </c>
      <c r="I591" t="str">
        <f t="shared" si="29"/>
        <v>Gold</v>
      </c>
      <c r="J591" t="s">
        <v>14</v>
      </c>
      <c r="K591" s="17">
        <v>30012</v>
      </c>
      <c r="L591" s="17" t="s">
        <v>1228</v>
      </c>
      <c r="M591" t="s">
        <v>2256</v>
      </c>
      <c r="N591" t="s">
        <v>1230</v>
      </c>
      <c r="O591">
        <v>7000</v>
      </c>
      <c r="P591">
        <v>250</v>
      </c>
      <c r="Q591">
        <v>750</v>
      </c>
      <c r="R591" t="s">
        <v>1640</v>
      </c>
    </row>
    <row r="592" spans="1:18" x14ac:dyDescent="0.25">
      <c r="A592">
        <v>1965</v>
      </c>
      <c r="B592" t="s">
        <v>78</v>
      </c>
      <c r="C592" t="s">
        <v>150</v>
      </c>
      <c r="D592" t="str">
        <f t="shared" si="27"/>
        <v>Thompson Kayden</v>
      </c>
      <c r="E592" t="s">
        <v>1249</v>
      </c>
      <c r="F592" s="1">
        <v>45514</v>
      </c>
      <c r="G592" s="32" t="str">
        <f t="shared" si="28"/>
        <v>Aug</v>
      </c>
      <c r="H592">
        <v>2</v>
      </c>
      <c r="I592" t="str">
        <f t="shared" si="29"/>
        <v>Silver</v>
      </c>
      <c r="J592" t="s">
        <v>14</v>
      </c>
      <c r="K592" s="17">
        <v>17340</v>
      </c>
      <c r="L592" s="17" t="s">
        <v>1218</v>
      </c>
      <c r="M592" t="s">
        <v>2255</v>
      </c>
      <c r="N592" t="s">
        <v>836</v>
      </c>
      <c r="O592">
        <v>2000</v>
      </c>
      <c r="P592">
        <v>1200</v>
      </c>
      <c r="Q592">
        <v>2400</v>
      </c>
      <c r="R592" t="s">
        <v>1982</v>
      </c>
    </row>
    <row r="593" spans="1:18" x14ac:dyDescent="0.25">
      <c r="A593">
        <v>1611</v>
      </c>
      <c r="B593" t="s">
        <v>192</v>
      </c>
      <c r="C593" t="s">
        <v>613</v>
      </c>
      <c r="D593" t="str">
        <f t="shared" si="27"/>
        <v>Weber Laura</v>
      </c>
      <c r="E593" t="s">
        <v>1249</v>
      </c>
      <c r="F593" s="1">
        <v>45515</v>
      </c>
      <c r="G593" s="32" t="str">
        <f t="shared" si="28"/>
        <v>Aug</v>
      </c>
      <c r="H593">
        <v>3</v>
      </c>
      <c r="I593" t="str">
        <f t="shared" si="29"/>
        <v>Gold</v>
      </c>
      <c r="J593" t="s">
        <v>18</v>
      </c>
      <c r="K593" s="17">
        <v>29797</v>
      </c>
      <c r="L593" s="17" t="s">
        <v>1216</v>
      </c>
      <c r="M593" t="s">
        <v>2256</v>
      </c>
      <c r="N593" t="s">
        <v>1217</v>
      </c>
      <c r="O593">
        <v>2600</v>
      </c>
      <c r="P593">
        <v>1200</v>
      </c>
      <c r="Q593">
        <v>3600</v>
      </c>
      <c r="R593" t="s">
        <v>1627</v>
      </c>
    </row>
    <row r="594" spans="1:18" x14ac:dyDescent="0.25">
      <c r="A594">
        <v>1702</v>
      </c>
      <c r="B594" t="s">
        <v>727</v>
      </c>
      <c r="C594" t="s">
        <v>728</v>
      </c>
      <c r="D594" t="str">
        <f t="shared" si="27"/>
        <v>Durham William</v>
      </c>
      <c r="E594" t="s">
        <v>1208</v>
      </c>
      <c r="F594" s="1">
        <v>45515</v>
      </c>
      <c r="G594" s="32" t="str">
        <f t="shared" si="28"/>
        <v>Aug</v>
      </c>
      <c r="H594">
        <v>3</v>
      </c>
      <c r="I594" t="str">
        <f t="shared" si="29"/>
        <v>Gold</v>
      </c>
      <c r="J594" t="s">
        <v>14</v>
      </c>
      <c r="K594" s="17">
        <v>27137</v>
      </c>
      <c r="L594" s="17" t="s">
        <v>1216</v>
      </c>
      <c r="M594" t="s">
        <v>2255</v>
      </c>
      <c r="N594" t="s">
        <v>1217</v>
      </c>
      <c r="O594">
        <v>2600</v>
      </c>
      <c r="P594">
        <v>800</v>
      </c>
      <c r="Q594">
        <v>2400</v>
      </c>
      <c r="R594" t="s">
        <v>1719</v>
      </c>
    </row>
    <row r="595" spans="1:18" x14ac:dyDescent="0.25">
      <c r="A595">
        <v>1939</v>
      </c>
      <c r="B595" t="s">
        <v>971</v>
      </c>
      <c r="C595" t="s">
        <v>356</v>
      </c>
      <c r="D595" t="str">
        <f t="shared" si="27"/>
        <v>Brooks Zara</v>
      </c>
      <c r="E595" t="s">
        <v>1205</v>
      </c>
      <c r="F595" s="1">
        <v>45515</v>
      </c>
      <c r="G595" s="32" t="str">
        <f t="shared" si="28"/>
        <v>Aug</v>
      </c>
      <c r="H595">
        <v>2</v>
      </c>
      <c r="I595" t="str">
        <f t="shared" si="29"/>
        <v>Silver</v>
      </c>
      <c r="J595" t="s">
        <v>14</v>
      </c>
      <c r="K595" s="17">
        <v>13000</v>
      </c>
      <c r="L595" s="17" t="s">
        <v>1218</v>
      </c>
      <c r="M595" t="s">
        <v>2252</v>
      </c>
      <c r="N595" t="s">
        <v>1235</v>
      </c>
      <c r="O595">
        <v>2500</v>
      </c>
      <c r="P595">
        <v>250</v>
      </c>
      <c r="Q595">
        <v>500</v>
      </c>
      <c r="R595" t="s">
        <v>1956</v>
      </c>
    </row>
    <row r="596" spans="1:18" x14ac:dyDescent="0.25">
      <c r="A596">
        <v>1259</v>
      </c>
      <c r="B596" t="s">
        <v>76</v>
      </c>
      <c r="C596" t="s">
        <v>77</v>
      </c>
      <c r="D596" t="str">
        <f t="shared" si="27"/>
        <v>Cook Collin</v>
      </c>
      <c r="E596" t="s">
        <v>1207</v>
      </c>
      <c r="F596" s="1">
        <v>45516</v>
      </c>
      <c r="G596" s="32" t="str">
        <f t="shared" si="28"/>
        <v>Aug</v>
      </c>
      <c r="H596">
        <v>2</v>
      </c>
      <c r="I596" t="str">
        <f t="shared" si="29"/>
        <v>Silver</v>
      </c>
      <c r="J596" t="s">
        <v>18</v>
      </c>
      <c r="K596" s="17">
        <v>15349</v>
      </c>
      <c r="L596" s="17" t="s">
        <v>1214</v>
      </c>
      <c r="M596" t="s">
        <v>2252</v>
      </c>
      <c r="N596" t="s">
        <v>1236</v>
      </c>
      <c r="O596">
        <v>6000</v>
      </c>
      <c r="P596">
        <v>250</v>
      </c>
      <c r="Q596">
        <v>500</v>
      </c>
      <c r="R596" t="s">
        <v>1275</v>
      </c>
    </row>
    <row r="597" spans="1:18" x14ac:dyDescent="0.25">
      <c r="A597">
        <v>1822</v>
      </c>
      <c r="B597" t="s">
        <v>361</v>
      </c>
      <c r="C597" t="s">
        <v>634</v>
      </c>
      <c r="D597" t="str">
        <f t="shared" si="27"/>
        <v>Owens Josephine</v>
      </c>
      <c r="E597" t="s">
        <v>1249</v>
      </c>
      <c r="F597" s="1">
        <v>45516</v>
      </c>
      <c r="G597" s="32" t="str">
        <f t="shared" si="28"/>
        <v>Aug</v>
      </c>
      <c r="H597">
        <v>2</v>
      </c>
      <c r="I597" t="str">
        <f t="shared" si="29"/>
        <v>Silver</v>
      </c>
      <c r="J597" t="s">
        <v>14</v>
      </c>
      <c r="K597" s="17">
        <v>74168</v>
      </c>
      <c r="L597" s="17" t="s">
        <v>1216</v>
      </c>
      <c r="M597" t="s">
        <v>2254</v>
      </c>
      <c r="N597" t="s">
        <v>1217</v>
      </c>
      <c r="O597">
        <v>2600</v>
      </c>
      <c r="P597">
        <v>1200</v>
      </c>
      <c r="Q597">
        <v>2400</v>
      </c>
      <c r="R597" t="s">
        <v>1839</v>
      </c>
    </row>
    <row r="598" spans="1:18" x14ac:dyDescent="0.25">
      <c r="A598">
        <v>1932</v>
      </c>
      <c r="B598" t="s">
        <v>87</v>
      </c>
      <c r="C598" t="s">
        <v>964</v>
      </c>
      <c r="D598" t="str">
        <f t="shared" si="27"/>
        <v>Anderson Kade</v>
      </c>
      <c r="E598" t="s">
        <v>1203</v>
      </c>
      <c r="F598" s="1">
        <v>45516</v>
      </c>
      <c r="G598" s="32" t="str">
        <f t="shared" si="28"/>
        <v>Aug</v>
      </c>
      <c r="H598">
        <v>2</v>
      </c>
      <c r="I598" t="str">
        <f t="shared" si="29"/>
        <v>Silver</v>
      </c>
      <c r="J598" t="s">
        <v>1242</v>
      </c>
      <c r="K598" s="17">
        <v>64581</v>
      </c>
      <c r="L598" s="17" t="s">
        <v>1214</v>
      </c>
      <c r="M598" t="s">
        <v>2254</v>
      </c>
      <c r="N598" t="s">
        <v>1227</v>
      </c>
      <c r="O598">
        <v>6160</v>
      </c>
      <c r="P598">
        <v>600</v>
      </c>
      <c r="Q598">
        <v>1200</v>
      </c>
      <c r="R598" t="s">
        <v>1949</v>
      </c>
    </row>
    <row r="599" spans="1:18" x14ac:dyDescent="0.25">
      <c r="A599">
        <v>1249</v>
      </c>
      <c r="B599" t="s">
        <v>56</v>
      </c>
      <c r="C599" t="s">
        <v>57</v>
      </c>
      <c r="D599" t="str">
        <f t="shared" si="27"/>
        <v>Fuentes Rylee</v>
      </c>
      <c r="E599" t="s">
        <v>1207</v>
      </c>
      <c r="F599" s="1">
        <v>45517</v>
      </c>
      <c r="G599" s="32" t="str">
        <f t="shared" si="28"/>
        <v>Aug</v>
      </c>
      <c r="H599">
        <v>3</v>
      </c>
      <c r="I599" t="str">
        <f t="shared" si="29"/>
        <v>Gold</v>
      </c>
      <c r="J599" t="s">
        <v>14</v>
      </c>
      <c r="K599" s="17">
        <v>65429</v>
      </c>
      <c r="L599" s="17" t="s">
        <v>1233</v>
      </c>
      <c r="M599" t="s">
        <v>2254</v>
      </c>
      <c r="N599" t="s">
        <v>1234</v>
      </c>
      <c r="O599">
        <v>800</v>
      </c>
      <c r="P599">
        <v>250</v>
      </c>
      <c r="Q599">
        <v>750</v>
      </c>
      <c r="R599" t="s">
        <v>1265</v>
      </c>
    </row>
    <row r="600" spans="1:18" x14ac:dyDescent="0.25">
      <c r="A600">
        <v>1624</v>
      </c>
      <c r="B600" t="s">
        <v>627</v>
      </c>
      <c r="C600" t="s">
        <v>628</v>
      </c>
      <c r="D600" t="str">
        <f t="shared" si="27"/>
        <v>Burgess Alexandria</v>
      </c>
      <c r="E600" t="s">
        <v>1203</v>
      </c>
      <c r="F600" s="1">
        <v>45517</v>
      </c>
      <c r="G600" s="32" t="str">
        <f t="shared" si="28"/>
        <v>Aug</v>
      </c>
      <c r="H600">
        <v>1</v>
      </c>
      <c r="I600" t="str">
        <f t="shared" si="29"/>
        <v>Bronze</v>
      </c>
      <c r="J600" t="s">
        <v>1242</v>
      </c>
      <c r="K600" s="17">
        <v>36909</v>
      </c>
      <c r="L600" s="17" t="s">
        <v>1218</v>
      </c>
      <c r="M600" t="s">
        <v>2256</v>
      </c>
      <c r="N600" t="s">
        <v>1235</v>
      </c>
      <c r="O600">
        <v>2500</v>
      </c>
      <c r="P600">
        <v>600</v>
      </c>
      <c r="Q600">
        <v>600</v>
      </c>
      <c r="R600" t="s">
        <v>1641</v>
      </c>
    </row>
    <row r="601" spans="1:18" x14ac:dyDescent="0.25">
      <c r="A601">
        <v>2146</v>
      </c>
      <c r="B601" t="s">
        <v>1142</v>
      </c>
      <c r="C601" t="s">
        <v>1143</v>
      </c>
      <c r="D601" t="str">
        <f t="shared" si="27"/>
        <v>Jefferson Delaney</v>
      </c>
      <c r="E601" t="s">
        <v>1208</v>
      </c>
      <c r="F601" s="1">
        <v>45517</v>
      </c>
      <c r="G601" s="32" t="str">
        <f t="shared" si="28"/>
        <v>Aug</v>
      </c>
      <c r="H601">
        <v>3</v>
      </c>
      <c r="I601" t="str">
        <f t="shared" si="29"/>
        <v>Gold</v>
      </c>
      <c r="J601" t="s">
        <v>14</v>
      </c>
      <c r="K601" s="17">
        <v>77541</v>
      </c>
      <c r="L601" s="17" t="s">
        <v>1222</v>
      </c>
      <c r="M601" t="s">
        <v>2255</v>
      </c>
      <c r="N601" t="s">
        <v>1237</v>
      </c>
      <c r="O601">
        <v>4000</v>
      </c>
      <c r="P601">
        <v>800</v>
      </c>
      <c r="Q601">
        <v>2400</v>
      </c>
      <c r="R601" t="s">
        <v>2164</v>
      </c>
    </row>
    <row r="602" spans="1:18" x14ac:dyDescent="0.25">
      <c r="A602">
        <v>1315</v>
      </c>
      <c r="B602" t="s">
        <v>54</v>
      </c>
      <c r="C602" t="s">
        <v>179</v>
      </c>
      <c r="D602" t="str">
        <f t="shared" si="27"/>
        <v>Woodard Ari</v>
      </c>
      <c r="E602" t="s">
        <v>1248</v>
      </c>
      <c r="F602" s="1">
        <v>45518</v>
      </c>
      <c r="G602" s="32" t="str">
        <f t="shared" si="28"/>
        <v>Aug</v>
      </c>
      <c r="H602">
        <v>3</v>
      </c>
      <c r="I602" t="str">
        <f t="shared" si="29"/>
        <v>Gold</v>
      </c>
      <c r="J602" t="s">
        <v>1242</v>
      </c>
      <c r="K602" s="17">
        <v>71136</v>
      </c>
      <c r="L602" s="17" t="s">
        <v>1222</v>
      </c>
      <c r="M602" t="s">
        <v>2255</v>
      </c>
      <c r="N602" t="s">
        <v>1223</v>
      </c>
      <c r="O602">
        <v>4217</v>
      </c>
      <c r="P602">
        <v>300</v>
      </c>
      <c r="Q602">
        <v>900</v>
      </c>
      <c r="R602" t="s">
        <v>1331</v>
      </c>
    </row>
    <row r="603" spans="1:18" x14ac:dyDescent="0.25">
      <c r="A603">
        <v>1355</v>
      </c>
      <c r="B603" t="s">
        <v>154</v>
      </c>
      <c r="C603" t="s">
        <v>247</v>
      </c>
      <c r="D603" t="str">
        <f t="shared" si="27"/>
        <v>Guerra Edgar</v>
      </c>
      <c r="E603" t="s">
        <v>1248</v>
      </c>
      <c r="F603" s="1">
        <v>45518</v>
      </c>
      <c r="G603" s="32" t="str">
        <f t="shared" si="28"/>
        <v>Aug</v>
      </c>
      <c r="H603">
        <v>2</v>
      </c>
      <c r="I603" t="str">
        <f t="shared" si="29"/>
        <v>Silver</v>
      </c>
      <c r="J603" t="s">
        <v>14</v>
      </c>
      <c r="K603" s="17">
        <v>77866</v>
      </c>
      <c r="L603" s="17" t="s">
        <v>1233</v>
      </c>
      <c r="M603" t="s">
        <v>2255</v>
      </c>
      <c r="N603" t="s">
        <v>1239</v>
      </c>
      <c r="O603">
        <v>870</v>
      </c>
      <c r="P603">
        <v>300</v>
      </c>
      <c r="Q603">
        <v>600</v>
      </c>
      <c r="R603" t="s">
        <v>1371</v>
      </c>
    </row>
    <row r="604" spans="1:18" x14ac:dyDescent="0.25">
      <c r="A604">
        <v>1439</v>
      </c>
      <c r="B604" t="s">
        <v>383</v>
      </c>
      <c r="C604" t="s">
        <v>321</v>
      </c>
      <c r="D604" t="str">
        <f t="shared" si="27"/>
        <v>English Jordan</v>
      </c>
      <c r="E604" t="s">
        <v>1207</v>
      </c>
      <c r="F604" s="1">
        <v>45518</v>
      </c>
      <c r="G604" s="32" t="str">
        <f t="shared" si="28"/>
        <v>Aug</v>
      </c>
      <c r="H604">
        <v>2</v>
      </c>
      <c r="I604" t="str">
        <f t="shared" si="29"/>
        <v>Silver</v>
      </c>
      <c r="J604" t="s">
        <v>14</v>
      </c>
      <c r="K604" s="17">
        <v>58474</v>
      </c>
      <c r="L604" s="17" t="s">
        <v>1228</v>
      </c>
      <c r="M604" t="s">
        <v>2256</v>
      </c>
      <c r="N604" t="s">
        <v>1230</v>
      </c>
      <c r="O604">
        <v>7000</v>
      </c>
      <c r="P604">
        <v>250</v>
      </c>
      <c r="Q604">
        <v>500</v>
      </c>
      <c r="R604" t="s">
        <v>1455</v>
      </c>
    </row>
    <row r="605" spans="1:18" x14ac:dyDescent="0.25">
      <c r="A605">
        <v>1647</v>
      </c>
      <c r="B605" t="s">
        <v>656</v>
      </c>
      <c r="C605" t="s">
        <v>198</v>
      </c>
      <c r="D605" t="str">
        <f t="shared" si="27"/>
        <v>Mcintosh Luna</v>
      </c>
      <c r="E605" t="s">
        <v>1205</v>
      </c>
      <c r="F605" s="1">
        <v>45518</v>
      </c>
      <c r="G605" s="32" t="str">
        <f t="shared" si="28"/>
        <v>Aug</v>
      </c>
      <c r="H605">
        <v>2</v>
      </c>
      <c r="I605" t="str">
        <f t="shared" si="29"/>
        <v>Silver</v>
      </c>
      <c r="J605" t="s">
        <v>14</v>
      </c>
      <c r="K605" s="17">
        <v>91954</v>
      </c>
      <c r="L605" s="17" t="s">
        <v>1224</v>
      </c>
      <c r="M605" t="s">
        <v>2253</v>
      </c>
      <c r="N605" t="s">
        <v>1238</v>
      </c>
      <c r="O605">
        <v>5600</v>
      </c>
      <c r="P605">
        <v>250</v>
      </c>
      <c r="Q605">
        <v>500</v>
      </c>
      <c r="R605" t="s">
        <v>1664</v>
      </c>
    </row>
    <row r="606" spans="1:18" x14ac:dyDescent="0.25">
      <c r="A606">
        <v>2088</v>
      </c>
      <c r="B606" t="s">
        <v>1089</v>
      </c>
      <c r="C606" t="s">
        <v>1090</v>
      </c>
      <c r="D606" t="str">
        <f t="shared" si="27"/>
        <v>Peck Sophie</v>
      </c>
      <c r="E606" t="s">
        <v>1205</v>
      </c>
      <c r="F606" s="1">
        <v>45518</v>
      </c>
      <c r="G606" s="32" t="str">
        <f t="shared" si="28"/>
        <v>Aug</v>
      </c>
      <c r="H606">
        <v>2</v>
      </c>
      <c r="I606" t="str">
        <f t="shared" si="29"/>
        <v>Silver</v>
      </c>
      <c r="J606" t="s">
        <v>14</v>
      </c>
      <c r="K606" s="17">
        <v>26157</v>
      </c>
      <c r="L606" s="17" t="s">
        <v>1220</v>
      </c>
      <c r="M606" t="s">
        <v>2255</v>
      </c>
      <c r="N606" t="s">
        <v>1221</v>
      </c>
      <c r="O606">
        <v>3350</v>
      </c>
      <c r="P606">
        <v>250</v>
      </c>
      <c r="Q606">
        <v>500</v>
      </c>
      <c r="R606" t="s">
        <v>2105</v>
      </c>
    </row>
    <row r="607" spans="1:18" x14ac:dyDescent="0.25">
      <c r="A607">
        <v>2223</v>
      </c>
      <c r="B607" t="s">
        <v>1194</v>
      </c>
      <c r="C607" t="s">
        <v>146</v>
      </c>
      <c r="D607" t="str">
        <f t="shared" si="27"/>
        <v>Holmes Bentley</v>
      </c>
      <c r="E607" t="s">
        <v>1248</v>
      </c>
      <c r="F607" s="1">
        <v>45518</v>
      </c>
      <c r="G607" s="32" t="str">
        <f t="shared" si="28"/>
        <v>Aug</v>
      </c>
      <c r="H607">
        <v>2</v>
      </c>
      <c r="I607" t="str">
        <f t="shared" si="29"/>
        <v>Silver</v>
      </c>
      <c r="J607" t="s">
        <v>1242</v>
      </c>
      <c r="K607" s="17">
        <v>42213</v>
      </c>
      <c r="L607" s="17" t="s">
        <v>1233</v>
      </c>
      <c r="M607" t="s">
        <v>2254</v>
      </c>
      <c r="N607" t="s">
        <v>1234</v>
      </c>
      <c r="O607">
        <v>800</v>
      </c>
      <c r="P607">
        <v>300</v>
      </c>
      <c r="Q607">
        <v>600</v>
      </c>
      <c r="R607" t="s">
        <v>2241</v>
      </c>
    </row>
    <row r="608" spans="1:18" x14ac:dyDescent="0.25">
      <c r="A608">
        <v>1327</v>
      </c>
      <c r="B608" t="s">
        <v>200</v>
      </c>
      <c r="C608" t="s">
        <v>201</v>
      </c>
      <c r="D608" t="str">
        <f t="shared" si="27"/>
        <v>Jaramillo Emanuel</v>
      </c>
      <c r="E608" t="s">
        <v>1208</v>
      </c>
      <c r="F608" s="1">
        <v>45519</v>
      </c>
      <c r="G608" s="32" t="str">
        <f t="shared" si="28"/>
        <v>Aug</v>
      </c>
      <c r="H608">
        <v>2</v>
      </c>
      <c r="I608" t="str">
        <f t="shared" si="29"/>
        <v>Silver</v>
      </c>
      <c r="J608" t="s">
        <v>1242</v>
      </c>
      <c r="K608" s="17">
        <v>76265</v>
      </c>
      <c r="L608" s="17" t="s">
        <v>1220</v>
      </c>
      <c r="M608" t="s">
        <v>2254</v>
      </c>
      <c r="N608" t="s">
        <v>1226</v>
      </c>
      <c r="O608">
        <v>3220</v>
      </c>
      <c r="P608">
        <v>800</v>
      </c>
      <c r="Q608">
        <v>1600</v>
      </c>
      <c r="R608" t="s">
        <v>1343</v>
      </c>
    </row>
    <row r="609" spans="1:18" x14ac:dyDescent="0.25">
      <c r="A609">
        <v>1473</v>
      </c>
      <c r="B609" t="s">
        <v>435</v>
      </c>
      <c r="C609" t="s">
        <v>436</v>
      </c>
      <c r="D609" t="str">
        <f t="shared" si="27"/>
        <v>Newman Celine</v>
      </c>
      <c r="E609" t="s">
        <v>1207</v>
      </c>
      <c r="F609" s="1">
        <v>45519</v>
      </c>
      <c r="G609" s="32" t="str">
        <f t="shared" si="28"/>
        <v>Aug</v>
      </c>
      <c r="H609">
        <v>2</v>
      </c>
      <c r="I609" t="str">
        <f t="shared" si="29"/>
        <v>Silver</v>
      </c>
      <c r="J609" t="s">
        <v>14</v>
      </c>
      <c r="K609" s="17">
        <v>75213</v>
      </c>
      <c r="L609" s="17" t="s">
        <v>1214</v>
      </c>
      <c r="M609" t="s">
        <v>2252</v>
      </c>
      <c r="N609" t="s">
        <v>1227</v>
      </c>
      <c r="O609">
        <v>6160</v>
      </c>
      <c r="P609">
        <v>250</v>
      </c>
      <c r="Q609">
        <v>500</v>
      </c>
      <c r="R609" t="s">
        <v>1489</v>
      </c>
    </row>
    <row r="610" spans="1:18" x14ac:dyDescent="0.25">
      <c r="A610">
        <v>1530</v>
      </c>
      <c r="B610" t="s">
        <v>510</v>
      </c>
      <c r="C610" t="s">
        <v>511</v>
      </c>
      <c r="D610" t="str">
        <f t="shared" si="27"/>
        <v>Strong Oaklee</v>
      </c>
      <c r="E610" t="s">
        <v>1249</v>
      </c>
      <c r="F610" s="1">
        <v>45519</v>
      </c>
      <c r="G610" s="32" t="str">
        <f t="shared" si="28"/>
        <v>Aug</v>
      </c>
      <c r="H610">
        <v>3</v>
      </c>
      <c r="I610" t="str">
        <f t="shared" si="29"/>
        <v>Gold</v>
      </c>
      <c r="J610" t="s">
        <v>14</v>
      </c>
      <c r="K610" s="17">
        <v>28845</v>
      </c>
      <c r="L610" s="17" t="s">
        <v>1216</v>
      </c>
      <c r="M610" t="s">
        <v>2255</v>
      </c>
      <c r="N610" t="s">
        <v>1217</v>
      </c>
      <c r="O610">
        <v>2600</v>
      </c>
      <c r="P610">
        <v>1200</v>
      </c>
      <c r="Q610">
        <v>3600</v>
      </c>
      <c r="R610" t="s">
        <v>1546</v>
      </c>
    </row>
    <row r="611" spans="1:18" x14ac:dyDescent="0.25">
      <c r="A611">
        <v>2098</v>
      </c>
      <c r="B611" t="s">
        <v>585</v>
      </c>
      <c r="C611" t="s">
        <v>725</v>
      </c>
      <c r="D611" t="str">
        <f t="shared" si="27"/>
        <v>Norman Stephanie</v>
      </c>
      <c r="E611" t="s">
        <v>1249</v>
      </c>
      <c r="F611" s="1">
        <v>45519</v>
      </c>
      <c r="G611" s="32" t="str">
        <f t="shared" si="28"/>
        <v>Aug</v>
      </c>
      <c r="H611">
        <v>1</v>
      </c>
      <c r="I611" t="str">
        <f t="shared" si="29"/>
        <v>Bronze</v>
      </c>
      <c r="J611" t="s">
        <v>14</v>
      </c>
      <c r="K611" s="17">
        <v>41937</v>
      </c>
      <c r="L611" s="17" t="s">
        <v>1216</v>
      </c>
      <c r="M611" t="s">
        <v>2252</v>
      </c>
      <c r="N611" t="s">
        <v>1217</v>
      </c>
      <c r="O611">
        <v>2600</v>
      </c>
      <c r="P611">
        <v>1200</v>
      </c>
      <c r="Q611">
        <v>1200</v>
      </c>
      <c r="R611" t="s">
        <v>2116</v>
      </c>
    </row>
    <row r="612" spans="1:18" x14ac:dyDescent="0.25">
      <c r="A612">
        <v>1384</v>
      </c>
      <c r="B612" t="s">
        <v>298</v>
      </c>
      <c r="C612" t="s">
        <v>299</v>
      </c>
      <c r="D612" t="str">
        <f t="shared" si="27"/>
        <v>Solis Mary</v>
      </c>
      <c r="E612" t="s">
        <v>1249</v>
      </c>
      <c r="F612" s="1">
        <v>45520</v>
      </c>
      <c r="G612" s="32" t="str">
        <f t="shared" si="28"/>
        <v>Aug</v>
      </c>
      <c r="H612">
        <v>1</v>
      </c>
      <c r="I612" t="str">
        <f t="shared" si="29"/>
        <v>Bronze</v>
      </c>
      <c r="J612" t="s">
        <v>1242</v>
      </c>
      <c r="K612" s="17">
        <v>77843</v>
      </c>
      <c r="L612" s="17" t="s">
        <v>1218</v>
      </c>
      <c r="M612" t="s">
        <v>2252</v>
      </c>
      <c r="N612" t="s">
        <v>1219</v>
      </c>
      <c r="O612">
        <v>2300</v>
      </c>
      <c r="P612">
        <v>1200</v>
      </c>
      <c r="Q612">
        <v>1200</v>
      </c>
      <c r="R612" t="s">
        <v>1400</v>
      </c>
    </row>
    <row r="613" spans="1:18" x14ac:dyDescent="0.25">
      <c r="A613">
        <v>1447</v>
      </c>
      <c r="B613" t="s">
        <v>396</v>
      </c>
      <c r="C613" t="s">
        <v>397</v>
      </c>
      <c r="D613" t="str">
        <f t="shared" si="27"/>
        <v>Monroe Marco</v>
      </c>
      <c r="E613" t="s">
        <v>1207</v>
      </c>
      <c r="F613" s="1">
        <v>45520</v>
      </c>
      <c r="G613" s="32" t="str">
        <f t="shared" si="28"/>
        <v>Aug</v>
      </c>
      <c r="H613">
        <v>2</v>
      </c>
      <c r="I613" t="str">
        <f t="shared" si="29"/>
        <v>Silver</v>
      </c>
      <c r="J613" t="s">
        <v>14</v>
      </c>
      <c r="K613" s="17">
        <v>24900</v>
      </c>
      <c r="L613" s="17" t="s">
        <v>1222</v>
      </c>
      <c r="M613" t="s">
        <v>2255</v>
      </c>
      <c r="N613" t="s">
        <v>1237</v>
      </c>
      <c r="O613">
        <v>4000</v>
      </c>
      <c r="P613">
        <v>250</v>
      </c>
      <c r="Q613">
        <v>500</v>
      </c>
      <c r="R613" t="s">
        <v>1463</v>
      </c>
    </row>
    <row r="614" spans="1:18" x14ac:dyDescent="0.25">
      <c r="A614">
        <v>1491</v>
      </c>
      <c r="B614" t="s">
        <v>206</v>
      </c>
      <c r="C614" t="s">
        <v>464</v>
      </c>
      <c r="D614" t="str">
        <f t="shared" si="27"/>
        <v>Weiss Gideon</v>
      </c>
      <c r="E614" t="s">
        <v>1205</v>
      </c>
      <c r="F614" s="1">
        <v>45520</v>
      </c>
      <c r="G614" s="32" t="str">
        <f t="shared" si="28"/>
        <v>Aug</v>
      </c>
      <c r="H614">
        <v>3</v>
      </c>
      <c r="I614" t="str">
        <f t="shared" si="29"/>
        <v>Gold</v>
      </c>
      <c r="J614" t="s">
        <v>14</v>
      </c>
      <c r="K614" s="17">
        <v>87817</v>
      </c>
      <c r="L614" s="17" t="s">
        <v>1222</v>
      </c>
      <c r="M614" t="s">
        <v>2254</v>
      </c>
      <c r="N614" t="s">
        <v>1237</v>
      </c>
      <c r="O614">
        <v>4000</v>
      </c>
      <c r="P614">
        <v>250</v>
      </c>
      <c r="Q614">
        <v>750</v>
      </c>
      <c r="R614" t="s">
        <v>1507</v>
      </c>
    </row>
    <row r="615" spans="1:18" x14ac:dyDescent="0.25">
      <c r="A615">
        <v>1830</v>
      </c>
      <c r="B615" t="s">
        <v>858</v>
      </c>
      <c r="C615" t="s">
        <v>308</v>
      </c>
      <c r="D615" t="str">
        <f t="shared" si="27"/>
        <v>Scott Bodie</v>
      </c>
      <c r="E615" t="s">
        <v>1248</v>
      </c>
      <c r="F615" s="1">
        <v>45520</v>
      </c>
      <c r="G615" s="32" t="str">
        <f t="shared" si="28"/>
        <v>Aug</v>
      </c>
      <c r="H615">
        <v>1</v>
      </c>
      <c r="I615" t="str">
        <f t="shared" si="29"/>
        <v>Bronze</v>
      </c>
      <c r="J615" t="s">
        <v>1243</v>
      </c>
      <c r="K615" s="17">
        <v>95555</v>
      </c>
      <c r="L615" s="17" t="s">
        <v>1218</v>
      </c>
      <c r="M615" t="s">
        <v>2253</v>
      </c>
      <c r="N615" t="s">
        <v>836</v>
      </c>
      <c r="O615">
        <v>2000</v>
      </c>
      <c r="P615">
        <v>300</v>
      </c>
      <c r="Q615">
        <v>300</v>
      </c>
      <c r="R615" t="s">
        <v>1847</v>
      </c>
    </row>
    <row r="616" spans="1:18" x14ac:dyDescent="0.25">
      <c r="A616">
        <v>1367</v>
      </c>
      <c r="B616" t="s">
        <v>269</v>
      </c>
      <c r="C616" t="s">
        <v>270</v>
      </c>
      <c r="D616" t="str">
        <f t="shared" si="27"/>
        <v>Salazar Jeremy</v>
      </c>
      <c r="E616" t="s">
        <v>1208</v>
      </c>
      <c r="F616" s="1">
        <v>45521</v>
      </c>
      <c r="G616" s="32" t="str">
        <f t="shared" si="28"/>
        <v>Aug</v>
      </c>
      <c r="H616">
        <v>2</v>
      </c>
      <c r="I616" t="str">
        <f t="shared" si="29"/>
        <v>Silver</v>
      </c>
      <c r="J616" t="s">
        <v>1242</v>
      </c>
      <c r="K616" s="17">
        <v>21614</v>
      </c>
      <c r="L616" s="17" t="s">
        <v>1224</v>
      </c>
      <c r="M616" t="s">
        <v>2253</v>
      </c>
      <c r="N616" t="s">
        <v>1238</v>
      </c>
      <c r="O616">
        <v>5600</v>
      </c>
      <c r="P616">
        <v>800</v>
      </c>
      <c r="Q616">
        <v>1600</v>
      </c>
      <c r="R616" t="s">
        <v>1383</v>
      </c>
    </row>
    <row r="617" spans="1:18" x14ac:dyDescent="0.25">
      <c r="A617">
        <v>1649</v>
      </c>
      <c r="B617" t="s">
        <v>659</v>
      </c>
      <c r="C617" t="s">
        <v>660</v>
      </c>
      <c r="D617" t="str">
        <f t="shared" si="27"/>
        <v>Newton Alessia</v>
      </c>
      <c r="E617" t="s">
        <v>1205</v>
      </c>
      <c r="F617" s="1">
        <v>45521</v>
      </c>
      <c r="G617" s="32" t="str">
        <f t="shared" si="28"/>
        <v>Aug</v>
      </c>
      <c r="H617">
        <v>1</v>
      </c>
      <c r="I617" t="str">
        <f t="shared" si="29"/>
        <v>Bronze</v>
      </c>
      <c r="J617" t="s">
        <v>1242</v>
      </c>
      <c r="K617" s="17">
        <v>77163</v>
      </c>
      <c r="L617" s="17" t="s">
        <v>1222</v>
      </c>
      <c r="M617" t="s">
        <v>2255</v>
      </c>
      <c r="N617" t="s">
        <v>1223</v>
      </c>
      <c r="O617">
        <v>4217</v>
      </c>
      <c r="P617">
        <v>250</v>
      </c>
      <c r="Q617">
        <v>250</v>
      </c>
      <c r="R617" t="s">
        <v>1666</v>
      </c>
    </row>
    <row r="618" spans="1:18" x14ac:dyDescent="0.25">
      <c r="A618">
        <v>1952</v>
      </c>
      <c r="B618" t="s">
        <v>981</v>
      </c>
      <c r="C618" t="s">
        <v>782</v>
      </c>
      <c r="D618" t="str">
        <f t="shared" si="27"/>
        <v>Phillips Frederick</v>
      </c>
      <c r="E618" t="s">
        <v>1208</v>
      </c>
      <c r="F618" s="1">
        <v>45522</v>
      </c>
      <c r="G618" s="32" t="str">
        <f t="shared" si="28"/>
        <v>Aug</v>
      </c>
      <c r="H618">
        <v>1</v>
      </c>
      <c r="I618" t="str">
        <f t="shared" si="29"/>
        <v>Bronze</v>
      </c>
      <c r="J618" t="s">
        <v>14</v>
      </c>
      <c r="K618" s="17">
        <v>29696</v>
      </c>
      <c r="L618" s="17" t="s">
        <v>1216</v>
      </c>
      <c r="M618" t="s">
        <v>2254</v>
      </c>
      <c r="N618" t="s">
        <v>1217</v>
      </c>
      <c r="O618">
        <v>2600</v>
      </c>
      <c r="P618">
        <v>800</v>
      </c>
      <c r="Q618">
        <v>800</v>
      </c>
      <c r="R618" t="s">
        <v>1969</v>
      </c>
    </row>
    <row r="619" spans="1:18" x14ac:dyDescent="0.25">
      <c r="A619">
        <v>1910</v>
      </c>
      <c r="B619" t="s">
        <v>939</v>
      </c>
      <c r="C619" t="s">
        <v>494</v>
      </c>
      <c r="D619" t="str">
        <f t="shared" si="27"/>
        <v>French Genesis</v>
      </c>
      <c r="E619" t="s">
        <v>1249</v>
      </c>
      <c r="F619" s="1">
        <v>45523</v>
      </c>
      <c r="G619" s="32" t="str">
        <f t="shared" si="28"/>
        <v>Aug</v>
      </c>
      <c r="H619">
        <v>2</v>
      </c>
      <c r="I619" t="str">
        <f t="shared" si="29"/>
        <v>Silver</v>
      </c>
      <c r="J619" t="s">
        <v>1242</v>
      </c>
      <c r="K619" s="17">
        <v>97310</v>
      </c>
      <c r="L619" s="17" t="s">
        <v>1224</v>
      </c>
      <c r="M619" t="s">
        <v>2252</v>
      </c>
      <c r="N619" t="s">
        <v>1238</v>
      </c>
      <c r="O619">
        <v>5600</v>
      </c>
      <c r="P619">
        <v>1200</v>
      </c>
      <c r="Q619">
        <v>2400</v>
      </c>
      <c r="R619" t="s">
        <v>1927</v>
      </c>
    </row>
    <row r="620" spans="1:18" x14ac:dyDescent="0.25">
      <c r="A620">
        <v>1993</v>
      </c>
      <c r="B620" t="s">
        <v>411</v>
      </c>
      <c r="C620" t="s">
        <v>354</v>
      </c>
      <c r="D620" t="str">
        <f t="shared" si="27"/>
        <v>Miles Declan</v>
      </c>
      <c r="E620" t="s">
        <v>1205</v>
      </c>
      <c r="F620" s="1">
        <v>45523</v>
      </c>
      <c r="G620" s="32" t="str">
        <f t="shared" si="28"/>
        <v>Aug</v>
      </c>
      <c r="H620">
        <v>1</v>
      </c>
      <c r="I620" t="str">
        <f t="shared" si="29"/>
        <v>Bronze</v>
      </c>
      <c r="J620" t="s">
        <v>1242</v>
      </c>
      <c r="K620" s="17">
        <v>36301</v>
      </c>
      <c r="L620" s="17" t="s">
        <v>1222</v>
      </c>
      <c r="M620" t="s">
        <v>2255</v>
      </c>
      <c r="N620" t="s">
        <v>1223</v>
      </c>
      <c r="O620">
        <v>4217</v>
      </c>
      <c r="P620">
        <v>250</v>
      </c>
      <c r="Q620">
        <v>250</v>
      </c>
      <c r="R620" t="s">
        <v>2010</v>
      </c>
    </row>
    <row r="621" spans="1:18" x14ac:dyDescent="0.25">
      <c r="A621">
        <v>2136</v>
      </c>
      <c r="B621" t="s">
        <v>1135</v>
      </c>
      <c r="C621" t="s">
        <v>1136</v>
      </c>
      <c r="D621" t="str">
        <f t="shared" si="27"/>
        <v>Cabrera Kira</v>
      </c>
      <c r="E621" t="s">
        <v>1249</v>
      </c>
      <c r="F621" s="1">
        <v>45523</v>
      </c>
      <c r="G621" s="32" t="str">
        <f t="shared" si="28"/>
        <v>Aug</v>
      </c>
      <c r="H621">
        <v>2</v>
      </c>
      <c r="I621" t="str">
        <f t="shared" si="29"/>
        <v>Silver</v>
      </c>
      <c r="J621" t="s">
        <v>14</v>
      </c>
      <c r="K621" s="17">
        <v>65499</v>
      </c>
      <c r="L621" s="17" t="s">
        <v>1220</v>
      </c>
      <c r="M621" t="s">
        <v>2256</v>
      </c>
      <c r="N621" t="s">
        <v>1221</v>
      </c>
      <c r="O621">
        <v>3350</v>
      </c>
      <c r="P621">
        <v>1200</v>
      </c>
      <c r="Q621">
        <v>2400</v>
      </c>
      <c r="R621" t="s">
        <v>2154</v>
      </c>
    </row>
    <row r="622" spans="1:18" x14ac:dyDescent="0.25">
      <c r="A622">
        <v>1251</v>
      </c>
      <c r="B622" t="s">
        <v>60</v>
      </c>
      <c r="C622" t="s">
        <v>61</v>
      </c>
      <c r="D622" t="str">
        <f t="shared" si="27"/>
        <v>Berry Colt</v>
      </c>
      <c r="E622" t="s">
        <v>1207</v>
      </c>
      <c r="F622" s="1">
        <v>45524</v>
      </c>
      <c r="G622" s="32" t="str">
        <f t="shared" si="28"/>
        <v>Aug</v>
      </c>
      <c r="H622">
        <v>2</v>
      </c>
      <c r="I622" t="str">
        <f t="shared" si="29"/>
        <v>Silver</v>
      </c>
      <c r="J622" t="s">
        <v>1243</v>
      </c>
      <c r="K622" s="17">
        <v>20473</v>
      </c>
      <c r="L622" s="17" t="s">
        <v>1228</v>
      </c>
      <c r="M622" t="s">
        <v>2255</v>
      </c>
      <c r="N622" t="s">
        <v>1230</v>
      </c>
      <c r="O622">
        <v>7000</v>
      </c>
      <c r="P622">
        <v>250</v>
      </c>
      <c r="Q622">
        <v>500</v>
      </c>
      <c r="R622" t="s">
        <v>1267</v>
      </c>
    </row>
    <row r="623" spans="1:18" x14ac:dyDescent="0.25">
      <c r="A623">
        <v>1455</v>
      </c>
      <c r="B623" t="s">
        <v>80</v>
      </c>
      <c r="C623" t="s">
        <v>410</v>
      </c>
      <c r="D623" t="str">
        <f t="shared" si="27"/>
        <v>James Madison</v>
      </c>
      <c r="E623" t="s">
        <v>1207</v>
      </c>
      <c r="F623" s="1">
        <v>45524</v>
      </c>
      <c r="G623" s="32" t="str">
        <f t="shared" si="28"/>
        <v>Aug</v>
      </c>
      <c r="H623">
        <v>2</v>
      </c>
      <c r="I623" t="str">
        <f t="shared" si="29"/>
        <v>Silver</v>
      </c>
      <c r="J623" t="s">
        <v>14</v>
      </c>
      <c r="K623" s="17">
        <v>52198</v>
      </c>
      <c r="L623" s="17" t="s">
        <v>1218</v>
      </c>
      <c r="M623" t="s">
        <v>2255</v>
      </c>
      <c r="N623" t="s">
        <v>836</v>
      </c>
      <c r="O623">
        <v>2000</v>
      </c>
      <c r="P623">
        <v>250</v>
      </c>
      <c r="Q623">
        <v>500</v>
      </c>
      <c r="R623" t="s">
        <v>1471</v>
      </c>
    </row>
    <row r="624" spans="1:18" x14ac:dyDescent="0.25">
      <c r="A624">
        <v>1908</v>
      </c>
      <c r="B624" t="s">
        <v>298</v>
      </c>
      <c r="C624" t="s">
        <v>501</v>
      </c>
      <c r="D624" t="str">
        <f t="shared" si="27"/>
        <v>Solis Kaleb</v>
      </c>
      <c r="E624" t="s">
        <v>1205</v>
      </c>
      <c r="F624" s="1">
        <v>45524</v>
      </c>
      <c r="G624" s="32" t="str">
        <f t="shared" si="28"/>
        <v>Aug</v>
      </c>
      <c r="H624">
        <v>2</v>
      </c>
      <c r="I624" t="str">
        <f t="shared" si="29"/>
        <v>Silver</v>
      </c>
      <c r="J624" t="s">
        <v>14</v>
      </c>
      <c r="K624" s="17">
        <v>94227</v>
      </c>
      <c r="L624" s="17" t="s">
        <v>1228</v>
      </c>
      <c r="M624" t="s">
        <v>2253</v>
      </c>
      <c r="N624" t="s">
        <v>1240</v>
      </c>
      <c r="O624">
        <v>7310</v>
      </c>
      <c r="P624">
        <v>250</v>
      </c>
      <c r="Q624">
        <v>500</v>
      </c>
      <c r="R624" t="s">
        <v>1925</v>
      </c>
    </row>
    <row r="625" spans="1:18" x14ac:dyDescent="0.25">
      <c r="A625">
        <v>1546</v>
      </c>
      <c r="B625" t="s">
        <v>15</v>
      </c>
      <c r="C625" t="s">
        <v>531</v>
      </c>
      <c r="D625" t="str">
        <f t="shared" si="27"/>
        <v>Kelly Gregory</v>
      </c>
      <c r="E625" t="s">
        <v>1249</v>
      </c>
      <c r="F625" s="1">
        <v>45525</v>
      </c>
      <c r="G625" s="32" t="str">
        <f t="shared" si="28"/>
        <v>Aug</v>
      </c>
      <c r="H625">
        <v>1</v>
      </c>
      <c r="I625" t="str">
        <f t="shared" si="29"/>
        <v>Bronze</v>
      </c>
      <c r="J625" t="s">
        <v>1242</v>
      </c>
      <c r="K625" s="17">
        <v>14352</v>
      </c>
      <c r="L625" s="17" t="s">
        <v>1228</v>
      </c>
      <c r="M625" t="s">
        <v>2256</v>
      </c>
      <c r="N625" t="s">
        <v>1240</v>
      </c>
      <c r="O625">
        <v>7310</v>
      </c>
      <c r="P625">
        <v>1200</v>
      </c>
      <c r="Q625">
        <v>1200</v>
      </c>
      <c r="R625" t="s">
        <v>1562</v>
      </c>
    </row>
    <row r="626" spans="1:18" x14ac:dyDescent="0.25">
      <c r="A626">
        <v>1673</v>
      </c>
      <c r="B626" t="s">
        <v>688</v>
      </c>
      <c r="C626" t="s">
        <v>618</v>
      </c>
      <c r="D626" t="str">
        <f t="shared" si="27"/>
        <v>Henderson Armani</v>
      </c>
      <c r="E626" t="s">
        <v>1249</v>
      </c>
      <c r="F626" s="1">
        <v>45525</v>
      </c>
      <c r="G626" s="32" t="str">
        <f t="shared" si="28"/>
        <v>Aug</v>
      </c>
      <c r="H626">
        <v>3</v>
      </c>
      <c r="I626" t="str">
        <f t="shared" si="29"/>
        <v>Gold</v>
      </c>
      <c r="J626" t="s">
        <v>14</v>
      </c>
      <c r="K626" s="17">
        <v>37317</v>
      </c>
      <c r="L626" s="17" t="s">
        <v>1222</v>
      </c>
      <c r="M626" t="s">
        <v>2252</v>
      </c>
      <c r="N626" t="s">
        <v>1231</v>
      </c>
      <c r="O626">
        <v>4870</v>
      </c>
      <c r="P626">
        <v>1200</v>
      </c>
      <c r="Q626">
        <v>3600</v>
      </c>
      <c r="R626" t="s">
        <v>1690</v>
      </c>
    </row>
    <row r="627" spans="1:18" x14ac:dyDescent="0.25">
      <c r="A627">
        <v>1758</v>
      </c>
      <c r="B627" t="s">
        <v>784</v>
      </c>
      <c r="C627" t="s">
        <v>785</v>
      </c>
      <c r="D627" t="str">
        <f t="shared" si="27"/>
        <v>Bennett Josue</v>
      </c>
      <c r="E627" t="s">
        <v>1208</v>
      </c>
      <c r="F627" s="1">
        <v>45525</v>
      </c>
      <c r="G627" s="32" t="str">
        <f t="shared" si="28"/>
        <v>Aug</v>
      </c>
      <c r="H627">
        <v>2</v>
      </c>
      <c r="I627" t="str">
        <f t="shared" si="29"/>
        <v>Silver</v>
      </c>
      <c r="J627" t="s">
        <v>1242</v>
      </c>
      <c r="K627" s="17">
        <v>16418</v>
      </c>
      <c r="L627" s="17" t="s">
        <v>1214</v>
      </c>
      <c r="M627" t="s">
        <v>2254</v>
      </c>
      <c r="N627" t="s">
        <v>1236</v>
      </c>
      <c r="O627">
        <v>6000</v>
      </c>
      <c r="P627">
        <v>800</v>
      </c>
      <c r="Q627">
        <v>1600</v>
      </c>
      <c r="R627" t="s">
        <v>1775</v>
      </c>
    </row>
    <row r="628" spans="1:18" x14ac:dyDescent="0.25">
      <c r="A628">
        <v>1829</v>
      </c>
      <c r="B628" t="s">
        <v>839</v>
      </c>
      <c r="C628" t="s">
        <v>127</v>
      </c>
      <c r="D628" t="str">
        <f t="shared" si="27"/>
        <v>Mathis Greyson</v>
      </c>
      <c r="E628" t="s">
        <v>1248</v>
      </c>
      <c r="F628" s="1">
        <v>45525</v>
      </c>
      <c r="G628" s="32" t="str">
        <f t="shared" si="28"/>
        <v>Aug</v>
      </c>
      <c r="H628">
        <v>1</v>
      </c>
      <c r="I628" t="str">
        <f t="shared" si="29"/>
        <v>Bronze</v>
      </c>
      <c r="J628" t="s">
        <v>1243</v>
      </c>
      <c r="K628" s="17">
        <v>78427</v>
      </c>
      <c r="L628" s="17" t="s">
        <v>1218</v>
      </c>
      <c r="M628" t="s">
        <v>2256</v>
      </c>
      <c r="N628" t="s">
        <v>1235</v>
      </c>
      <c r="O628">
        <v>2500</v>
      </c>
      <c r="P628">
        <v>300</v>
      </c>
      <c r="Q628">
        <v>300</v>
      </c>
      <c r="R628" t="s">
        <v>1846</v>
      </c>
    </row>
    <row r="629" spans="1:18" x14ac:dyDescent="0.25">
      <c r="A629">
        <v>1992</v>
      </c>
      <c r="B629" t="s">
        <v>519</v>
      </c>
      <c r="C629" t="s">
        <v>1011</v>
      </c>
      <c r="D629" t="str">
        <f t="shared" si="27"/>
        <v>Nash Alyssa</v>
      </c>
      <c r="E629" t="s">
        <v>1207</v>
      </c>
      <c r="F629" s="1">
        <v>45525</v>
      </c>
      <c r="G629" s="32" t="str">
        <f t="shared" si="28"/>
        <v>Aug</v>
      </c>
      <c r="H629">
        <v>1</v>
      </c>
      <c r="I629" t="str">
        <f t="shared" si="29"/>
        <v>Bronze</v>
      </c>
      <c r="J629" t="s">
        <v>1243</v>
      </c>
      <c r="K629" s="17">
        <v>59813</v>
      </c>
      <c r="L629" s="17" t="s">
        <v>1222</v>
      </c>
      <c r="M629" t="s">
        <v>2252</v>
      </c>
      <c r="N629" t="s">
        <v>1223</v>
      </c>
      <c r="O629">
        <v>4217</v>
      </c>
      <c r="P629">
        <v>250</v>
      </c>
      <c r="Q629">
        <v>250</v>
      </c>
      <c r="R629" t="s">
        <v>2009</v>
      </c>
    </row>
    <row r="630" spans="1:18" x14ac:dyDescent="0.25">
      <c r="A630">
        <v>1609</v>
      </c>
      <c r="B630" t="s">
        <v>610</v>
      </c>
      <c r="C630" t="s">
        <v>611</v>
      </c>
      <c r="D630" t="str">
        <f t="shared" si="27"/>
        <v>Kline Lana</v>
      </c>
      <c r="E630" t="s">
        <v>1203</v>
      </c>
      <c r="F630" s="1">
        <v>45526</v>
      </c>
      <c r="G630" s="32" t="str">
        <f t="shared" si="28"/>
        <v>Aug</v>
      </c>
      <c r="H630">
        <v>2</v>
      </c>
      <c r="I630" t="str">
        <f t="shared" si="29"/>
        <v>Silver</v>
      </c>
      <c r="J630" t="s">
        <v>1243</v>
      </c>
      <c r="K630" s="17">
        <v>57972</v>
      </c>
      <c r="L630" s="17" t="s">
        <v>1228</v>
      </c>
      <c r="M630" t="s">
        <v>2252</v>
      </c>
      <c r="N630" t="s">
        <v>1240</v>
      </c>
      <c r="O630">
        <v>7310</v>
      </c>
      <c r="P630">
        <v>600</v>
      </c>
      <c r="Q630">
        <v>1200</v>
      </c>
      <c r="R630" t="s">
        <v>1625</v>
      </c>
    </row>
    <row r="631" spans="1:18" x14ac:dyDescent="0.25">
      <c r="A631">
        <v>1313</v>
      </c>
      <c r="B631" t="s">
        <v>175</v>
      </c>
      <c r="C631" t="s">
        <v>176</v>
      </c>
      <c r="D631" t="str">
        <f t="shared" si="27"/>
        <v>Mata Cooper</v>
      </c>
      <c r="E631" t="s">
        <v>1249</v>
      </c>
      <c r="F631" s="1">
        <v>45527</v>
      </c>
      <c r="G631" s="32" t="str">
        <f t="shared" si="28"/>
        <v>Aug</v>
      </c>
      <c r="H631">
        <v>1</v>
      </c>
      <c r="I631" t="str">
        <f t="shared" si="29"/>
        <v>Bronze</v>
      </c>
      <c r="J631" t="s">
        <v>1243</v>
      </c>
      <c r="K631" s="17">
        <v>87984</v>
      </c>
      <c r="L631" s="17" t="s">
        <v>1218</v>
      </c>
      <c r="M631" t="s">
        <v>2256</v>
      </c>
      <c r="N631" t="s">
        <v>1235</v>
      </c>
      <c r="O631">
        <v>2500</v>
      </c>
      <c r="P631">
        <v>1200</v>
      </c>
      <c r="Q631">
        <v>1200</v>
      </c>
      <c r="R631" t="s">
        <v>1329</v>
      </c>
    </row>
    <row r="632" spans="1:18" x14ac:dyDescent="0.25">
      <c r="A632">
        <v>1652</v>
      </c>
      <c r="B632" t="s">
        <v>128</v>
      </c>
      <c r="C632" t="s">
        <v>582</v>
      </c>
      <c r="D632" t="str">
        <f t="shared" si="27"/>
        <v>Hunter Leon</v>
      </c>
      <c r="E632" t="s">
        <v>1249</v>
      </c>
      <c r="F632" s="1">
        <v>45528</v>
      </c>
      <c r="G632" s="32" t="str">
        <f t="shared" si="28"/>
        <v>Aug</v>
      </c>
      <c r="H632">
        <v>2</v>
      </c>
      <c r="I632" t="str">
        <f t="shared" si="29"/>
        <v>Silver</v>
      </c>
      <c r="J632" t="s">
        <v>14</v>
      </c>
      <c r="K632" s="17">
        <v>70586</v>
      </c>
      <c r="L632" s="17" t="s">
        <v>1218</v>
      </c>
      <c r="M632" t="s">
        <v>2255</v>
      </c>
      <c r="N632" t="s">
        <v>836</v>
      </c>
      <c r="O632">
        <v>2000</v>
      </c>
      <c r="P632">
        <v>1200</v>
      </c>
      <c r="Q632">
        <v>2400</v>
      </c>
      <c r="R632" t="s">
        <v>1669</v>
      </c>
    </row>
    <row r="633" spans="1:18" x14ac:dyDescent="0.25">
      <c r="A633">
        <v>1765</v>
      </c>
      <c r="B633" t="s">
        <v>789</v>
      </c>
      <c r="C633" t="s">
        <v>176</v>
      </c>
      <c r="D633" t="str">
        <f t="shared" si="27"/>
        <v>Medina Cooper</v>
      </c>
      <c r="E633" t="s">
        <v>1248</v>
      </c>
      <c r="F633" s="1">
        <v>45528</v>
      </c>
      <c r="G633" s="32" t="str">
        <f t="shared" si="28"/>
        <v>Aug</v>
      </c>
      <c r="H633">
        <v>1</v>
      </c>
      <c r="I633" t="str">
        <f t="shared" si="29"/>
        <v>Bronze</v>
      </c>
      <c r="J633" t="s">
        <v>1242</v>
      </c>
      <c r="K633" s="17">
        <v>62196</v>
      </c>
      <c r="L633" s="17" t="s">
        <v>1222</v>
      </c>
      <c r="M633" t="s">
        <v>2252</v>
      </c>
      <c r="N633" t="s">
        <v>1231</v>
      </c>
      <c r="O633">
        <v>4870</v>
      </c>
      <c r="P633">
        <v>300</v>
      </c>
      <c r="Q633">
        <v>300</v>
      </c>
      <c r="R633" t="s">
        <v>1782</v>
      </c>
    </row>
    <row r="634" spans="1:18" x14ac:dyDescent="0.25">
      <c r="A634">
        <v>1875</v>
      </c>
      <c r="B634" t="s">
        <v>905</v>
      </c>
      <c r="C634" t="s">
        <v>388</v>
      </c>
      <c r="D634" t="str">
        <f t="shared" si="27"/>
        <v>Martin Gabriel</v>
      </c>
      <c r="E634" t="s">
        <v>1249</v>
      </c>
      <c r="F634" s="1">
        <v>45528</v>
      </c>
      <c r="G634" s="32" t="str">
        <f t="shared" si="28"/>
        <v>Aug</v>
      </c>
      <c r="H634">
        <v>1</v>
      </c>
      <c r="I634" t="str">
        <f t="shared" si="29"/>
        <v>Bronze</v>
      </c>
      <c r="J634" t="s">
        <v>14</v>
      </c>
      <c r="K634" s="17">
        <v>25306</v>
      </c>
      <c r="L634" s="17" t="s">
        <v>1228</v>
      </c>
      <c r="M634" t="s">
        <v>2252</v>
      </c>
      <c r="N634" t="s">
        <v>1240</v>
      </c>
      <c r="O634">
        <v>7310</v>
      </c>
      <c r="P634">
        <v>1200</v>
      </c>
      <c r="Q634">
        <v>1200</v>
      </c>
      <c r="R634" t="s">
        <v>1892</v>
      </c>
    </row>
    <row r="635" spans="1:18" x14ac:dyDescent="0.25">
      <c r="A635">
        <v>1881</v>
      </c>
      <c r="B635" t="s">
        <v>288</v>
      </c>
      <c r="C635" t="s">
        <v>564</v>
      </c>
      <c r="D635" t="str">
        <f t="shared" si="27"/>
        <v>Rose Zaire</v>
      </c>
      <c r="E635" t="s">
        <v>1249</v>
      </c>
      <c r="F635" s="1">
        <v>45528</v>
      </c>
      <c r="G635" s="32" t="str">
        <f t="shared" si="28"/>
        <v>Aug</v>
      </c>
      <c r="H635">
        <v>2</v>
      </c>
      <c r="I635" t="str">
        <f t="shared" si="29"/>
        <v>Silver</v>
      </c>
      <c r="J635" t="s">
        <v>14</v>
      </c>
      <c r="K635" s="17">
        <v>98853</v>
      </c>
      <c r="L635" s="17" t="s">
        <v>1233</v>
      </c>
      <c r="M635" t="s">
        <v>2255</v>
      </c>
      <c r="N635" t="s">
        <v>1234</v>
      </c>
      <c r="O635">
        <v>800</v>
      </c>
      <c r="P635">
        <v>1200</v>
      </c>
      <c r="Q635">
        <v>2400</v>
      </c>
      <c r="R635" t="s">
        <v>1898</v>
      </c>
    </row>
    <row r="636" spans="1:18" x14ac:dyDescent="0.25">
      <c r="A636">
        <v>2023</v>
      </c>
      <c r="B636" t="s">
        <v>1031</v>
      </c>
      <c r="C636" t="s">
        <v>1032</v>
      </c>
      <c r="D636" t="str">
        <f t="shared" si="27"/>
        <v>Moore Liliana</v>
      </c>
      <c r="E636" t="s">
        <v>1203</v>
      </c>
      <c r="F636" s="1">
        <v>45528</v>
      </c>
      <c r="G636" s="32" t="str">
        <f t="shared" si="28"/>
        <v>Aug</v>
      </c>
      <c r="H636">
        <v>3</v>
      </c>
      <c r="I636" t="str">
        <f t="shared" si="29"/>
        <v>Gold</v>
      </c>
      <c r="J636" t="s">
        <v>1242</v>
      </c>
      <c r="K636" s="17">
        <v>8237</v>
      </c>
      <c r="L636" s="17" t="s">
        <v>1228</v>
      </c>
      <c r="M636" t="s">
        <v>2254</v>
      </c>
      <c r="N636" t="s">
        <v>1229</v>
      </c>
      <c r="O636">
        <v>7250</v>
      </c>
      <c r="P636">
        <v>600</v>
      </c>
      <c r="Q636">
        <v>1800</v>
      </c>
      <c r="R636" t="s">
        <v>2040</v>
      </c>
    </row>
    <row r="637" spans="1:18" x14ac:dyDescent="0.25">
      <c r="A637">
        <v>2180</v>
      </c>
      <c r="B637" t="s">
        <v>44</v>
      </c>
      <c r="C637" t="s">
        <v>777</v>
      </c>
      <c r="D637" t="str">
        <f t="shared" si="27"/>
        <v>Pierce Connor</v>
      </c>
      <c r="E637" t="s">
        <v>1203</v>
      </c>
      <c r="F637" s="1">
        <v>45528</v>
      </c>
      <c r="G637" s="32" t="str">
        <f t="shared" si="28"/>
        <v>Aug</v>
      </c>
      <c r="H637">
        <v>1</v>
      </c>
      <c r="I637" t="str">
        <f t="shared" si="29"/>
        <v>Bronze</v>
      </c>
      <c r="J637" t="s">
        <v>14</v>
      </c>
      <c r="K637" s="17">
        <v>88725</v>
      </c>
      <c r="L637" s="17" t="s">
        <v>1222</v>
      </c>
      <c r="M637" t="s">
        <v>2252</v>
      </c>
      <c r="N637" t="s">
        <v>1231</v>
      </c>
      <c r="O637">
        <v>4870</v>
      </c>
      <c r="P637">
        <v>600</v>
      </c>
      <c r="Q637">
        <v>600</v>
      </c>
      <c r="R637" t="s">
        <v>2198</v>
      </c>
    </row>
    <row r="638" spans="1:18" x14ac:dyDescent="0.25">
      <c r="A638">
        <v>1262</v>
      </c>
      <c r="B638" t="s">
        <v>81</v>
      </c>
      <c r="C638" t="s">
        <v>82</v>
      </c>
      <c r="D638" t="str">
        <f t="shared" si="27"/>
        <v>Arias Sawyer</v>
      </c>
      <c r="E638" t="s">
        <v>1249</v>
      </c>
      <c r="F638" s="1">
        <v>45529</v>
      </c>
      <c r="G638" s="32" t="str">
        <f t="shared" si="28"/>
        <v>Aug</v>
      </c>
      <c r="H638">
        <v>2</v>
      </c>
      <c r="I638" t="str">
        <f t="shared" si="29"/>
        <v>Silver</v>
      </c>
      <c r="J638" t="s">
        <v>1242</v>
      </c>
      <c r="K638" s="17">
        <v>75988</v>
      </c>
      <c r="L638" s="17" t="s">
        <v>1218</v>
      </c>
      <c r="M638" t="s">
        <v>2253</v>
      </c>
      <c r="N638" t="s">
        <v>836</v>
      </c>
      <c r="O638">
        <v>2000</v>
      </c>
      <c r="P638">
        <v>1200</v>
      </c>
      <c r="Q638">
        <v>2400</v>
      </c>
      <c r="R638" t="s">
        <v>1278</v>
      </c>
    </row>
    <row r="639" spans="1:18" x14ac:dyDescent="0.25">
      <c r="A639">
        <v>1571</v>
      </c>
      <c r="B639" t="s">
        <v>143</v>
      </c>
      <c r="C639" t="s">
        <v>569</v>
      </c>
      <c r="D639" t="str">
        <f t="shared" si="27"/>
        <v>Watts Paris</v>
      </c>
      <c r="E639" t="s">
        <v>1249</v>
      </c>
      <c r="F639" s="1">
        <v>45529</v>
      </c>
      <c r="G639" s="32" t="str">
        <f t="shared" si="28"/>
        <v>Aug</v>
      </c>
      <c r="H639">
        <v>1</v>
      </c>
      <c r="I639" t="str">
        <f t="shared" si="29"/>
        <v>Bronze</v>
      </c>
      <c r="J639" t="s">
        <v>1242</v>
      </c>
      <c r="K639" s="17">
        <v>70834</v>
      </c>
      <c r="L639" s="17" t="s">
        <v>1216</v>
      </c>
      <c r="M639" t="s">
        <v>2256</v>
      </c>
      <c r="N639" t="s">
        <v>1217</v>
      </c>
      <c r="O639">
        <v>2600</v>
      </c>
      <c r="P639">
        <v>1200</v>
      </c>
      <c r="Q639">
        <v>1200</v>
      </c>
      <c r="R639" t="s">
        <v>1587</v>
      </c>
    </row>
    <row r="640" spans="1:18" x14ac:dyDescent="0.25">
      <c r="A640">
        <v>1635</v>
      </c>
      <c r="B640" t="s">
        <v>640</v>
      </c>
      <c r="C640" t="s">
        <v>243</v>
      </c>
      <c r="D640" t="str">
        <f t="shared" si="27"/>
        <v>Soto Rory</v>
      </c>
      <c r="E640" t="s">
        <v>1249</v>
      </c>
      <c r="F640" s="1">
        <v>45529</v>
      </c>
      <c r="G640" s="32" t="str">
        <f t="shared" si="28"/>
        <v>Aug</v>
      </c>
      <c r="H640">
        <v>2</v>
      </c>
      <c r="I640" t="str">
        <f t="shared" si="29"/>
        <v>Silver</v>
      </c>
      <c r="J640" t="s">
        <v>14</v>
      </c>
      <c r="K640" s="17">
        <v>2961</v>
      </c>
      <c r="L640" s="17" t="s">
        <v>1220</v>
      </c>
      <c r="M640" t="s">
        <v>2252</v>
      </c>
      <c r="N640" t="s">
        <v>1232</v>
      </c>
      <c r="O640">
        <v>3000</v>
      </c>
      <c r="P640">
        <v>1200</v>
      </c>
      <c r="Q640">
        <v>2400</v>
      </c>
      <c r="R640" t="s">
        <v>1652</v>
      </c>
    </row>
    <row r="641" spans="1:18" x14ac:dyDescent="0.25">
      <c r="A641">
        <v>1809</v>
      </c>
      <c r="B641" t="s">
        <v>224</v>
      </c>
      <c r="C641" t="s">
        <v>808</v>
      </c>
      <c r="D641" t="str">
        <f t="shared" si="27"/>
        <v>Pearson Bo</v>
      </c>
      <c r="E641" t="s">
        <v>1248</v>
      </c>
      <c r="F641" s="1">
        <v>45529</v>
      </c>
      <c r="G641" s="32" t="str">
        <f t="shared" si="28"/>
        <v>Aug</v>
      </c>
      <c r="H641">
        <v>2</v>
      </c>
      <c r="I641" t="str">
        <f t="shared" si="29"/>
        <v>Silver</v>
      </c>
      <c r="J641" t="s">
        <v>14</v>
      </c>
      <c r="K641" s="17">
        <v>60837</v>
      </c>
      <c r="L641" s="17" t="s">
        <v>1233</v>
      </c>
      <c r="M641" t="s">
        <v>2256</v>
      </c>
      <c r="N641" t="s">
        <v>1234</v>
      </c>
      <c r="O641">
        <v>800</v>
      </c>
      <c r="P641">
        <v>300</v>
      </c>
      <c r="Q641">
        <v>600</v>
      </c>
      <c r="R641" t="s">
        <v>1826</v>
      </c>
    </row>
    <row r="642" spans="1:18" x14ac:dyDescent="0.25">
      <c r="A642">
        <v>1979</v>
      </c>
      <c r="B642" t="s">
        <v>998</v>
      </c>
      <c r="C642" t="s">
        <v>634</v>
      </c>
      <c r="D642" t="str">
        <f t="shared" ref="D642:D705" si="30">CONCATENATE(B642, " ", C642)</f>
        <v>Noble Josephine</v>
      </c>
      <c r="E642" t="s">
        <v>1205</v>
      </c>
      <c r="F642" s="1">
        <v>45529</v>
      </c>
      <c r="G642" s="32" t="str">
        <f t="shared" ref="G642:G705" si="31">TEXT(F642, "MMM")</f>
        <v>Aug</v>
      </c>
      <c r="H642">
        <v>3</v>
      </c>
      <c r="I642" t="str">
        <f t="shared" ref="I642:I705" si="32">IF(H642=1,"Bronze",IF(H642=2,"Silver",IF(H642=3,"Gold")))</f>
        <v>Gold</v>
      </c>
      <c r="J642" t="s">
        <v>18</v>
      </c>
      <c r="K642" s="17">
        <v>43350</v>
      </c>
      <c r="L642" s="17" t="s">
        <v>1214</v>
      </c>
      <c r="M642" t="s">
        <v>2256</v>
      </c>
      <c r="N642" t="s">
        <v>1236</v>
      </c>
      <c r="O642">
        <v>6000</v>
      </c>
      <c r="P642">
        <v>250</v>
      </c>
      <c r="Q642">
        <v>750</v>
      </c>
      <c r="R642" t="s">
        <v>1996</v>
      </c>
    </row>
    <row r="643" spans="1:18" x14ac:dyDescent="0.25">
      <c r="A643">
        <v>2071</v>
      </c>
      <c r="B643" t="s">
        <v>1075</v>
      </c>
      <c r="C643" t="s">
        <v>82</v>
      </c>
      <c r="D643" t="str">
        <f t="shared" si="30"/>
        <v>Ho Sawyer</v>
      </c>
      <c r="E643" t="s">
        <v>1249</v>
      </c>
      <c r="F643" s="1">
        <v>45529</v>
      </c>
      <c r="G643" s="32" t="str">
        <f t="shared" si="31"/>
        <v>Aug</v>
      </c>
      <c r="H643">
        <v>2</v>
      </c>
      <c r="I643" t="str">
        <f t="shared" si="32"/>
        <v>Silver</v>
      </c>
      <c r="J643" t="s">
        <v>1242</v>
      </c>
      <c r="K643" s="17">
        <v>82595</v>
      </c>
      <c r="L643" s="17" t="s">
        <v>1214</v>
      </c>
      <c r="M643" t="s">
        <v>2252</v>
      </c>
      <c r="N643" t="s">
        <v>1236</v>
      </c>
      <c r="O643">
        <v>6000</v>
      </c>
      <c r="P643">
        <v>1200</v>
      </c>
      <c r="Q643">
        <v>2400</v>
      </c>
      <c r="R643" t="s">
        <v>2088</v>
      </c>
    </row>
    <row r="644" spans="1:18" x14ac:dyDescent="0.25">
      <c r="A644">
        <v>2159</v>
      </c>
      <c r="B644" t="s">
        <v>717</v>
      </c>
      <c r="C644" t="s">
        <v>82</v>
      </c>
      <c r="D644" t="str">
        <f t="shared" si="30"/>
        <v>Barrett Sawyer</v>
      </c>
      <c r="E644" t="s">
        <v>1208</v>
      </c>
      <c r="F644" s="1">
        <v>45529</v>
      </c>
      <c r="G644" s="32" t="str">
        <f t="shared" si="31"/>
        <v>Aug</v>
      </c>
      <c r="H644">
        <v>1</v>
      </c>
      <c r="I644" t="str">
        <f t="shared" si="32"/>
        <v>Bronze</v>
      </c>
      <c r="J644" t="s">
        <v>14</v>
      </c>
      <c r="K644" s="17">
        <v>93051</v>
      </c>
      <c r="L644" s="17" t="s">
        <v>1222</v>
      </c>
      <c r="M644" t="s">
        <v>2252</v>
      </c>
      <c r="N644" t="s">
        <v>1231</v>
      </c>
      <c r="O644">
        <v>4870</v>
      </c>
      <c r="P644">
        <v>800</v>
      </c>
      <c r="Q644">
        <v>800</v>
      </c>
      <c r="R644" t="s">
        <v>2177</v>
      </c>
    </row>
    <row r="645" spans="1:18" x14ac:dyDescent="0.25">
      <c r="A645">
        <v>1267</v>
      </c>
      <c r="B645" t="s">
        <v>91</v>
      </c>
      <c r="C645" t="s">
        <v>92</v>
      </c>
      <c r="D645" t="str">
        <f t="shared" si="30"/>
        <v>Foster Layla</v>
      </c>
      <c r="E645" t="s">
        <v>1249</v>
      </c>
      <c r="F645" s="1">
        <v>45530</v>
      </c>
      <c r="G645" s="32" t="str">
        <f t="shared" si="31"/>
        <v>Aug</v>
      </c>
      <c r="H645">
        <v>2</v>
      </c>
      <c r="I645" t="str">
        <f t="shared" si="32"/>
        <v>Silver</v>
      </c>
      <c r="J645" t="s">
        <v>18</v>
      </c>
      <c r="K645" s="17">
        <v>65566</v>
      </c>
      <c r="L645" s="17" t="s">
        <v>1233</v>
      </c>
      <c r="M645" t="s">
        <v>2255</v>
      </c>
      <c r="N645" t="s">
        <v>1234</v>
      </c>
      <c r="O645">
        <v>800</v>
      </c>
      <c r="P645">
        <v>1200</v>
      </c>
      <c r="Q645">
        <v>2400</v>
      </c>
      <c r="R645" t="s">
        <v>1283</v>
      </c>
    </row>
    <row r="646" spans="1:18" x14ac:dyDescent="0.25">
      <c r="A646">
        <v>1679</v>
      </c>
      <c r="B646" t="s">
        <v>697</v>
      </c>
      <c r="C646" t="s">
        <v>179</v>
      </c>
      <c r="D646" t="str">
        <f t="shared" si="30"/>
        <v>Kim Ari</v>
      </c>
      <c r="E646" t="s">
        <v>1203</v>
      </c>
      <c r="F646" s="1">
        <v>45530</v>
      </c>
      <c r="G646" s="32" t="str">
        <f t="shared" si="31"/>
        <v>Aug</v>
      </c>
      <c r="H646">
        <v>1</v>
      </c>
      <c r="I646" t="str">
        <f t="shared" si="32"/>
        <v>Bronze</v>
      </c>
      <c r="J646" t="s">
        <v>14</v>
      </c>
      <c r="K646" s="17">
        <v>30763</v>
      </c>
      <c r="L646" s="17" t="s">
        <v>1233</v>
      </c>
      <c r="M646" t="s">
        <v>2252</v>
      </c>
      <c r="N646" t="s">
        <v>1239</v>
      </c>
      <c r="O646">
        <v>870</v>
      </c>
      <c r="P646">
        <v>600</v>
      </c>
      <c r="Q646">
        <v>600</v>
      </c>
      <c r="R646" t="s">
        <v>1696</v>
      </c>
    </row>
    <row r="647" spans="1:18" x14ac:dyDescent="0.25">
      <c r="A647">
        <v>1929</v>
      </c>
      <c r="B647" t="s">
        <v>960</v>
      </c>
      <c r="C647" t="s">
        <v>961</v>
      </c>
      <c r="D647" t="str">
        <f t="shared" si="30"/>
        <v>Ortiz Gracie</v>
      </c>
      <c r="E647" t="s">
        <v>1205</v>
      </c>
      <c r="F647" s="1">
        <v>45530</v>
      </c>
      <c r="G647" s="32" t="str">
        <f t="shared" si="31"/>
        <v>Aug</v>
      </c>
      <c r="H647">
        <v>3</v>
      </c>
      <c r="I647" t="str">
        <f t="shared" si="32"/>
        <v>Gold</v>
      </c>
      <c r="J647" t="s">
        <v>14</v>
      </c>
      <c r="K647" s="17">
        <v>56209</v>
      </c>
      <c r="L647" s="17" t="s">
        <v>1222</v>
      </c>
      <c r="M647" t="s">
        <v>2253</v>
      </c>
      <c r="N647" t="s">
        <v>1223</v>
      </c>
      <c r="O647">
        <v>4217</v>
      </c>
      <c r="P647">
        <v>250</v>
      </c>
      <c r="Q647">
        <v>750</v>
      </c>
      <c r="R647" t="s">
        <v>1946</v>
      </c>
    </row>
    <row r="648" spans="1:18" x14ac:dyDescent="0.25">
      <c r="A648">
        <v>2039</v>
      </c>
      <c r="B648" t="s">
        <v>984</v>
      </c>
      <c r="C648" t="s">
        <v>428</v>
      </c>
      <c r="D648" t="str">
        <f t="shared" si="30"/>
        <v>Jacobson Cataleya</v>
      </c>
      <c r="E648" t="s">
        <v>1203</v>
      </c>
      <c r="F648" s="1">
        <v>45530</v>
      </c>
      <c r="G648" s="32" t="str">
        <f t="shared" si="31"/>
        <v>Aug</v>
      </c>
      <c r="H648">
        <v>3</v>
      </c>
      <c r="I648" t="str">
        <f t="shared" si="32"/>
        <v>Gold</v>
      </c>
      <c r="J648" t="s">
        <v>1242</v>
      </c>
      <c r="K648" s="17">
        <v>8746</v>
      </c>
      <c r="L648" s="17" t="s">
        <v>1222</v>
      </c>
      <c r="M648" t="s">
        <v>2255</v>
      </c>
      <c r="N648" t="s">
        <v>1223</v>
      </c>
      <c r="O648">
        <v>4217</v>
      </c>
      <c r="P648">
        <v>600</v>
      </c>
      <c r="Q648">
        <v>1800</v>
      </c>
      <c r="R648" t="s">
        <v>2056</v>
      </c>
    </row>
    <row r="649" spans="1:18" x14ac:dyDescent="0.25">
      <c r="A649">
        <v>2116</v>
      </c>
      <c r="B649" t="s">
        <v>1114</v>
      </c>
      <c r="C649" t="s">
        <v>1115</v>
      </c>
      <c r="D649" t="str">
        <f t="shared" si="30"/>
        <v>Atkinson Jose</v>
      </c>
      <c r="E649" t="s">
        <v>1249</v>
      </c>
      <c r="F649" s="1">
        <v>45530</v>
      </c>
      <c r="G649" s="32" t="str">
        <f t="shared" si="31"/>
        <v>Aug</v>
      </c>
      <c r="H649">
        <v>2</v>
      </c>
      <c r="I649" t="str">
        <f t="shared" si="32"/>
        <v>Silver</v>
      </c>
      <c r="J649" t="s">
        <v>14</v>
      </c>
      <c r="K649" s="17">
        <v>37369</v>
      </c>
      <c r="L649" s="17" t="s">
        <v>1218</v>
      </c>
      <c r="M649" t="s">
        <v>2256</v>
      </c>
      <c r="N649" t="s">
        <v>836</v>
      </c>
      <c r="O649">
        <v>2000</v>
      </c>
      <c r="P649">
        <v>1200</v>
      </c>
      <c r="Q649">
        <v>2400</v>
      </c>
      <c r="R649" t="s">
        <v>2134</v>
      </c>
    </row>
    <row r="650" spans="1:18" x14ac:dyDescent="0.25">
      <c r="A650">
        <v>1287</v>
      </c>
      <c r="B650" t="s">
        <v>95</v>
      </c>
      <c r="C650" t="s">
        <v>130</v>
      </c>
      <c r="D650" t="str">
        <f t="shared" si="30"/>
        <v>Morris Mariana</v>
      </c>
      <c r="E650" t="s">
        <v>1208</v>
      </c>
      <c r="F650" s="1">
        <v>45531</v>
      </c>
      <c r="G650" s="32" t="str">
        <f t="shared" si="31"/>
        <v>Aug</v>
      </c>
      <c r="H650">
        <v>3</v>
      </c>
      <c r="I650" t="str">
        <f t="shared" si="32"/>
        <v>Gold</v>
      </c>
      <c r="J650" t="s">
        <v>1242</v>
      </c>
      <c r="K650" s="17">
        <v>64859</v>
      </c>
      <c r="L650" s="17" t="s">
        <v>1233</v>
      </c>
      <c r="M650" t="s">
        <v>2254</v>
      </c>
      <c r="N650" t="s">
        <v>1239</v>
      </c>
      <c r="O650">
        <v>870</v>
      </c>
      <c r="P650">
        <v>800</v>
      </c>
      <c r="Q650">
        <v>2400</v>
      </c>
      <c r="R650" t="s">
        <v>1303</v>
      </c>
    </row>
    <row r="651" spans="1:18" x14ac:dyDescent="0.25">
      <c r="A651">
        <v>1469</v>
      </c>
      <c r="B651" t="s">
        <v>321</v>
      </c>
      <c r="C651" t="s">
        <v>429</v>
      </c>
      <c r="D651" t="str">
        <f t="shared" si="30"/>
        <v>Jordan Daisy</v>
      </c>
      <c r="E651" t="s">
        <v>1203</v>
      </c>
      <c r="F651" s="1">
        <v>45531</v>
      </c>
      <c r="G651" s="32" t="str">
        <f t="shared" si="31"/>
        <v>Aug</v>
      </c>
      <c r="H651">
        <v>2</v>
      </c>
      <c r="I651" t="str">
        <f t="shared" si="32"/>
        <v>Silver</v>
      </c>
      <c r="J651" t="s">
        <v>18</v>
      </c>
      <c r="K651" s="17">
        <v>16299</v>
      </c>
      <c r="L651" s="17" t="s">
        <v>1233</v>
      </c>
      <c r="M651" t="s">
        <v>2253</v>
      </c>
      <c r="N651" t="s">
        <v>1234</v>
      </c>
      <c r="O651">
        <v>800</v>
      </c>
      <c r="P651">
        <v>600</v>
      </c>
      <c r="Q651">
        <v>1200</v>
      </c>
      <c r="R651" t="s">
        <v>1485</v>
      </c>
    </row>
    <row r="652" spans="1:18" x14ac:dyDescent="0.25">
      <c r="A652">
        <v>1759</v>
      </c>
      <c r="B652" t="s">
        <v>786</v>
      </c>
      <c r="C652" t="s">
        <v>16</v>
      </c>
      <c r="D652" t="str">
        <f t="shared" si="30"/>
        <v>Carter Brian</v>
      </c>
      <c r="E652" t="s">
        <v>1207</v>
      </c>
      <c r="F652" s="1">
        <v>45531</v>
      </c>
      <c r="G652" s="32" t="str">
        <f t="shared" si="31"/>
        <v>Aug</v>
      </c>
      <c r="H652">
        <v>3</v>
      </c>
      <c r="I652" t="str">
        <f t="shared" si="32"/>
        <v>Gold</v>
      </c>
      <c r="J652" t="s">
        <v>18</v>
      </c>
      <c r="K652" s="17">
        <v>5205</v>
      </c>
      <c r="L652" s="17" t="s">
        <v>1222</v>
      </c>
      <c r="M652" t="s">
        <v>2252</v>
      </c>
      <c r="N652" t="s">
        <v>1237</v>
      </c>
      <c r="O652">
        <v>4000</v>
      </c>
      <c r="P652">
        <v>250</v>
      </c>
      <c r="Q652">
        <v>750</v>
      </c>
      <c r="R652" t="s">
        <v>1776</v>
      </c>
    </row>
    <row r="653" spans="1:18" x14ac:dyDescent="0.25">
      <c r="A653">
        <v>2107</v>
      </c>
      <c r="B653" t="s">
        <v>715</v>
      </c>
      <c r="C653" t="s">
        <v>1104</v>
      </c>
      <c r="D653" t="str">
        <f t="shared" si="30"/>
        <v>Best Francesca</v>
      </c>
      <c r="E653" t="s">
        <v>1205</v>
      </c>
      <c r="F653" s="1">
        <v>45531</v>
      </c>
      <c r="G653" s="32" t="str">
        <f t="shared" si="31"/>
        <v>Aug</v>
      </c>
      <c r="H653">
        <v>3</v>
      </c>
      <c r="I653" t="str">
        <f t="shared" si="32"/>
        <v>Gold</v>
      </c>
      <c r="J653" t="s">
        <v>1243</v>
      </c>
      <c r="K653" s="17">
        <v>29374</v>
      </c>
      <c r="L653" s="17" t="s">
        <v>1216</v>
      </c>
      <c r="M653" t="s">
        <v>2254</v>
      </c>
      <c r="N653" t="s">
        <v>1217</v>
      </c>
      <c r="O653">
        <v>2600</v>
      </c>
      <c r="P653">
        <v>250</v>
      </c>
      <c r="Q653">
        <v>750</v>
      </c>
      <c r="R653" t="s">
        <v>2125</v>
      </c>
    </row>
    <row r="654" spans="1:18" x14ac:dyDescent="0.25">
      <c r="A654">
        <v>2142</v>
      </c>
      <c r="B654" t="s">
        <v>1141</v>
      </c>
      <c r="C654" t="s">
        <v>491</v>
      </c>
      <c r="D654" t="str">
        <f t="shared" si="30"/>
        <v>Whitaker Charlotte</v>
      </c>
      <c r="E654" t="s">
        <v>1207</v>
      </c>
      <c r="F654" s="1">
        <v>45531</v>
      </c>
      <c r="G654" s="32" t="str">
        <f t="shared" si="31"/>
        <v>Aug</v>
      </c>
      <c r="H654">
        <v>3</v>
      </c>
      <c r="I654" t="str">
        <f t="shared" si="32"/>
        <v>Gold</v>
      </c>
      <c r="J654" t="s">
        <v>14</v>
      </c>
      <c r="K654" s="17">
        <v>79152</v>
      </c>
      <c r="L654" s="17" t="s">
        <v>1224</v>
      </c>
      <c r="M654" t="s">
        <v>2253</v>
      </c>
      <c r="N654" t="s">
        <v>1238</v>
      </c>
      <c r="O654">
        <v>5600</v>
      </c>
      <c r="P654">
        <v>250</v>
      </c>
      <c r="Q654">
        <v>750</v>
      </c>
      <c r="R654" t="s">
        <v>2160</v>
      </c>
    </row>
    <row r="655" spans="1:18" x14ac:dyDescent="0.25">
      <c r="A655">
        <v>1357</v>
      </c>
      <c r="B655" t="s">
        <v>250</v>
      </c>
      <c r="C655" t="s">
        <v>251</v>
      </c>
      <c r="D655" t="str">
        <f t="shared" si="30"/>
        <v>Kemp Amy</v>
      </c>
      <c r="E655" t="s">
        <v>1205</v>
      </c>
      <c r="F655" s="1">
        <v>45532</v>
      </c>
      <c r="G655" s="32" t="str">
        <f t="shared" si="31"/>
        <v>Aug</v>
      </c>
      <c r="H655">
        <v>1</v>
      </c>
      <c r="I655" t="str">
        <f t="shared" si="32"/>
        <v>Bronze</v>
      </c>
      <c r="J655" t="s">
        <v>14</v>
      </c>
      <c r="K655" s="17">
        <v>76983</v>
      </c>
      <c r="L655" s="17" t="s">
        <v>1214</v>
      </c>
      <c r="M655" t="s">
        <v>2252</v>
      </c>
      <c r="N655" t="s">
        <v>1227</v>
      </c>
      <c r="O655">
        <v>6160</v>
      </c>
      <c r="P655">
        <v>250</v>
      </c>
      <c r="Q655">
        <v>250</v>
      </c>
      <c r="R655" t="s">
        <v>1373</v>
      </c>
    </row>
    <row r="656" spans="1:18" x14ac:dyDescent="0.25">
      <c r="A656">
        <v>1309</v>
      </c>
      <c r="B656" t="s">
        <v>169</v>
      </c>
      <c r="C656" t="s">
        <v>170</v>
      </c>
      <c r="D656" t="str">
        <f t="shared" si="30"/>
        <v>Rubio Tatum</v>
      </c>
      <c r="E656" t="s">
        <v>1205</v>
      </c>
      <c r="F656" s="1">
        <v>45533</v>
      </c>
      <c r="G656" s="32" t="str">
        <f t="shared" si="31"/>
        <v>Aug</v>
      </c>
      <c r="H656">
        <v>2</v>
      </c>
      <c r="I656" t="str">
        <f t="shared" si="32"/>
        <v>Silver</v>
      </c>
      <c r="J656" t="s">
        <v>14</v>
      </c>
      <c r="K656" s="17">
        <v>13507</v>
      </c>
      <c r="L656" s="17" t="s">
        <v>1220</v>
      </c>
      <c r="M656" t="s">
        <v>2254</v>
      </c>
      <c r="N656" t="s">
        <v>1226</v>
      </c>
      <c r="O656">
        <v>3220</v>
      </c>
      <c r="P656">
        <v>250</v>
      </c>
      <c r="Q656">
        <v>500</v>
      </c>
      <c r="R656" t="s">
        <v>1325</v>
      </c>
    </row>
    <row r="657" spans="1:18" x14ac:dyDescent="0.25">
      <c r="A657">
        <v>2124</v>
      </c>
      <c r="B657" t="s">
        <v>146</v>
      </c>
      <c r="C657" t="s">
        <v>1123</v>
      </c>
      <c r="D657" t="str">
        <f t="shared" si="30"/>
        <v>Bentley Royalty</v>
      </c>
      <c r="E657" t="s">
        <v>1205</v>
      </c>
      <c r="F657" s="1">
        <v>45533</v>
      </c>
      <c r="G657" s="32" t="str">
        <f t="shared" si="31"/>
        <v>Aug</v>
      </c>
      <c r="H657">
        <v>2</v>
      </c>
      <c r="I657" t="str">
        <f t="shared" si="32"/>
        <v>Silver</v>
      </c>
      <c r="J657" t="s">
        <v>1242</v>
      </c>
      <c r="K657" s="17">
        <v>39992</v>
      </c>
      <c r="L657" s="17" t="s">
        <v>1214</v>
      </c>
      <c r="M657" t="s">
        <v>2255</v>
      </c>
      <c r="N657" t="s">
        <v>1227</v>
      </c>
      <c r="O657">
        <v>6160</v>
      </c>
      <c r="P657">
        <v>250</v>
      </c>
      <c r="Q657">
        <v>500</v>
      </c>
      <c r="R657" t="s">
        <v>2142</v>
      </c>
    </row>
    <row r="658" spans="1:18" x14ac:dyDescent="0.25">
      <c r="A658">
        <v>1892</v>
      </c>
      <c r="B658" t="s">
        <v>923</v>
      </c>
      <c r="C658" t="s">
        <v>924</v>
      </c>
      <c r="D658" t="str">
        <f t="shared" si="30"/>
        <v>Patton Allie</v>
      </c>
      <c r="E658" t="s">
        <v>1203</v>
      </c>
      <c r="F658" s="1">
        <v>45534</v>
      </c>
      <c r="G658" s="32" t="str">
        <f t="shared" si="31"/>
        <v>Aug</v>
      </c>
      <c r="H658">
        <v>2</v>
      </c>
      <c r="I658" t="str">
        <f t="shared" si="32"/>
        <v>Silver</v>
      </c>
      <c r="J658" t="s">
        <v>1242</v>
      </c>
      <c r="K658" s="17">
        <v>37668</v>
      </c>
      <c r="L658" s="17" t="s">
        <v>1218</v>
      </c>
      <c r="M658" t="s">
        <v>2254</v>
      </c>
      <c r="N658" t="s">
        <v>1235</v>
      </c>
      <c r="O658">
        <v>2500</v>
      </c>
      <c r="P658">
        <v>600</v>
      </c>
      <c r="Q658">
        <v>1200</v>
      </c>
      <c r="R658" t="s">
        <v>1909</v>
      </c>
    </row>
    <row r="659" spans="1:18" x14ac:dyDescent="0.25">
      <c r="A659">
        <v>1440</v>
      </c>
      <c r="B659" t="s">
        <v>384</v>
      </c>
      <c r="C659" t="s">
        <v>218</v>
      </c>
      <c r="D659" t="str">
        <f t="shared" si="30"/>
        <v>Allen Dakota</v>
      </c>
      <c r="E659" t="s">
        <v>1249</v>
      </c>
      <c r="F659" s="1">
        <v>45535</v>
      </c>
      <c r="G659" s="32" t="str">
        <f t="shared" si="31"/>
        <v>Aug</v>
      </c>
      <c r="H659">
        <v>3</v>
      </c>
      <c r="I659" t="str">
        <f t="shared" si="32"/>
        <v>Gold</v>
      </c>
      <c r="J659" t="s">
        <v>18</v>
      </c>
      <c r="K659" s="17">
        <v>19470</v>
      </c>
      <c r="L659" s="17" t="s">
        <v>1214</v>
      </c>
      <c r="M659" t="s">
        <v>2254</v>
      </c>
      <c r="N659" t="s">
        <v>1236</v>
      </c>
      <c r="O659">
        <v>6000</v>
      </c>
      <c r="P659">
        <v>1200</v>
      </c>
      <c r="Q659">
        <v>3600</v>
      </c>
      <c r="R659" t="s">
        <v>1456</v>
      </c>
    </row>
    <row r="660" spans="1:18" x14ac:dyDescent="0.25">
      <c r="A660">
        <v>1542</v>
      </c>
      <c r="B660" t="s">
        <v>526</v>
      </c>
      <c r="C660" t="s">
        <v>527</v>
      </c>
      <c r="D660" t="str">
        <f t="shared" si="30"/>
        <v>Gates Braxton</v>
      </c>
      <c r="E660" t="s">
        <v>1208</v>
      </c>
      <c r="F660" s="1">
        <v>45535</v>
      </c>
      <c r="G660" s="32" t="str">
        <f t="shared" si="31"/>
        <v>Aug</v>
      </c>
      <c r="H660">
        <v>2</v>
      </c>
      <c r="I660" t="str">
        <f t="shared" si="32"/>
        <v>Silver</v>
      </c>
      <c r="J660" t="s">
        <v>14</v>
      </c>
      <c r="K660" s="17">
        <v>22709</v>
      </c>
      <c r="L660" s="17" t="s">
        <v>1233</v>
      </c>
      <c r="M660" t="s">
        <v>2253</v>
      </c>
      <c r="N660" t="s">
        <v>1234</v>
      </c>
      <c r="O660">
        <v>800</v>
      </c>
      <c r="P660">
        <v>800</v>
      </c>
      <c r="Q660">
        <v>1600</v>
      </c>
      <c r="R660" t="s">
        <v>1558</v>
      </c>
    </row>
    <row r="661" spans="1:18" x14ac:dyDescent="0.25">
      <c r="A661">
        <v>1577</v>
      </c>
      <c r="B661" t="s">
        <v>575</v>
      </c>
      <c r="C661" t="s">
        <v>576</v>
      </c>
      <c r="D661" t="str">
        <f t="shared" si="30"/>
        <v>Reeves Ezequiel</v>
      </c>
      <c r="E661" t="s">
        <v>1249</v>
      </c>
      <c r="F661" s="1">
        <v>45535</v>
      </c>
      <c r="G661" s="32" t="str">
        <f t="shared" si="31"/>
        <v>Aug</v>
      </c>
      <c r="H661">
        <v>1</v>
      </c>
      <c r="I661" t="str">
        <f t="shared" si="32"/>
        <v>Bronze</v>
      </c>
      <c r="J661" t="s">
        <v>1242</v>
      </c>
      <c r="K661" s="17">
        <v>36464</v>
      </c>
      <c r="L661" s="17" t="s">
        <v>1220</v>
      </c>
      <c r="M661" t="s">
        <v>2256</v>
      </c>
      <c r="N661" t="s">
        <v>1221</v>
      </c>
      <c r="O661">
        <v>3350</v>
      </c>
      <c r="P661">
        <v>1200</v>
      </c>
      <c r="Q661">
        <v>1200</v>
      </c>
      <c r="R661" t="s">
        <v>1593</v>
      </c>
    </row>
    <row r="662" spans="1:18" x14ac:dyDescent="0.25">
      <c r="A662">
        <v>2066</v>
      </c>
      <c r="B662" t="s">
        <v>582</v>
      </c>
      <c r="C662" t="s">
        <v>172</v>
      </c>
      <c r="D662" t="str">
        <f t="shared" si="30"/>
        <v>Leon Gunner</v>
      </c>
      <c r="E662" t="s">
        <v>1249</v>
      </c>
      <c r="F662" s="1">
        <v>45535</v>
      </c>
      <c r="G662" s="32" t="str">
        <f t="shared" si="31"/>
        <v>Aug</v>
      </c>
      <c r="H662">
        <v>3</v>
      </c>
      <c r="I662" t="str">
        <f t="shared" si="32"/>
        <v>Gold</v>
      </c>
      <c r="J662" t="s">
        <v>1243</v>
      </c>
      <c r="K662" s="17">
        <v>30716</v>
      </c>
      <c r="L662" s="17" t="s">
        <v>1233</v>
      </c>
      <c r="M662" t="s">
        <v>2253</v>
      </c>
      <c r="N662" t="s">
        <v>1234</v>
      </c>
      <c r="O662">
        <v>800</v>
      </c>
      <c r="P662">
        <v>1200</v>
      </c>
      <c r="Q662">
        <v>3600</v>
      </c>
      <c r="R662" t="s">
        <v>2083</v>
      </c>
    </row>
    <row r="663" spans="1:18" x14ac:dyDescent="0.25">
      <c r="A663">
        <v>1268</v>
      </c>
      <c r="B663" t="s">
        <v>93</v>
      </c>
      <c r="C663" t="s">
        <v>94</v>
      </c>
      <c r="D663" t="str">
        <f t="shared" si="30"/>
        <v>Giles Sarai</v>
      </c>
      <c r="E663" t="s">
        <v>1207</v>
      </c>
      <c r="F663" s="1">
        <v>45536</v>
      </c>
      <c r="G663" s="32" t="str">
        <f t="shared" si="31"/>
        <v>Sep</v>
      </c>
      <c r="H663">
        <v>2</v>
      </c>
      <c r="I663" t="str">
        <f t="shared" si="32"/>
        <v>Silver</v>
      </c>
      <c r="J663" t="s">
        <v>14</v>
      </c>
      <c r="K663" s="17">
        <v>22831</v>
      </c>
      <c r="L663" s="17" t="s">
        <v>1224</v>
      </c>
      <c r="M663" t="s">
        <v>2254</v>
      </c>
      <c r="N663" t="s">
        <v>1064</v>
      </c>
      <c r="O663">
        <v>5000</v>
      </c>
      <c r="P663">
        <v>250</v>
      </c>
      <c r="Q663">
        <v>500</v>
      </c>
      <c r="R663" t="s">
        <v>1284</v>
      </c>
    </row>
    <row r="664" spans="1:18" x14ac:dyDescent="0.25">
      <c r="A664">
        <v>1622</v>
      </c>
      <c r="B664" t="s">
        <v>626</v>
      </c>
      <c r="C664" t="s">
        <v>134</v>
      </c>
      <c r="D664" t="str">
        <f t="shared" si="30"/>
        <v>Stuart Molly</v>
      </c>
      <c r="E664" t="s">
        <v>1203</v>
      </c>
      <c r="F664" s="1">
        <v>45536</v>
      </c>
      <c r="G664" s="32" t="str">
        <f t="shared" si="31"/>
        <v>Sep</v>
      </c>
      <c r="H664">
        <v>3</v>
      </c>
      <c r="I664" t="str">
        <f t="shared" si="32"/>
        <v>Gold</v>
      </c>
      <c r="J664" t="s">
        <v>1242</v>
      </c>
      <c r="K664" s="17">
        <v>99293</v>
      </c>
      <c r="L664" s="17" t="s">
        <v>1224</v>
      </c>
      <c r="M664" t="s">
        <v>2253</v>
      </c>
      <c r="N664" t="s">
        <v>1238</v>
      </c>
      <c r="O664">
        <v>5600</v>
      </c>
      <c r="P664">
        <v>600</v>
      </c>
      <c r="Q664">
        <v>1800</v>
      </c>
      <c r="R664" t="s">
        <v>1639</v>
      </c>
    </row>
    <row r="665" spans="1:18" x14ac:dyDescent="0.25">
      <c r="A665">
        <v>1487</v>
      </c>
      <c r="B665" t="s">
        <v>387</v>
      </c>
      <c r="C665" t="s">
        <v>458</v>
      </c>
      <c r="D665" t="str">
        <f t="shared" si="30"/>
        <v>Blankenship Jade</v>
      </c>
      <c r="E665" t="s">
        <v>1248</v>
      </c>
      <c r="F665" s="1">
        <v>45537</v>
      </c>
      <c r="G665" s="32" t="str">
        <f t="shared" si="31"/>
        <v>Sep</v>
      </c>
      <c r="H665">
        <v>3</v>
      </c>
      <c r="I665" t="str">
        <f t="shared" si="32"/>
        <v>Gold</v>
      </c>
      <c r="J665" t="s">
        <v>14</v>
      </c>
      <c r="K665" s="17">
        <v>3101</v>
      </c>
      <c r="L665" s="17" t="s">
        <v>1220</v>
      </c>
      <c r="M665" t="s">
        <v>2252</v>
      </c>
      <c r="N665" t="s">
        <v>1221</v>
      </c>
      <c r="O665">
        <v>3350</v>
      </c>
      <c r="P665">
        <v>300</v>
      </c>
      <c r="Q665">
        <v>900</v>
      </c>
      <c r="R665" t="s">
        <v>1503</v>
      </c>
    </row>
    <row r="666" spans="1:18" x14ac:dyDescent="0.25">
      <c r="A666">
        <v>1977</v>
      </c>
      <c r="B666" t="s">
        <v>868</v>
      </c>
      <c r="C666" t="s">
        <v>996</v>
      </c>
      <c r="D666" t="str">
        <f t="shared" si="30"/>
        <v>Craig Ayden</v>
      </c>
      <c r="E666" t="s">
        <v>1205</v>
      </c>
      <c r="F666" s="1">
        <v>45537</v>
      </c>
      <c r="G666" s="32" t="str">
        <f t="shared" si="31"/>
        <v>Sep</v>
      </c>
      <c r="H666">
        <v>2</v>
      </c>
      <c r="I666" t="str">
        <f t="shared" si="32"/>
        <v>Silver</v>
      </c>
      <c r="J666" t="s">
        <v>1242</v>
      </c>
      <c r="K666" s="17">
        <v>6350</v>
      </c>
      <c r="L666" s="17" t="s">
        <v>1216</v>
      </c>
      <c r="M666" t="s">
        <v>2252</v>
      </c>
      <c r="N666" t="s">
        <v>1217</v>
      </c>
      <c r="O666">
        <v>2600</v>
      </c>
      <c r="P666">
        <v>250</v>
      </c>
      <c r="Q666">
        <v>500</v>
      </c>
      <c r="R666" t="s">
        <v>1994</v>
      </c>
    </row>
    <row r="667" spans="1:18" x14ac:dyDescent="0.25">
      <c r="A667">
        <v>1630</v>
      </c>
      <c r="B667" t="s">
        <v>515</v>
      </c>
      <c r="C667" t="s">
        <v>635</v>
      </c>
      <c r="D667" t="str">
        <f t="shared" si="30"/>
        <v>Flowers Kali</v>
      </c>
      <c r="E667" t="s">
        <v>1203</v>
      </c>
      <c r="F667" s="1">
        <v>45538</v>
      </c>
      <c r="G667" s="32" t="str">
        <f t="shared" si="31"/>
        <v>Sep</v>
      </c>
      <c r="H667">
        <v>3</v>
      </c>
      <c r="I667" t="str">
        <f t="shared" si="32"/>
        <v>Gold</v>
      </c>
      <c r="J667" t="s">
        <v>1242</v>
      </c>
      <c r="K667" s="17">
        <v>86013</v>
      </c>
      <c r="L667" s="17" t="s">
        <v>1214</v>
      </c>
      <c r="M667" t="s">
        <v>2254</v>
      </c>
      <c r="N667" t="s">
        <v>1215</v>
      </c>
      <c r="O667">
        <v>6725</v>
      </c>
      <c r="P667">
        <v>600</v>
      </c>
      <c r="Q667">
        <v>1800</v>
      </c>
      <c r="R667" t="s">
        <v>1647</v>
      </c>
    </row>
    <row r="668" spans="1:18" x14ac:dyDescent="0.25">
      <c r="A668">
        <v>1508</v>
      </c>
      <c r="B668" t="s">
        <v>101</v>
      </c>
      <c r="C668" t="s">
        <v>204</v>
      </c>
      <c r="D668" t="str">
        <f t="shared" si="30"/>
        <v>Sharp Austin</v>
      </c>
      <c r="E668" t="s">
        <v>1249</v>
      </c>
      <c r="F668" s="1">
        <v>45539</v>
      </c>
      <c r="G668" s="32" t="str">
        <f t="shared" si="31"/>
        <v>Sep</v>
      </c>
      <c r="H668">
        <v>1</v>
      </c>
      <c r="I668" t="str">
        <f t="shared" si="32"/>
        <v>Bronze</v>
      </c>
      <c r="J668" t="s">
        <v>14</v>
      </c>
      <c r="K668" s="17">
        <v>88665</v>
      </c>
      <c r="L668" s="17" t="s">
        <v>1222</v>
      </c>
      <c r="M668" t="s">
        <v>2253</v>
      </c>
      <c r="N668" t="s">
        <v>1231</v>
      </c>
      <c r="O668">
        <v>4870</v>
      </c>
      <c r="P668">
        <v>1200</v>
      </c>
      <c r="Q668">
        <v>1200</v>
      </c>
      <c r="R668" t="s">
        <v>1524</v>
      </c>
    </row>
    <row r="669" spans="1:18" x14ac:dyDescent="0.25">
      <c r="A669">
        <v>1893</v>
      </c>
      <c r="B669" t="s">
        <v>154</v>
      </c>
      <c r="C669" t="s">
        <v>466</v>
      </c>
      <c r="D669" t="str">
        <f t="shared" si="30"/>
        <v>Guerra Ryker</v>
      </c>
      <c r="E669" t="s">
        <v>1203</v>
      </c>
      <c r="F669" s="1">
        <v>45539</v>
      </c>
      <c r="G669" s="32" t="str">
        <f t="shared" si="31"/>
        <v>Sep</v>
      </c>
      <c r="H669">
        <v>1</v>
      </c>
      <c r="I669" t="str">
        <f t="shared" si="32"/>
        <v>Bronze</v>
      </c>
      <c r="J669" t="s">
        <v>1243</v>
      </c>
      <c r="K669" s="17">
        <v>92896</v>
      </c>
      <c r="L669" s="17" t="s">
        <v>1222</v>
      </c>
      <c r="M669" t="s">
        <v>2256</v>
      </c>
      <c r="N669" t="s">
        <v>1223</v>
      </c>
      <c r="O669">
        <v>4217</v>
      </c>
      <c r="P669">
        <v>600</v>
      </c>
      <c r="Q669">
        <v>600</v>
      </c>
      <c r="R669" t="s">
        <v>1910</v>
      </c>
    </row>
    <row r="670" spans="1:18" x14ac:dyDescent="0.25">
      <c r="A670">
        <v>2029</v>
      </c>
      <c r="B670" t="s">
        <v>1037</v>
      </c>
      <c r="C670" t="s">
        <v>1038</v>
      </c>
      <c r="D670" t="str">
        <f t="shared" si="30"/>
        <v>Osborne Salem</v>
      </c>
      <c r="E670" t="s">
        <v>1205</v>
      </c>
      <c r="F670" s="1">
        <v>45539</v>
      </c>
      <c r="G670" s="32" t="str">
        <f t="shared" si="31"/>
        <v>Sep</v>
      </c>
      <c r="H670">
        <v>3</v>
      </c>
      <c r="I670" t="str">
        <f t="shared" si="32"/>
        <v>Gold</v>
      </c>
      <c r="J670" t="s">
        <v>1242</v>
      </c>
      <c r="K670" s="17">
        <v>68207</v>
      </c>
      <c r="L670" s="17" t="s">
        <v>1214</v>
      </c>
      <c r="M670" t="s">
        <v>2254</v>
      </c>
      <c r="N670" t="s">
        <v>1227</v>
      </c>
      <c r="O670">
        <v>6160</v>
      </c>
      <c r="P670">
        <v>250</v>
      </c>
      <c r="Q670">
        <v>750</v>
      </c>
      <c r="R670" t="s">
        <v>2046</v>
      </c>
    </row>
    <row r="671" spans="1:18" x14ac:dyDescent="0.25">
      <c r="A671">
        <v>1295</v>
      </c>
      <c r="B671" t="s">
        <v>143</v>
      </c>
      <c r="C671" t="s">
        <v>144</v>
      </c>
      <c r="D671" t="str">
        <f t="shared" si="30"/>
        <v>Watts Bailey</v>
      </c>
      <c r="E671" t="s">
        <v>1203</v>
      </c>
      <c r="F671" s="1">
        <v>45540</v>
      </c>
      <c r="G671" s="32" t="str">
        <f t="shared" si="31"/>
        <v>Sep</v>
      </c>
      <c r="H671">
        <v>3</v>
      </c>
      <c r="I671" t="str">
        <f t="shared" si="32"/>
        <v>Gold</v>
      </c>
      <c r="J671" t="s">
        <v>1242</v>
      </c>
      <c r="K671" s="17">
        <v>6565</v>
      </c>
      <c r="L671" s="17" t="s">
        <v>1218</v>
      </c>
      <c r="M671" t="s">
        <v>2253</v>
      </c>
      <c r="N671" t="s">
        <v>1219</v>
      </c>
      <c r="O671">
        <v>2300</v>
      </c>
      <c r="P671">
        <v>600</v>
      </c>
      <c r="Q671">
        <v>1800</v>
      </c>
      <c r="R671" t="s">
        <v>1311</v>
      </c>
    </row>
    <row r="672" spans="1:18" x14ac:dyDescent="0.25">
      <c r="A672">
        <v>1296</v>
      </c>
      <c r="B672" t="s">
        <v>145</v>
      </c>
      <c r="C672" t="s">
        <v>146</v>
      </c>
      <c r="D672" t="str">
        <f t="shared" si="30"/>
        <v>Russell Bentley</v>
      </c>
      <c r="E672" t="s">
        <v>1207</v>
      </c>
      <c r="F672" s="1">
        <v>45540</v>
      </c>
      <c r="G672" s="32" t="str">
        <f t="shared" si="31"/>
        <v>Sep</v>
      </c>
      <c r="H672">
        <v>1</v>
      </c>
      <c r="I672" t="str">
        <f t="shared" si="32"/>
        <v>Bronze</v>
      </c>
      <c r="J672" t="s">
        <v>14</v>
      </c>
      <c r="K672" s="17">
        <v>48408</v>
      </c>
      <c r="L672" s="17" t="s">
        <v>1222</v>
      </c>
      <c r="M672" t="s">
        <v>2254</v>
      </c>
      <c r="N672" t="s">
        <v>1223</v>
      </c>
      <c r="O672">
        <v>4217</v>
      </c>
      <c r="P672">
        <v>250</v>
      </c>
      <c r="Q672">
        <v>250</v>
      </c>
      <c r="R672" t="s">
        <v>1312</v>
      </c>
    </row>
    <row r="673" spans="1:18" x14ac:dyDescent="0.25">
      <c r="A673">
        <v>1381</v>
      </c>
      <c r="B673" t="s">
        <v>293</v>
      </c>
      <c r="C673" t="s">
        <v>294</v>
      </c>
      <c r="D673" t="str">
        <f t="shared" si="30"/>
        <v>Chavez Cecilia</v>
      </c>
      <c r="E673" t="s">
        <v>1208</v>
      </c>
      <c r="F673" s="1">
        <v>45540</v>
      </c>
      <c r="G673" s="32" t="str">
        <f t="shared" si="31"/>
        <v>Sep</v>
      </c>
      <c r="H673">
        <v>3</v>
      </c>
      <c r="I673" t="str">
        <f t="shared" si="32"/>
        <v>Gold</v>
      </c>
      <c r="J673" t="s">
        <v>1242</v>
      </c>
      <c r="K673" s="17">
        <v>32850</v>
      </c>
      <c r="L673" s="17" t="s">
        <v>1218</v>
      </c>
      <c r="M673" t="s">
        <v>2252</v>
      </c>
      <c r="N673" t="s">
        <v>836</v>
      </c>
      <c r="O673">
        <v>2000</v>
      </c>
      <c r="P673">
        <v>800</v>
      </c>
      <c r="Q673">
        <v>2400</v>
      </c>
      <c r="R673" t="s">
        <v>1397</v>
      </c>
    </row>
    <row r="674" spans="1:18" x14ac:dyDescent="0.25">
      <c r="A674">
        <v>1445</v>
      </c>
      <c r="B674" t="s">
        <v>392</v>
      </c>
      <c r="C674" t="s">
        <v>393</v>
      </c>
      <c r="D674" t="str">
        <f t="shared" si="30"/>
        <v>Stewart Nylah</v>
      </c>
      <c r="E674" t="s">
        <v>1203</v>
      </c>
      <c r="F674" s="1">
        <v>45540</v>
      </c>
      <c r="G674" s="32" t="str">
        <f t="shared" si="31"/>
        <v>Sep</v>
      </c>
      <c r="H674">
        <v>3</v>
      </c>
      <c r="I674" t="str">
        <f t="shared" si="32"/>
        <v>Gold</v>
      </c>
      <c r="J674" t="s">
        <v>1242</v>
      </c>
      <c r="K674" s="17">
        <v>72622</v>
      </c>
      <c r="L674" s="17" t="s">
        <v>1233</v>
      </c>
      <c r="M674" t="s">
        <v>2253</v>
      </c>
      <c r="N674" t="s">
        <v>1239</v>
      </c>
      <c r="O674">
        <v>870</v>
      </c>
      <c r="P674">
        <v>600</v>
      </c>
      <c r="Q674">
        <v>1800</v>
      </c>
      <c r="R674" t="s">
        <v>1461</v>
      </c>
    </row>
    <row r="675" spans="1:18" x14ac:dyDescent="0.25">
      <c r="A675">
        <v>1465</v>
      </c>
      <c r="B675" t="s">
        <v>425</v>
      </c>
      <c r="C675" t="s">
        <v>350</v>
      </c>
      <c r="D675" t="str">
        <f t="shared" si="30"/>
        <v>Ellison Zayn</v>
      </c>
      <c r="E675" t="s">
        <v>1249</v>
      </c>
      <c r="F675" s="1">
        <v>45541</v>
      </c>
      <c r="G675" s="32" t="str">
        <f t="shared" si="31"/>
        <v>Sep</v>
      </c>
      <c r="H675">
        <v>2</v>
      </c>
      <c r="I675" t="str">
        <f t="shared" si="32"/>
        <v>Silver</v>
      </c>
      <c r="J675" t="s">
        <v>1242</v>
      </c>
      <c r="K675" s="17">
        <v>88071</v>
      </c>
      <c r="L675" s="17" t="s">
        <v>1228</v>
      </c>
      <c r="M675" t="s">
        <v>2255</v>
      </c>
      <c r="N675" t="s">
        <v>1240</v>
      </c>
      <c r="O675">
        <v>7310</v>
      </c>
      <c r="P675">
        <v>1200</v>
      </c>
      <c r="Q675">
        <v>2400</v>
      </c>
      <c r="R675" t="s">
        <v>1481</v>
      </c>
    </row>
    <row r="676" spans="1:18" x14ac:dyDescent="0.25">
      <c r="A676">
        <v>1644</v>
      </c>
      <c r="B676" t="s">
        <v>533</v>
      </c>
      <c r="C676" t="s">
        <v>92</v>
      </c>
      <c r="D676" t="str">
        <f t="shared" si="30"/>
        <v>Archer Layla</v>
      </c>
      <c r="E676" t="s">
        <v>1203</v>
      </c>
      <c r="F676" s="1">
        <v>45541</v>
      </c>
      <c r="G676" s="32" t="str">
        <f t="shared" si="31"/>
        <v>Sep</v>
      </c>
      <c r="H676">
        <v>1</v>
      </c>
      <c r="I676" t="str">
        <f t="shared" si="32"/>
        <v>Bronze</v>
      </c>
      <c r="J676" t="s">
        <v>1242</v>
      </c>
      <c r="K676" s="17">
        <v>81710</v>
      </c>
      <c r="L676" s="17" t="s">
        <v>1218</v>
      </c>
      <c r="M676" t="s">
        <v>2256</v>
      </c>
      <c r="N676" t="s">
        <v>1235</v>
      </c>
      <c r="O676">
        <v>2500</v>
      </c>
      <c r="P676">
        <v>600</v>
      </c>
      <c r="Q676">
        <v>600</v>
      </c>
      <c r="R676" t="s">
        <v>1661</v>
      </c>
    </row>
    <row r="677" spans="1:18" x14ac:dyDescent="0.25">
      <c r="A677">
        <v>1849</v>
      </c>
      <c r="B677" t="s">
        <v>877</v>
      </c>
      <c r="C677" t="s">
        <v>477</v>
      </c>
      <c r="D677" t="str">
        <f t="shared" si="30"/>
        <v>Love Elsie</v>
      </c>
      <c r="E677" t="s">
        <v>1207</v>
      </c>
      <c r="F677" s="1">
        <v>45541</v>
      </c>
      <c r="G677" s="32" t="str">
        <f t="shared" si="31"/>
        <v>Sep</v>
      </c>
      <c r="H677">
        <v>2</v>
      </c>
      <c r="I677" t="str">
        <f t="shared" si="32"/>
        <v>Silver</v>
      </c>
      <c r="J677" t="s">
        <v>1243</v>
      </c>
      <c r="K677" s="17">
        <v>59764</v>
      </c>
      <c r="L677" s="17" t="s">
        <v>1224</v>
      </c>
      <c r="M677" t="s">
        <v>2256</v>
      </c>
      <c r="N677" t="s">
        <v>1225</v>
      </c>
      <c r="O677">
        <v>5290</v>
      </c>
      <c r="P677">
        <v>250</v>
      </c>
      <c r="Q677">
        <v>500</v>
      </c>
      <c r="R677" t="s">
        <v>1866</v>
      </c>
    </row>
    <row r="678" spans="1:18" x14ac:dyDescent="0.25">
      <c r="A678">
        <v>2201</v>
      </c>
      <c r="B678" t="s">
        <v>629</v>
      </c>
      <c r="C678" t="s">
        <v>1179</v>
      </c>
      <c r="D678" t="str">
        <f t="shared" si="30"/>
        <v>Frost Winter</v>
      </c>
      <c r="E678" t="s">
        <v>1205</v>
      </c>
      <c r="F678" s="1">
        <v>45541</v>
      </c>
      <c r="G678" s="32" t="str">
        <f t="shared" si="31"/>
        <v>Sep</v>
      </c>
      <c r="H678">
        <v>3</v>
      </c>
      <c r="I678" t="str">
        <f t="shared" si="32"/>
        <v>Gold</v>
      </c>
      <c r="J678" t="s">
        <v>14</v>
      </c>
      <c r="K678" s="17">
        <v>45245</v>
      </c>
      <c r="L678" s="17" t="s">
        <v>1222</v>
      </c>
      <c r="M678" t="s">
        <v>2253</v>
      </c>
      <c r="N678" t="s">
        <v>1237</v>
      </c>
      <c r="O678">
        <v>4000</v>
      </c>
      <c r="P678">
        <v>250</v>
      </c>
      <c r="Q678">
        <v>750</v>
      </c>
      <c r="R678" t="s">
        <v>2219</v>
      </c>
    </row>
    <row r="679" spans="1:18" x14ac:dyDescent="0.25">
      <c r="A679">
        <v>1306</v>
      </c>
      <c r="B679" t="s">
        <v>163</v>
      </c>
      <c r="C679" t="s">
        <v>164</v>
      </c>
      <c r="D679" t="str">
        <f t="shared" si="30"/>
        <v>Bautista Parker</v>
      </c>
      <c r="E679" t="s">
        <v>1249</v>
      </c>
      <c r="F679" s="1">
        <v>45542</v>
      </c>
      <c r="G679" s="32" t="str">
        <f t="shared" si="31"/>
        <v>Sep</v>
      </c>
      <c r="H679">
        <v>1</v>
      </c>
      <c r="I679" t="str">
        <f t="shared" si="32"/>
        <v>Bronze</v>
      </c>
      <c r="J679" t="s">
        <v>14</v>
      </c>
      <c r="K679" s="17">
        <v>82031</v>
      </c>
      <c r="L679" s="17" t="s">
        <v>1228</v>
      </c>
      <c r="M679" t="s">
        <v>2253</v>
      </c>
      <c r="N679" t="s">
        <v>1240</v>
      </c>
      <c r="O679">
        <v>7310</v>
      </c>
      <c r="P679">
        <v>1200</v>
      </c>
      <c r="Q679">
        <v>1200</v>
      </c>
      <c r="R679" t="s">
        <v>1322</v>
      </c>
    </row>
    <row r="680" spans="1:18" x14ac:dyDescent="0.25">
      <c r="A680">
        <v>1383</v>
      </c>
      <c r="B680" t="s">
        <v>248</v>
      </c>
      <c r="C680" t="s">
        <v>297</v>
      </c>
      <c r="D680" t="str">
        <f t="shared" si="30"/>
        <v>Johnston Faith</v>
      </c>
      <c r="E680" t="s">
        <v>1248</v>
      </c>
      <c r="F680" s="1">
        <v>45543</v>
      </c>
      <c r="G680" s="32" t="str">
        <f t="shared" si="31"/>
        <v>Sep</v>
      </c>
      <c r="H680">
        <v>3</v>
      </c>
      <c r="I680" t="str">
        <f t="shared" si="32"/>
        <v>Gold</v>
      </c>
      <c r="J680" t="s">
        <v>1242</v>
      </c>
      <c r="K680" s="17">
        <v>84443</v>
      </c>
      <c r="L680" s="17" t="s">
        <v>1218</v>
      </c>
      <c r="M680" t="s">
        <v>2255</v>
      </c>
      <c r="N680" t="s">
        <v>1235</v>
      </c>
      <c r="O680">
        <v>2500</v>
      </c>
      <c r="P680">
        <v>300</v>
      </c>
      <c r="Q680">
        <v>900</v>
      </c>
      <c r="R680" t="s">
        <v>1399</v>
      </c>
    </row>
    <row r="681" spans="1:18" x14ac:dyDescent="0.25">
      <c r="A681">
        <v>1905</v>
      </c>
      <c r="B681" t="s">
        <v>815</v>
      </c>
      <c r="C681" t="s">
        <v>936</v>
      </c>
      <c r="D681" t="str">
        <f t="shared" si="30"/>
        <v>Wheeler Warren</v>
      </c>
      <c r="E681" t="s">
        <v>1249</v>
      </c>
      <c r="F681" s="1">
        <v>45543</v>
      </c>
      <c r="G681" s="32" t="str">
        <f t="shared" si="31"/>
        <v>Sep</v>
      </c>
      <c r="H681">
        <v>2</v>
      </c>
      <c r="I681" t="str">
        <f t="shared" si="32"/>
        <v>Silver</v>
      </c>
      <c r="J681" t="s">
        <v>1242</v>
      </c>
      <c r="K681" s="17">
        <v>68642</v>
      </c>
      <c r="L681" s="17" t="s">
        <v>1216</v>
      </c>
      <c r="M681" t="s">
        <v>2254</v>
      </c>
      <c r="N681" t="s">
        <v>1217</v>
      </c>
      <c r="O681">
        <v>2600</v>
      </c>
      <c r="P681">
        <v>1200</v>
      </c>
      <c r="Q681">
        <v>2400</v>
      </c>
      <c r="R681" t="s">
        <v>1922</v>
      </c>
    </row>
    <row r="682" spans="1:18" x14ac:dyDescent="0.25">
      <c r="A682">
        <v>2043</v>
      </c>
      <c r="B682" t="s">
        <v>1047</v>
      </c>
      <c r="C682" t="s">
        <v>1048</v>
      </c>
      <c r="D682" t="str">
        <f t="shared" si="30"/>
        <v>Dillon Jaxton</v>
      </c>
      <c r="E682" t="s">
        <v>1207</v>
      </c>
      <c r="F682" s="1">
        <v>45543</v>
      </c>
      <c r="G682" s="32" t="str">
        <f t="shared" si="31"/>
        <v>Sep</v>
      </c>
      <c r="H682">
        <v>2</v>
      </c>
      <c r="I682" t="str">
        <f t="shared" si="32"/>
        <v>Silver</v>
      </c>
      <c r="J682" t="s">
        <v>1243</v>
      </c>
      <c r="K682" s="17">
        <v>79862</v>
      </c>
      <c r="L682" s="17" t="s">
        <v>1218</v>
      </c>
      <c r="M682" t="s">
        <v>2255</v>
      </c>
      <c r="N682" t="s">
        <v>1219</v>
      </c>
      <c r="O682">
        <v>2300</v>
      </c>
      <c r="P682">
        <v>250</v>
      </c>
      <c r="Q682">
        <v>500</v>
      </c>
      <c r="R682" t="s">
        <v>2060</v>
      </c>
    </row>
    <row r="683" spans="1:18" x14ac:dyDescent="0.25">
      <c r="A683">
        <v>2076</v>
      </c>
      <c r="B683" t="s">
        <v>1078</v>
      </c>
      <c r="C683" t="s">
        <v>892</v>
      </c>
      <c r="D683" t="str">
        <f t="shared" si="30"/>
        <v>Marshall Cole</v>
      </c>
      <c r="E683" t="s">
        <v>1203</v>
      </c>
      <c r="F683" s="1">
        <v>45543</v>
      </c>
      <c r="G683" s="32" t="str">
        <f t="shared" si="31"/>
        <v>Sep</v>
      </c>
      <c r="H683">
        <v>3</v>
      </c>
      <c r="I683" t="str">
        <f t="shared" si="32"/>
        <v>Gold</v>
      </c>
      <c r="J683" t="s">
        <v>1242</v>
      </c>
      <c r="K683" s="17">
        <v>93541</v>
      </c>
      <c r="L683" s="17" t="s">
        <v>1218</v>
      </c>
      <c r="M683" t="s">
        <v>2254</v>
      </c>
      <c r="N683" t="s">
        <v>1235</v>
      </c>
      <c r="O683">
        <v>2500</v>
      </c>
      <c r="P683">
        <v>600</v>
      </c>
      <c r="Q683">
        <v>1800</v>
      </c>
      <c r="R683" t="s">
        <v>2093</v>
      </c>
    </row>
    <row r="684" spans="1:18" x14ac:dyDescent="0.25">
      <c r="A684">
        <v>2075</v>
      </c>
      <c r="B684" t="s">
        <v>627</v>
      </c>
      <c r="C684" t="s">
        <v>1077</v>
      </c>
      <c r="D684" t="str">
        <f t="shared" si="30"/>
        <v>Burgess Bryson</v>
      </c>
      <c r="E684" t="s">
        <v>1203</v>
      </c>
      <c r="F684" s="1">
        <v>45544</v>
      </c>
      <c r="G684" s="32" t="str">
        <f t="shared" si="31"/>
        <v>Sep</v>
      </c>
      <c r="H684">
        <v>2</v>
      </c>
      <c r="I684" t="str">
        <f t="shared" si="32"/>
        <v>Silver</v>
      </c>
      <c r="J684" t="s">
        <v>18</v>
      </c>
      <c r="K684" s="17">
        <v>90569</v>
      </c>
      <c r="L684" s="17" t="s">
        <v>1233</v>
      </c>
      <c r="M684" t="s">
        <v>2252</v>
      </c>
      <c r="N684" t="s">
        <v>1239</v>
      </c>
      <c r="O684">
        <v>870</v>
      </c>
      <c r="P684">
        <v>600</v>
      </c>
      <c r="Q684">
        <v>1200</v>
      </c>
      <c r="R684" t="s">
        <v>2092</v>
      </c>
    </row>
    <row r="685" spans="1:18" x14ac:dyDescent="0.25">
      <c r="A685">
        <v>1429</v>
      </c>
      <c r="B685" t="s">
        <v>66</v>
      </c>
      <c r="C685" t="s">
        <v>367</v>
      </c>
      <c r="D685" t="str">
        <f t="shared" si="30"/>
        <v>Weaver Hallie</v>
      </c>
      <c r="E685" t="s">
        <v>1249</v>
      </c>
      <c r="F685" s="1">
        <v>45545</v>
      </c>
      <c r="G685" s="32" t="str">
        <f t="shared" si="31"/>
        <v>Sep</v>
      </c>
      <c r="H685">
        <v>3</v>
      </c>
      <c r="I685" t="str">
        <f t="shared" si="32"/>
        <v>Gold</v>
      </c>
      <c r="J685" t="s">
        <v>14</v>
      </c>
      <c r="K685" s="17">
        <v>70998</v>
      </c>
      <c r="L685" s="17" t="s">
        <v>1224</v>
      </c>
      <c r="M685" t="s">
        <v>2254</v>
      </c>
      <c r="N685" t="s">
        <v>1225</v>
      </c>
      <c r="O685">
        <v>5290</v>
      </c>
      <c r="P685">
        <v>1200</v>
      </c>
      <c r="Q685">
        <v>3600</v>
      </c>
      <c r="R685" t="s">
        <v>1445</v>
      </c>
    </row>
    <row r="686" spans="1:18" x14ac:dyDescent="0.25">
      <c r="A686">
        <v>1811</v>
      </c>
      <c r="B686" t="s">
        <v>837</v>
      </c>
      <c r="C686" t="s">
        <v>98</v>
      </c>
      <c r="D686" t="str">
        <f t="shared" si="30"/>
        <v>Wise Aspen</v>
      </c>
      <c r="E686" t="s">
        <v>1205</v>
      </c>
      <c r="F686" s="1">
        <v>45545</v>
      </c>
      <c r="G686" s="32" t="str">
        <f t="shared" si="31"/>
        <v>Sep</v>
      </c>
      <c r="H686">
        <v>2</v>
      </c>
      <c r="I686" t="str">
        <f t="shared" si="32"/>
        <v>Silver</v>
      </c>
      <c r="J686" t="s">
        <v>1242</v>
      </c>
      <c r="K686" s="17">
        <v>39135</v>
      </c>
      <c r="L686" s="17" t="s">
        <v>1222</v>
      </c>
      <c r="M686" t="s">
        <v>2253</v>
      </c>
      <c r="N686" t="s">
        <v>1237</v>
      </c>
      <c r="O686">
        <v>4000</v>
      </c>
      <c r="P686">
        <v>250</v>
      </c>
      <c r="Q686">
        <v>500</v>
      </c>
      <c r="R686" t="s">
        <v>1828</v>
      </c>
    </row>
    <row r="687" spans="1:18" x14ac:dyDescent="0.25">
      <c r="A687">
        <v>1931</v>
      </c>
      <c r="B687" t="s">
        <v>519</v>
      </c>
      <c r="C687" t="s">
        <v>963</v>
      </c>
      <c r="D687" t="str">
        <f t="shared" si="30"/>
        <v>Nash Jaxon</v>
      </c>
      <c r="E687" t="s">
        <v>1208</v>
      </c>
      <c r="F687" s="1">
        <v>45545</v>
      </c>
      <c r="G687" s="32" t="str">
        <f t="shared" si="31"/>
        <v>Sep</v>
      </c>
      <c r="H687">
        <v>2</v>
      </c>
      <c r="I687" t="str">
        <f t="shared" si="32"/>
        <v>Silver</v>
      </c>
      <c r="J687" t="s">
        <v>1242</v>
      </c>
      <c r="K687" s="17">
        <v>18216</v>
      </c>
      <c r="L687" s="17" t="s">
        <v>1220</v>
      </c>
      <c r="M687" t="s">
        <v>2254</v>
      </c>
      <c r="N687" t="s">
        <v>1226</v>
      </c>
      <c r="O687">
        <v>3220</v>
      </c>
      <c r="P687">
        <v>800</v>
      </c>
      <c r="Q687">
        <v>1600</v>
      </c>
      <c r="R687" t="s">
        <v>1948</v>
      </c>
    </row>
    <row r="688" spans="1:18" x14ac:dyDescent="0.25">
      <c r="A688">
        <v>1369</v>
      </c>
      <c r="B688" t="s">
        <v>272</v>
      </c>
      <c r="C688" t="s">
        <v>126</v>
      </c>
      <c r="D688" t="str">
        <f t="shared" si="30"/>
        <v>Montgomery Harvey</v>
      </c>
      <c r="E688" t="s">
        <v>1249</v>
      </c>
      <c r="F688" s="1">
        <v>45546</v>
      </c>
      <c r="G688" s="32" t="str">
        <f t="shared" si="31"/>
        <v>Sep</v>
      </c>
      <c r="H688">
        <v>2</v>
      </c>
      <c r="I688" t="str">
        <f t="shared" si="32"/>
        <v>Silver</v>
      </c>
      <c r="J688" t="s">
        <v>1242</v>
      </c>
      <c r="K688" s="17">
        <v>27793</v>
      </c>
      <c r="L688" s="17" t="s">
        <v>1222</v>
      </c>
      <c r="M688" t="s">
        <v>2254</v>
      </c>
      <c r="N688" t="s">
        <v>1237</v>
      </c>
      <c r="O688">
        <v>4000</v>
      </c>
      <c r="P688">
        <v>1200</v>
      </c>
      <c r="Q688">
        <v>2400</v>
      </c>
      <c r="R688" t="s">
        <v>1385</v>
      </c>
    </row>
    <row r="689" spans="1:18" x14ac:dyDescent="0.25">
      <c r="A689">
        <v>1802</v>
      </c>
      <c r="B689" t="s">
        <v>583</v>
      </c>
      <c r="C689" t="s">
        <v>423</v>
      </c>
      <c r="D689" t="str">
        <f t="shared" si="30"/>
        <v>Elliott Stevie</v>
      </c>
      <c r="E689" t="s">
        <v>1207</v>
      </c>
      <c r="F689" s="1">
        <v>45546</v>
      </c>
      <c r="G689" s="32" t="str">
        <f t="shared" si="31"/>
        <v>Sep</v>
      </c>
      <c r="H689">
        <v>2</v>
      </c>
      <c r="I689" t="str">
        <f t="shared" si="32"/>
        <v>Silver</v>
      </c>
      <c r="J689" t="s">
        <v>14</v>
      </c>
      <c r="K689" s="17">
        <v>33952</v>
      </c>
      <c r="L689" s="17" t="s">
        <v>1233</v>
      </c>
      <c r="M689" t="s">
        <v>2253</v>
      </c>
      <c r="N689" t="s">
        <v>1239</v>
      </c>
      <c r="O689">
        <v>870</v>
      </c>
      <c r="P689">
        <v>250</v>
      </c>
      <c r="Q689">
        <v>500</v>
      </c>
      <c r="R689" t="s">
        <v>1819</v>
      </c>
    </row>
    <row r="690" spans="1:18" x14ac:dyDescent="0.25">
      <c r="A690">
        <v>2030</v>
      </c>
      <c r="B690" t="s">
        <v>679</v>
      </c>
      <c r="C690" t="s">
        <v>696</v>
      </c>
      <c r="D690" t="str">
        <f t="shared" si="30"/>
        <v>Sandoval Brooklynn</v>
      </c>
      <c r="E690" t="s">
        <v>1249</v>
      </c>
      <c r="F690" s="1">
        <v>45546</v>
      </c>
      <c r="G690" s="32" t="str">
        <f t="shared" si="31"/>
        <v>Sep</v>
      </c>
      <c r="H690">
        <v>2</v>
      </c>
      <c r="I690" t="str">
        <f t="shared" si="32"/>
        <v>Silver</v>
      </c>
      <c r="J690" t="s">
        <v>1242</v>
      </c>
      <c r="K690" s="17">
        <v>91393</v>
      </c>
      <c r="L690" s="17" t="s">
        <v>1220</v>
      </c>
      <c r="M690" t="s">
        <v>2254</v>
      </c>
      <c r="N690" t="s">
        <v>1232</v>
      </c>
      <c r="O690">
        <v>3000</v>
      </c>
      <c r="P690">
        <v>1200</v>
      </c>
      <c r="Q690">
        <v>2400</v>
      </c>
      <c r="R690" t="s">
        <v>2047</v>
      </c>
    </row>
    <row r="691" spans="1:18" x14ac:dyDescent="0.25">
      <c r="A691">
        <v>2070</v>
      </c>
      <c r="B691" t="s">
        <v>1074</v>
      </c>
      <c r="C691" t="s">
        <v>47</v>
      </c>
      <c r="D691" t="str">
        <f t="shared" si="30"/>
        <v>Robinson Walter</v>
      </c>
      <c r="E691" t="s">
        <v>1208</v>
      </c>
      <c r="F691" s="1">
        <v>45546</v>
      </c>
      <c r="G691" s="32" t="str">
        <f t="shared" si="31"/>
        <v>Sep</v>
      </c>
      <c r="H691">
        <v>1</v>
      </c>
      <c r="I691" t="str">
        <f t="shared" si="32"/>
        <v>Bronze</v>
      </c>
      <c r="J691" t="s">
        <v>1242</v>
      </c>
      <c r="K691" s="17">
        <v>74397</v>
      </c>
      <c r="L691" s="17" t="s">
        <v>1214</v>
      </c>
      <c r="M691" t="s">
        <v>2252</v>
      </c>
      <c r="N691" t="s">
        <v>1236</v>
      </c>
      <c r="O691">
        <v>6000</v>
      </c>
      <c r="P691">
        <v>800</v>
      </c>
      <c r="Q691">
        <v>800</v>
      </c>
      <c r="R691" t="s">
        <v>2087</v>
      </c>
    </row>
    <row r="692" spans="1:18" x14ac:dyDescent="0.25">
      <c r="A692">
        <v>1961</v>
      </c>
      <c r="B692" t="s">
        <v>986</v>
      </c>
      <c r="C692" t="s">
        <v>621</v>
      </c>
      <c r="D692" t="str">
        <f t="shared" si="30"/>
        <v>Beasley Teagan</v>
      </c>
      <c r="E692" t="s">
        <v>1205</v>
      </c>
      <c r="F692" s="1">
        <v>45547</v>
      </c>
      <c r="G692" s="32" t="str">
        <f t="shared" si="31"/>
        <v>Sep</v>
      </c>
      <c r="H692">
        <v>3</v>
      </c>
      <c r="I692" t="str">
        <f t="shared" si="32"/>
        <v>Gold</v>
      </c>
      <c r="J692" t="s">
        <v>1242</v>
      </c>
      <c r="K692" s="17">
        <v>62550</v>
      </c>
      <c r="L692" s="17" t="s">
        <v>1220</v>
      </c>
      <c r="M692" t="s">
        <v>2256</v>
      </c>
      <c r="N692" t="s">
        <v>1221</v>
      </c>
      <c r="O692">
        <v>3350</v>
      </c>
      <c r="P692">
        <v>250</v>
      </c>
      <c r="Q692">
        <v>750</v>
      </c>
      <c r="R692" t="s">
        <v>1978</v>
      </c>
    </row>
    <row r="693" spans="1:18" x14ac:dyDescent="0.25">
      <c r="A693">
        <v>1735</v>
      </c>
      <c r="B693" t="s">
        <v>252</v>
      </c>
      <c r="C693" t="s">
        <v>369</v>
      </c>
      <c r="D693" t="str">
        <f t="shared" si="30"/>
        <v>Berger Jason</v>
      </c>
      <c r="E693" t="s">
        <v>1248</v>
      </c>
      <c r="F693" s="1">
        <v>45548</v>
      </c>
      <c r="G693" s="32" t="str">
        <f t="shared" si="31"/>
        <v>Sep</v>
      </c>
      <c r="H693">
        <v>1</v>
      </c>
      <c r="I693" t="str">
        <f t="shared" si="32"/>
        <v>Bronze</v>
      </c>
      <c r="J693" t="s">
        <v>1242</v>
      </c>
      <c r="K693" s="17">
        <v>76047</v>
      </c>
      <c r="L693" s="17" t="s">
        <v>1218</v>
      </c>
      <c r="M693" t="s">
        <v>2252</v>
      </c>
      <c r="N693" t="s">
        <v>1235</v>
      </c>
      <c r="O693">
        <v>2500</v>
      </c>
      <c r="P693">
        <v>300</v>
      </c>
      <c r="Q693">
        <v>300</v>
      </c>
      <c r="R693" t="s">
        <v>1752</v>
      </c>
    </row>
    <row r="694" spans="1:18" x14ac:dyDescent="0.25">
      <c r="A694">
        <v>2019</v>
      </c>
      <c r="B694" t="s">
        <v>545</v>
      </c>
      <c r="C694" t="s">
        <v>861</v>
      </c>
      <c r="D694" t="str">
        <f t="shared" si="30"/>
        <v>Russo Payton</v>
      </c>
      <c r="E694" t="s">
        <v>1249</v>
      </c>
      <c r="F694" s="1">
        <v>45548</v>
      </c>
      <c r="G694" s="32" t="str">
        <f t="shared" si="31"/>
        <v>Sep</v>
      </c>
      <c r="H694">
        <v>2</v>
      </c>
      <c r="I694" t="str">
        <f t="shared" si="32"/>
        <v>Silver</v>
      </c>
      <c r="J694" t="s">
        <v>14</v>
      </c>
      <c r="K694" s="17">
        <v>30357</v>
      </c>
      <c r="L694" s="17" t="s">
        <v>1218</v>
      </c>
      <c r="M694" t="s">
        <v>2255</v>
      </c>
      <c r="N694" t="s">
        <v>1219</v>
      </c>
      <c r="O694">
        <v>2300</v>
      </c>
      <c r="P694">
        <v>1200</v>
      </c>
      <c r="Q694">
        <v>2400</v>
      </c>
      <c r="R694" t="s">
        <v>2036</v>
      </c>
    </row>
    <row r="695" spans="1:18" x14ac:dyDescent="0.25">
      <c r="A695">
        <v>1722</v>
      </c>
      <c r="B695" t="s">
        <v>746</v>
      </c>
      <c r="C695" t="s">
        <v>51</v>
      </c>
      <c r="D695" t="str">
        <f t="shared" si="30"/>
        <v>Mclean Thea</v>
      </c>
      <c r="E695" t="s">
        <v>1249</v>
      </c>
      <c r="F695" s="1">
        <v>45549</v>
      </c>
      <c r="G695" s="32" t="str">
        <f t="shared" si="31"/>
        <v>Sep</v>
      </c>
      <c r="H695">
        <v>1</v>
      </c>
      <c r="I695" t="str">
        <f t="shared" si="32"/>
        <v>Bronze</v>
      </c>
      <c r="J695" t="s">
        <v>1242</v>
      </c>
      <c r="K695" s="17">
        <v>58309</v>
      </c>
      <c r="L695" s="17" t="s">
        <v>1233</v>
      </c>
      <c r="M695" t="s">
        <v>2254</v>
      </c>
      <c r="N695" t="s">
        <v>1239</v>
      </c>
      <c r="O695">
        <v>870</v>
      </c>
      <c r="P695">
        <v>1200</v>
      </c>
      <c r="Q695">
        <v>1200</v>
      </c>
      <c r="R695" t="s">
        <v>1739</v>
      </c>
    </row>
    <row r="696" spans="1:18" x14ac:dyDescent="0.25">
      <c r="A696">
        <v>1798</v>
      </c>
      <c r="B696" t="s">
        <v>117</v>
      </c>
      <c r="C696" t="s">
        <v>827</v>
      </c>
      <c r="D696" t="str">
        <f t="shared" si="30"/>
        <v>Buck Evelynn</v>
      </c>
      <c r="E696" t="s">
        <v>1208</v>
      </c>
      <c r="F696" s="1">
        <v>45549</v>
      </c>
      <c r="G696" s="32" t="str">
        <f t="shared" si="31"/>
        <v>Sep</v>
      </c>
      <c r="H696">
        <v>1</v>
      </c>
      <c r="I696" t="str">
        <f t="shared" si="32"/>
        <v>Bronze</v>
      </c>
      <c r="J696" t="s">
        <v>14</v>
      </c>
      <c r="K696" s="17">
        <v>89491</v>
      </c>
      <c r="L696" s="17" t="s">
        <v>1214</v>
      </c>
      <c r="M696" t="s">
        <v>2252</v>
      </c>
      <c r="N696" t="s">
        <v>1215</v>
      </c>
      <c r="O696">
        <v>6725</v>
      </c>
      <c r="P696">
        <v>800</v>
      </c>
      <c r="Q696">
        <v>800</v>
      </c>
      <c r="R696" t="s">
        <v>1815</v>
      </c>
    </row>
    <row r="697" spans="1:18" x14ac:dyDescent="0.25">
      <c r="A697">
        <v>1275</v>
      </c>
      <c r="B697" t="s">
        <v>107</v>
      </c>
      <c r="C697" t="s">
        <v>108</v>
      </c>
      <c r="D697" t="str">
        <f t="shared" si="30"/>
        <v>Morales Helen</v>
      </c>
      <c r="E697" t="s">
        <v>1248</v>
      </c>
      <c r="F697" s="1">
        <v>45550</v>
      </c>
      <c r="G697" s="32" t="str">
        <f t="shared" si="31"/>
        <v>Sep</v>
      </c>
      <c r="H697">
        <v>2</v>
      </c>
      <c r="I697" t="str">
        <f t="shared" si="32"/>
        <v>Silver</v>
      </c>
      <c r="J697" t="s">
        <v>1242</v>
      </c>
      <c r="K697" s="17">
        <v>20665</v>
      </c>
      <c r="L697" s="17" t="s">
        <v>1228</v>
      </c>
      <c r="M697" t="s">
        <v>2253</v>
      </c>
      <c r="N697" t="s">
        <v>1229</v>
      </c>
      <c r="O697">
        <v>7250</v>
      </c>
      <c r="P697">
        <v>300</v>
      </c>
      <c r="Q697">
        <v>600</v>
      </c>
      <c r="R697" t="s">
        <v>1291</v>
      </c>
    </row>
    <row r="698" spans="1:18" x14ac:dyDescent="0.25">
      <c r="A698">
        <v>1478</v>
      </c>
      <c r="B698" t="s">
        <v>445</v>
      </c>
      <c r="C698" t="s">
        <v>446</v>
      </c>
      <c r="D698" t="str">
        <f t="shared" si="30"/>
        <v>Mejia Desmond</v>
      </c>
      <c r="E698" t="s">
        <v>1249</v>
      </c>
      <c r="F698" s="1">
        <v>45550</v>
      </c>
      <c r="G698" s="32" t="str">
        <f t="shared" si="31"/>
        <v>Sep</v>
      </c>
      <c r="H698">
        <v>2</v>
      </c>
      <c r="I698" t="str">
        <f t="shared" si="32"/>
        <v>Silver</v>
      </c>
      <c r="J698" t="s">
        <v>1243</v>
      </c>
      <c r="K698" s="17">
        <v>51799</v>
      </c>
      <c r="L698" s="17" t="s">
        <v>1214</v>
      </c>
      <c r="M698" t="s">
        <v>2253</v>
      </c>
      <c r="N698" t="s">
        <v>1215</v>
      </c>
      <c r="O698">
        <v>6725</v>
      </c>
      <c r="P698">
        <v>1200</v>
      </c>
      <c r="Q698">
        <v>2400</v>
      </c>
      <c r="R698" t="s">
        <v>1494</v>
      </c>
    </row>
    <row r="699" spans="1:18" x14ac:dyDescent="0.25">
      <c r="A699">
        <v>1507</v>
      </c>
      <c r="B699" t="s">
        <v>486</v>
      </c>
      <c r="C699" t="s">
        <v>239</v>
      </c>
      <c r="D699" t="str">
        <f t="shared" si="30"/>
        <v>Booker Elise</v>
      </c>
      <c r="E699" t="s">
        <v>1249</v>
      </c>
      <c r="F699" s="1">
        <v>45550</v>
      </c>
      <c r="G699" s="32" t="str">
        <f t="shared" si="31"/>
        <v>Sep</v>
      </c>
      <c r="H699">
        <v>3</v>
      </c>
      <c r="I699" t="str">
        <f t="shared" si="32"/>
        <v>Gold</v>
      </c>
      <c r="J699" t="s">
        <v>14</v>
      </c>
      <c r="K699" s="17">
        <v>93472</v>
      </c>
      <c r="L699" s="17" t="s">
        <v>1220</v>
      </c>
      <c r="M699" t="s">
        <v>2256</v>
      </c>
      <c r="N699" t="s">
        <v>1232</v>
      </c>
      <c r="O699">
        <v>3000</v>
      </c>
      <c r="P699">
        <v>1200</v>
      </c>
      <c r="Q699">
        <v>3600</v>
      </c>
      <c r="R699" t="s">
        <v>1523</v>
      </c>
    </row>
    <row r="700" spans="1:18" x14ac:dyDescent="0.25">
      <c r="A700">
        <v>1658</v>
      </c>
      <c r="B700" t="s">
        <v>99</v>
      </c>
      <c r="C700" t="s">
        <v>39</v>
      </c>
      <c r="D700" t="str">
        <f t="shared" si="30"/>
        <v>Fitzgerald Brooke</v>
      </c>
      <c r="E700" t="s">
        <v>1208</v>
      </c>
      <c r="F700" s="1">
        <v>45550</v>
      </c>
      <c r="G700" s="32" t="str">
        <f t="shared" si="31"/>
        <v>Sep</v>
      </c>
      <c r="H700">
        <v>1</v>
      </c>
      <c r="I700" t="str">
        <f t="shared" si="32"/>
        <v>Bronze</v>
      </c>
      <c r="J700" t="s">
        <v>18</v>
      </c>
      <c r="K700" s="17">
        <v>51055</v>
      </c>
      <c r="L700" s="17" t="s">
        <v>1228</v>
      </c>
      <c r="M700" t="s">
        <v>2252</v>
      </c>
      <c r="N700" t="s">
        <v>1229</v>
      </c>
      <c r="O700">
        <v>7250</v>
      </c>
      <c r="P700">
        <v>800</v>
      </c>
      <c r="Q700">
        <v>800</v>
      </c>
      <c r="R700" t="s">
        <v>1675</v>
      </c>
    </row>
    <row r="701" spans="1:18" x14ac:dyDescent="0.25">
      <c r="A701">
        <v>1668</v>
      </c>
      <c r="B701" t="s">
        <v>683</v>
      </c>
      <c r="C701" t="s">
        <v>464</v>
      </c>
      <c r="D701" t="str">
        <f t="shared" si="30"/>
        <v>Molina Gideon</v>
      </c>
      <c r="E701" t="s">
        <v>1207</v>
      </c>
      <c r="F701" s="1">
        <v>45550</v>
      </c>
      <c r="G701" s="32" t="str">
        <f t="shared" si="31"/>
        <v>Sep</v>
      </c>
      <c r="H701">
        <v>1</v>
      </c>
      <c r="I701" t="str">
        <f t="shared" si="32"/>
        <v>Bronze</v>
      </c>
      <c r="J701" t="s">
        <v>1242</v>
      </c>
      <c r="K701" s="17">
        <v>64399</v>
      </c>
      <c r="L701" s="17" t="s">
        <v>1214</v>
      </c>
      <c r="M701" t="s">
        <v>2255</v>
      </c>
      <c r="N701" t="s">
        <v>1215</v>
      </c>
      <c r="O701">
        <v>6725</v>
      </c>
      <c r="P701">
        <v>250</v>
      </c>
      <c r="Q701">
        <v>250</v>
      </c>
      <c r="R701" t="s">
        <v>1685</v>
      </c>
    </row>
    <row r="702" spans="1:18" x14ac:dyDescent="0.25">
      <c r="A702">
        <v>1740</v>
      </c>
      <c r="B702" t="s">
        <v>741</v>
      </c>
      <c r="C702" t="s">
        <v>767</v>
      </c>
      <c r="D702" t="str">
        <f t="shared" si="30"/>
        <v>Ramsey Leland</v>
      </c>
      <c r="E702" t="s">
        <v>1248</v>
      </c>
      <c r="F702" s="1">
        <v>45551</v>
      </c>
      <c r="G702" s="32" t="str">
        <f t="shared" si="31"/>
        <v>Sep</v>
      </c>
      <c r="H702">
        <v>3</v>
      </c>
      <c r="I702" t="str">
        <f t="shared" si="32"/>
        <v>Gold</v>
      </c>
      <c r="J702" t="s">
        <v>1243</v>
      </c>
      <c r="K702" s="17">
        <v>69741</v>
      </c>
      <c r="L702" s="17" t="s">
        <v>1214</v>
      </c>
      <c r="M702" t="s">
        <v>2253</v>
      </c>
      <c r="N702" t="s">
        <v>1215</v>
      </c>
      <c r="O702">
        <v>6725</v>
      </c>
      <c r="P702">
        <v>300</v>
      </c>
      <c r="Q702">
        <v>900</v>
      </c>
      <c r="R702" t="s">
        <v>1757</v>
      </c>
    </row>
    <row r="703" spans="1:18" x14ac:dyDescent="0.25">
      <c r="A703">
        <v>1846</v>
      </c>
      <c r="B703" t="s">
        <v>279</v>
      </c>
      <c r="C703" t="s">
        <v>223</v>
      </c>
      <c r="D703" t="str">
        <f t="shared" si="30"/>
        <v>Shepherd Selah</v>
      </c>
      <c r="E703" t="s">
        <v>1249</v>
      </c>
      <c r="F703" s="1">
        <v>45551</v>
      </c>
      <c r="G703" s="32" t="str">
        <f t="shared" si="31"/>
        <v>Sep</v>
      </c>
      <c r="H703">
        <v>3</v>
      </c>
      <c r="I703" t="str">
        <f t="shared" si="32"/>
        <v>Gold</v>
      </c>
      <c r="J703" t="s">
        <v>14</v>
      </c>
      <c r="K703" s="17">
        <v>15135</v>
      </c>
      <c r="L703" s="17" t="s">
        <v>1216</v>
      </c>
      <c r="M703" t="s">
        <v>2254</v>
      </c>
      <c r="N703" t="s">
        <v>1217</v>
      </c>
      <c r="O703">
        <v>2600</v>
      </c>
      <c r="P703">
        <v>1200</v>
      </c>
      <c r="Q703">
        <v>3600</v>
      </c>
      <c r="R703" t="s">
        <v>1863</v>
      </c>
    </row>
    <row r="704" spans="1:18" x14ac:dyDescent="0.25">
      <c r="A704">
        <v>1872</v>
      </c>
      <c r="B704" t="s">
        <v>903</v>
      </c>
      <c r="C704" t="s">
        <v>904</v>
      </c>
      <c r="D704" t="str">
        <f t="shared" si="30"/>
        <v>Colón Samara</v>
      </c>
      <c r="E704" t="s">
        <v>1248</v>
      </c>
      <c r="F704" s="1">
        <v>45551</v>
      </c>
      <c r="G704" s="32" t="str">
        <f t="shared" si="31"/>
        <v>Sep</v>
      </c>
      <c r="H704">
        <v>1</v>
      </c>
      <c r="I704" t="str">
        <f t="shared" si="32"/>
        <v>Bronze</v>
      </c>
      <c r="J704" t="s">
        <v>1242</v>
      </c>
      <c r="K704" s="17">
        <v>40767</v>
      </c>
      <c r="L704" s="17" t="s">
        <v>1220</v>
      </c>
      <c r="M704" t="s">
        <v>2254</v>
      </c>
      <c r="N704" t="s">
        <v>1226</v>
      </c>
      <c r="O704">
        <v>3220</v>
      </c>
      <c r="P704">
        <v>300</v>
      </c>
      <c r="Q704">
        <v>300</v>
      </c>
      <c r="R704" t="s">
        <v>1889</v>
      </c>
    </row>
    <row r="705" spans="1:18" x14ac:dyDescent="0.25">
      <c r="A705">
        <v>2162</v>
      </c>
      <c r="B705" t="s">
        <v>1155</v>
      </c>
      <c r="C705" t="s">
        <v>721</v>
      </c>
      <c r="D705" t="str">
        <f t="shared" si="30"/>
        <v>Khan Frances</v>
      </c>
      <c r="E705" t="s">
        <v>1207</v>
      </c>
      <c r="F705" s="1">
        <v>45551</v>
      </c>
      <c r="G705" s="32" t="str">
        <f t="shared" si="31"/>
        <v>Sep</v>
      </c>
      <c r="H705">
        <v>1</v>
      </c>
      <c r="I705" t="str">
        <f t="shared" si="32"/>
        <v>Bronze</v>
      </c>
      <c r="J705" t="s">
        <v>1242</v>
      </c>
      <c r="K705" s="17">
        <v>87526</v>
      </c>
      <c r="L705" s="17" t="s">
        <v>1222</v>
      </c>
      <c r="M705" t="s">
        <v>2255</v>
      </c>
      <c r="N705" t="s">
        <v>1231</v>
      </c>
      <c r="O705">
        <v>4870</v>
      </c>
      <c r="P705">
        <v>250</v>
      </c>
      <c r="Q705">
        <v>250</v>
      </c>
      <c r="R705" t="s">
        <v>2180</v>
      </c>
    </row>
    <row r="706" spans="1:18" x14ac:dyDescent="0.25">
      <c r="A706">
        <v>2218</v>
      </c>
      <c r="B706" t="s">
        <v>772</v>
      </c>
      <c r="C706" t="s">
        <v>655</v>
      </c>
      <c r="D706" t="str">
        <f t="shared" ref="D706:D769" si="33">CONCATENATE(B706, " ", C706)</f>
        <v>Zuniga Miracle</v>
      </c>
      <c r="E706" t="s">
        <v>1249</v>
      </c>
      <c r="F706" s="1">
        <v>45551</v>
      </c>
      <c r="G706" s="32" t="str">
        <f t="shared" ref="G706:G769" si="34">TEXT(F706, "MMM")</f>
        <v>Sep</v>
      </c>
      <c r="H706">
        <v>1</v>
      </c>
      <c r="I706" t="str">
        <f t="shared" ref="I706:I769" si="35">IF(H706=1,"Bronze",IF(H706=2,"Silver",IF(H706=3,"Gold")))</f>
        <v>Bronze</v>
      </c>
      <c r="J706" t="s">
        <v>14</v>
      </c>
      <c r="K706" s="17">
        <v>12642</v>
      </c>
      <c r="L706" s="17" t="s">
        <v>1216</v>
      </c>
      <c r="M706" t="s">
        <v>2255</v>
      </c>
      <c r="N706" t="s">
        <v>1217</v>
      </c>
      <c r="O706">
        <v>2600</v>
      </c>
      <c r="P706">
        <v>1200</v>
      </c>
      <c r="Q706">
        <v>1200</v>
      </c>
      <c r="R706" t="s">
        <v>2236</v>
      </c>
    </row>
    <row r="707" spans="1:18" x14ac:dyDescent="0.25">
      <c r="A707">
        <v>1398</v>
      </c>
      <c r="B707" t="s">
        <v>317</v>
      </c>
      <c r="C707" t="s">
        <v>223</v>
      </c>
      <c r="D707" t="str">
        <f t="shared" si="33"/>
        <v>Mahoney Selah</v>
      </c>
      <c r="E707" t="s">
        <v>1203</v>
      </c>
      <c r="F707" s="1">
        <v>45552</v>
      </c>
      <c r="G707" s="32" t="str">
        <f t="shared" si="34"/>
        <v>Sep</v>
      </c>
      <c r="H707">
        <v>1</v>
      </c>
      <c r="I707" t="str">
        <f t="shared" si="35"/>
        <v>Bronze</v>
      </c>
      <c r="J707" t="s">
        <v>1242</v>
      </c>
      <c r="K707" s="17">
        <v>82114</v>
      </c>
      <c r="L707" s="17" t="s">
        <v>1222</v>
      </c>
      <c r="M707" t="s">
        <v>2256</v>
      </c>
      <c r="N707" t="s">
        <v>1237</v>
      </c>
      <c r="O707">
        <v>4000</v>
      </c>
      <c r="P707">
        <v>600</v>
      </c>
      <c r="Q707">
        <v>600</v>
      </c>
      <c r="R707" t="s">
        <v>1414</v>
      </c>
    </row>
    <row r="708" spans="1:18" x14ac:dyDescent="0.25">
      <c r="A708">
        <v>1588</v>
      </c>
      <c r="B708" t="s">
        <v>587</v>
      </c>
      <c r="C708" t="s">
        <v>588</v>
      </c>
      <c r="D708" t="str">
        <f t="shared" si="33"/>
        <v>Vega Blake</v>
      </c>
      <c r="E708" t="s">
        <v>1203</v>
      </c>
      <c r="F708" s="1">
        <v>45552</v>
      </c>
      <c r="G708" s="32" t="str">
        <f t="shared" si="34"/>
        <v>Sep</v>
      </c>
      <c r="H708">
        <v>2</v>
      </c>
      <c r="I708" t="str">
        <f t="shared" si="35"/>
        <v>Silver</v>
      </c>
      <c r="J708" t="s">
        <v>14</v>
      </c>
      <c r="K708" s="17">
        <v>85293</v>
      </c>
      <c r="L708" s="17" t="s">
        <v>1216</v>
      </c>
      <c r="M708" t="s">
        <v>2253</v>
      </c>
      <c r="N708" t="s">
        <v>1217</v>
      </c>
      <c r="O708">
        <v>2600</v>
      </c>
      <c r="P708">
        <v>600</v>
      </c>
      <c r="Q708">
        <v>1200</v>
      </c>
      <c r="R708" t="s">
        <v>1604</v>
      </c>
    </row>
    <row r="709" spans="1:18" x14ac:dyDescent="0.25">
      <c r="A709">
        <v>1801</v>
      </c>
      <c r="B709" t="s">
        <v>828</v>
      </c>
      <c r="C709" t="s">
        <v>472</v>
      </c>
      <c r="D709" t="str">
        <f t="shared" si="33"/>
        <v>Snow Xiomara</v>
      </c>
      <c r="E709" t="s">
        <v>1248</v>
      </c>
      <c r="F709" s="1">
        <v>45552</v>
      </c>
      <c r="G709" s="32" t="str">
        <f t="shared" si="34"/>
        <v>Sep</v>
      </c>
      <c r="H709">
        <v>3</v>
      </c>
      <c r="I709" t="str">
        <f t="shared" si="35"/>
        <v>Gold</v>
      </c>
      <c r="J709" t="s">
        <v>14</v>
      </c>
      <c r="K709" s="17">
        <v>39447</v>
      </c>
      <c r="L709" s="17" t="s">
        <v>1220</v>
      </c>
      <c r="M709" t="s">
        <v>2254</v>
      </c>
      <c r="N709" t="s">
        <v>1226</v>
      </c>
      <c r="O709">
        <v>3220</v>
      </c>
      <c r="P709">
        <v>300</v>
      </c>
      <c r="Q709">
        <v>900</v>
      </c>
      <c r="R709" t="s">
        <v>1818</v>
      </c>
    </row>
    <row r="710" spans="1:18" x14ac:dyDescent="0.25">
      <c r="A710">
        <v>2002</v>
      </c>
      <c r="B710" t="s">
        <v>368</v>
      </c>
      <c r="C710" t="s">
        <v>749</v>
      </c>
      <c r="D710" t="str">
        <f t="shared" si="33"/>
        <v>Jensen Haven</v>
      </c>
      <c r="E710" t="s">
        <v>1249</v>
      </c>
      <c r="F710" s="1">
        <v>45552</v>
      </c>
      <c r="G710" s="32" t="str">
        <f t="shared" si="34"/>
        <v>Sep</v>
      </c>
      <c r="H710">
        <v>2</v>
      </c>
      <c r="I710" t="str">
        <f t="shared" si="35"/>
        <v>Silver</v>
      </c>
      <c r="J710" t="s">
        <v>1242</v>
      </c>
      <c r="K710" s="17">
        <v>63513</v>
      </c>
      <c r="L710" s="17" t="s">
        <v>1220</v>
      </c>
      <c r="M710" t="s">
        <v>2253</v>
      </c>
      <c r="N710" t="s">
        <v>1221</v>
      </c>
      <c r="O710">
        <v>3350</v>
      </c>
      <c r="P710">
        <v>1200</v>
      </c>
      <c r="Q710">
        <v>2400</v>
      </c>
      <c r="R710" t="s">
        <v>2019</v>
      </c>
    </row>
    <row r="711" spans="1:18" x14ac:dyDescent="0.25">
      <c r="A711">
        <v>1444</v>
      </c>
      <c r="B711" t="s">
        <v>391</v>
      </c>
      <c r="C711" t="s">
        <v>183</v>
      </c>
      <c r="D711" t="str">
        <f t="shared" si="33"/>
        <v>Cantu Callen</v>
      </c>
      <c r="E711" t="s">
        <v>1248</v>
      </c>
      <c r="F711" s="1">
        <v>45553</v>
      </c>
      <c r="G711" s="32" t="str">
        <f t="shared" si="34"/>
        <v>Sep</v>
      </c>
      <c r="H711">
        <v>2</v>
      </c>
      <c r="I711" t="str">
        <f t="shared" si="35"/>
        <v>Silver</v>
      </c>
      <c r="J711" t="s">
        <v>14</v>
      </c>
      <c r="K711" s="17">
        <v>33800</v>
      </c>
      <c r="L711" s="17" t="s">
        <v>1214</v>
      </c>
      <c r="M711" t="s">
        <v>2256</v>
      </c>
      <c r="N711" t="s">
        <v>1215</v>
      </c>
      <c r="O711">
        <v>6725</v>
      </c>
      <c r="P711">
        <v>300</v>
      </c>
      <c r="Q711">
        <v>600</v>
      </c>
      <c r="R711" t="s">
        <v>1460</v>
      </c>
    </row>
    <row r="712" spans="1:18" x14ac:dyDescent="0.25">
      <c r="A712">
        <v>1451</v>
      </c>
      <c r="B712" t="s">
        <v>307</v>
      </c>
      <c r="C712" t="s">
        <v>403</v>
      </c>
      <c r="D712" t="str">
        <f t="shared" si="33"/>
        <v>Thornton Alaina</v>
      </c>
      <c r="E712" t="s">
        <v>1249</v>
      </c>
      <c r="F712" s="1">
        <v>45554</v>
      </c>
      <c r="G712" s="32" t="str">
        <f t="shared" si="34"/>
        <v>Sep</v>
      </c>
      <c r="H712">
        <v>3</v>
      </c>
      <c r="I712" t="str">
        <f t="shared" si="35"/>
        <v>Gold</v>
      </c>
      <c r="J712" t="s">
        <v>1242</v>
      </c>
      <c r="K712" s="17">
        <v>70198</v>
      </c>
      <c r="L712" s="17" t="s">
        <v>1224</v>
      </c>
      <c r="M712" t="s">
        <v>2255</v>
      </c>
      <c r="N712" t="s">
        <v>1225</v>
      </c>
      <c r="O712">
        <v>5290</v>
      </c>
      <c r="P712">
        <v>1200</v>
      </c>
      <c r="Q712">
        <v>3600</v>
      </c>
      <c r="R712" t="s">
        <v>1467</v>
      </c>
    </row>
    <row r="713" spans="1:18" x14ac:dyDescent="0.25">
      <c r="A713">
        <v>1464</v>
      </c>
      <c r="B713" t="s">
        <v>291</v>
      </c>
      <c r="C713" t="s">
        <v>424</v>
      </c>
      <c r="D713" t="str">
        <f t="shared" si="33"/>
        <v>Spencer Rosemary</v>
      </c>
      <c r="E713" t="s">
        <v>1248</v>
      </c>
      <c r="F713" s="1">
        <v>45554</v>
      </c>
      <c r="G713" s="32" t="str">
        <f t="shared" si="34"/>
        <v>Sep</v>
      </c>
      <c r="H713">
        <v>3</v>
      </c>
      <c r="I713" t="str">
        <f t="shared" si="35"/>
        <v>Gold</v>
      </c>
      <c r="J713" t="s">
        <v>1242</v>
      </c>
      <c r="K713" s="17">
        <v>70610</v>
      </c>
      <c r="L713" s="17" t="s">
        <v>1216</v>
      </c>
      <c r="M713" t="s">
        <v>2252</v>
      </c>
      <c r="N713" t="s">
        <v>1217</v>
      </c>
      <c r="O713">
        <v>2600</v>
      </c>
      <c r="P713">
        <v>300</v>
      </c>
      <c r="Q713">
        <v>900</v>
      </c>
      <c r="R713" t="s">
        <v>1480</v>
      </c>
    </row>
    <row r="714" spans="1:18" x14ac:dyDescent="0.25">
      <c r="A714">
        <v>1488</v>
      </c>
      <c r="B714" t="s">
        <v>459</v>
      </c>
      <c r="C714" t="s">
        <v>460</v>
      </c>
      <c r="D714" t="str">
        <f t="shared" si="33"/>
        <v>Riley Amaya</v>
      </c>
      <c r="E714" t="s">
        <v>1205</v>
      </c>
      <c r="F714" s="1">
        <v>45554</v>
      </c>
      <c r="G714" s="32" t="str">
        <f t="shared" si="34"/>
        <v>Sep</v>
      </c>
      <c r="H714">
        <v>3</v>
      </c>
      <c r="I714" t="str">
        <f t="shared" si="35"/>
        <v>Gold</v>
      </c>
      <c r="J714" t="s">
        <v>1242</v>
      </c>
      <c r="K714" s="17">
        <v>10096</v>
      </c>
      <c r="L714" s="17" t="s">
        <v>1220</v>
      </c>
      <c r="M714" t="s">
        <v>2253</v>
      </c>
      <c r="N714" t="s">
        <v>1232</v>
      </c>
      <c r="O714">
        <v>3000</v>
      </c>
      <c r="P714">
        <v>250</v>
      </c>
      <c r="Q714">
        <v>750</v>
      </c>
      <c r="R714" t="s">
        <v>1504</v>
      </c>
    </row>
    <row r="715" spans="1:18" x14ac:dyDescent="0.25">
      <c r="A715">
        <v>1786</v>
      </c>
      <c r="B715" t="s">
        <v>810</v>
      </c>
      <c r="C715" t="s">
        <v>811</v>
      </c>
      <c r="D715" t="str">
        <f t="shared" si="33"/>
        <v>Travis Micah</v>
      </c>
      <c r="E715" t="s">
        <v>1208</v>
      </c>
      <c r="F715" s="1">
        <v>45554</v>
      </c>
      <c r="G715" s="32" t="str">
        <f t="shared" si="34"/>
        <v>Sep</v>
      </c>
      <c r="H715">
        <v>3</v>
      </c>
      <c r="I715" t="str">
        <f t="shared" si="35"/>
        <v>Gold</v>
      </c>
      <c r="J715" t="s">
        <v>1242</v>
      </c>
      <c r="K715" s="17">
        <v>42805</v>
      </c>
      <c r="L715" s="17" t="s">
        <v>1228</v>
      </c>
      <c r="M715" t="s">
        <v>2255</v>
      </c>
      <c r="N715" t="s">
        <v>1230</v>
      </c>
      <c r="O715">
        <v>7000</v>
      </c>
      <c r="P715">
        <v>800</v>
      </c>
      <c r="Q715">
        <v>2400</v>
      </c>
      <c r="R715" t="s">
        <v>1803</v>
      </c>
    </row>
    <row r="716" spans="1:18" x14ac:dyDescent="0.25">
      <c r="A716">
        <v>1272</v>
      </c>
      <c r="B716" t="s">
        <v>101</v>
      </c>
      <c r="C716" t="s">
        <v>102</v>
      </c>
      <c r="D716" t="str">
        <f t="shared" si="33"/>
        <v>Sharp Collins</v>
      </c>
      <c r="E716" t="s">
        <v>1205</v>
      </c>
      <c r="F716" s="1">
        <v>45555</v>
      </c>
      <c r="G716" s="32" t="str">
        <f t="shared" si="34"/>
        <v>Sep</v>
      </c>
      <c r="H716">
        <v>3</v>
      </c>
      <c r="I716" t="str">
        <f t="shared" si="35"/>
        <v>Gold</v>
      </c>
      <c r="J716" t="s">
        <v>1242</v>
      </c>
      <c r="K716" s="17">
        <v>91716</v>
      </c>
      <c r="L716" s="17" t="s">
        <v>1220</v>
      </c>
      <c r="M716" t="s">
        <v>2254</v>
      </c>
      <c r="N716" t="s">
        <v>1226</v>
      </c>
      <c r="O716">
        <v>3220</v>
      </c>
      <c r="P716">
        <v>250</v>
      </c>
      <c r="Q716">
        <v>750</v>
      </c>
      <c r="R716" t="s">
        <v>1288</v>
      </c>
    </row>
    <row r="717" spans="1:18" x14ac:dyDescent="0.25">
      <c r="A717">
        <v>1294</v>
      </c>
      <c r="B717" t="s">
        <v>142</v>
      </c>
      <c r="C717" t="s">
        <v>34</v>
      </c>
      <c r="D717" t="str">
        <f t="shared" si="33"/>
        <v>Silva Preston</v>
      </c>
      <c r="E717" t="s">
        <v>1249</v>
      </c>
      <c r="F717" s="1">
        <v>45556</v>
      </c>
      <c r="G717" s="32" t="str">
        <f t="shared" si="34"/>
        <v>Sep</v>
      </c>
      <c r="H717">
        <v>3</v>
      </c>
      <c r="I717" t="str">
        <f t="shared" si="35"/>
        <v>Gold</v>
      </c>
      <c r="J717" t="s">
        <v>1242</v>
      </c>
      <c r="K717" s="17">
        <v>40939</v>
      </c>
      <c r="L717" s="17" t="s">
        <v>1214</v>
      </c>
      <c r="M717" t="s">
        <v>2255</v>
      </c>
      <c r="N717" t="s">
        <v>1236</v>
      </c>
      <c r="O717">
        <v>6000</v>
      </c>
      <c r="P717">
        <v>1200</v>
      </c>
      <c r="Q717">
        <v>3600</v>
      </c>
      <c r="R717" t="s">
        <v>1310</v>
      </c>
    </row>
    <row r="718" spans="1:18" x14ac:dyDescent="0.25">
      <c r="A718">
        <v>1526</v>
      </c>
      <c r="B718" t="s">
        <v>128</v>
      </c>
      <c r="C718" t="s">
        <v>198</v>
      </c>
      <c r="D718" t="str">
        <f t="shared" si="33"/>
        <v>Hunter Luna</v>
      </c>
      <c r="E718" t="s">
        <v>1207</v>
      </c>
      <c r="F718" s="1">
        <v>45556</v>
      </c>
      <c r="G718" s="32" t="str">
        <f t="shared" si="34"/>
        <v>Sep</v>
      </c>
      <c r="H718">
        <v>1</v>
      </c>
      <c r="I718" t="str">
        <f t="shared" si="35"/>
        <v>Bronze</v>
      </c>
      <c r="J718" t="s">
        <v>14</v>
      </c>
      <c r="K718" s="17">
        <v>25308</v>
      </c>
      <c r="L718" s="17" t="s">
        <v>1216</v>
      </c>
      <c r="M718" t="s">
        <v>2254</v>
      </c>
      <c r="N718" t="s">
        <v>1217</v>
      </c>
      <c r="O718">
        <v>2600</v>
      </c>
      <c r="P718">
        <v>250</v>
      </c>
      <c r="Q718">
        <v>250</v>
      </c>
      <c r="R718" t="s">
        <v>1542</v>
      </c>
    </row>
    <row r="719" spans="1:18" x14ac:dyDescent="0.25">
      <c r="A719">
        <v>1824</v>
      </c>
      <c r="B719" t="s">
        <v>850</v>
      </c>
      <c r="C719" t="s">
        <v>630</v>
      </c>
      <c r="D719" t="str">
        <f t="shared" si="33"/>
        <v>Dennis Judah</v>
      </c>
      <c r="E719" t="s">
        <v>1249</v>
      </c>
      <c r="F719" s="1">
        <v>45556</v>
      </c>
      <c r="G719" s="32" t="str">
        <f t="shared" si="34"/>
        <v>Sep</v>
      </c>
      <c r="H719">
        <v>2</v>
      </c>
      <c r="I719" t="str">
        <f t="shared" si="35"/>
        <v>Silver</v>
      </c>
      <c r="J719" t="s">
        <v>14</v>
      </c>
      <c r="K719" s="17">
        <v>89273</v>
      </c>
      <c r="L719" s="17" t="s">
        <v>1214</v>
      </c>
      <c r="M719" t="s">
        <v>2254</v>
      </c>
      <c r="N719" t="s">
        <v>1227</v>
      </c>
      <c r="O719">
        <v>6160</v>
      </c>
      <c r="P719">
        <v>1200</v>
      </c>
      <c r="Q719">
        <v>2400</v>
      </c>
      <c r="R719" t="s">
        <v>1841</v>
      </c>
    </row>
    <row r="720" spans="1:18" x14ac:dyDescent="0.25">
      <c r="A720">
        <v>1870</v>
      </c>
      <c r="B720" t="s">
        <v>900</v>
      </c>
      <c r="C720" t="s">
        <v>901</v>
      </c>
      <c r="D720" t="str">
        <f t="shared" si="33"/>
        <v>Simpson Alexandra</v>
      </c>
      <c r="E720" t="s">
        <v>1248</v>
      </c>
      <c r="F720" s="1">
        <v>45556</v>
      </c>
      <c r="G720" s="32" t="str">
        <f t="shared" si="34"/>
        <v>Sep</v>
      </c>
      <c r="H720">
        <v>3</v>
      </c>
      <c r="I720" t="str">
        <f t="shared" si="35"/>
        <v>Gold</v>
      </c>
      <c r="J720" t="s">
        <v>14</v>
      </c>
      <c r="K720" s="17">
        <v>95312</v>
      </c>
      <c r="L720" s="17" t="s">
        <v>1214</v>
      </c>
      <c r="M720" t="s">
        <v>2252</v>
      </c>
      <c r="N720" t="s">
        <v>1215</v>
      </c>
      <c r="O720">
        <v>6725</v>
      </c>
      <c r="P720">
        <v>300</v>
      </c>
      <c r="Q720">
        <v>900</v>
      </c>
      <c r="R720" t="s">
        <v>1887</v>
      </c>
    </row>
    <row r="721" spans="1:18" x14ac:dyDescent="0.25">
      <c r="A721">
        <v>1873</v>
      </c>
      <c r="B721" t="s">
        <v>214</v>
      </c>
      <c r="C721" t="s">
        <v>194</v>
      </c>
      <c r="D721" t="str">
        <f t="shared" si="33"/>
        <v>Singh Joaquin</v>
      </c>
      <c r="E721" t="s">
        <v>1207</v>
      </c>
      <c r="F721" s="1">
        <v>45556</v>
      </c>
      <c r="G721" s="32" t="str">
        <f t="shared" si="34"/>
        <v>Sep</v>
      </c>
      <c r="H721">
        <v>1</v>
      </c>
      <c r="I721" t="str">
        <f t="shared" si="35"/>
        <v>Bronze</v>
      </c>
      <c r="J721" t="s">
        <v>1243</v>
      </c>
      <c r="K721" s="17">
        <v>59782</v>
      </c>
      <c r="L721" s="17" t="s">
        <v>1220</v>
      </c>
      <c r="M721" t="s">
        <v>2255</v>
      </c>
      <c r="N721" t="s">
        <v>1232</v>
      </c>
      <c r="O721">
        <v>3000</v>
      </c>
      <c r="P721">
        <v>250</v>
      </c>
      <c r="Q721">
        <v>250</v>
      </c>
      <c r="R721" t="s">
        <v>1890</v>
      </c>
    </row>
    <row r="722" spans="1:18" x14ac:dyDescent="0.25">
      <c r="A722">
        <v>2022</v>
      </c>
      <c r="B722" t="s">
        <v>1030</v>
      </c>
      <c r="C722" t="s">
        <v>209</v>
      </c>
      <c r="D722" t="str">
        <f t="shared" si="33"/>
        <v>Ball Myles</v>
      </c>
      <c r="E722" t="s">
        <v>1208</v>
      </c>
      <c r="F722" s="1">
        <v>45556</v>
      </c>
      <c r="G722" s="32" t="str">
        <f t="shared" si="34"/>
        <v>Sep</v>
      </c>
      <c r="H722">
        <v>1</v>
      </c>
      <c r="I722" t="str">
        <f t="shared" si="35"/>
        <v>Bronze</v>
      </c>
      <c r="J722" t="s">
        <v>1242</v>
      </c>
      <c r="K722" s="17">
        <v>32220</v>
      </c>
      <c r="L722" s="17" t="s">
        <v>1216</v>
      </c>
      <c r="M722" t="s">
        <v>2252</v>
      </c>
      <c r="N722" t="s">
        <v>1217</v>
      </c>
      <c r="O722">
        <v>2600</v>
      </c>
      <c r="P722">
        <v>800</v>
      </c>
      <c r="Q722">
        <v>800</v>
      </c>
      <c r="R722" t="s">
        <v>2039</v>
      </c>
    </row>
    <row r="723" spans="1:18" x14ac:dyDescent="0.25">
      <c r="A723">
        <v>1726</v>
      </c>
      <c r="B723" t="s">
        <v>751</v>
      </c>
      <c r="C723" t="s">
        <v>752</v>
      </c>
      <c r="D723" t="str">
        <f t="shared" si="33"/>
        <v>Esquivel Matias</v>
      </c>
      <c r="E723" t="s">
        <v>1208</v>
      </c>
      <c r="F723" s="1">
        <v>45557</v>
      </c>
      <c r="G723" s="32" t="str">
        <f t="shared" si="34"/>
        <v>Sep</v>
      </c>
      <c r="H723">
        <v>3</v>
      </c>
      <c r="I723" t="str">
        <f t="shared" si="35"/>
        <v>Gold</v>
      </c>
      <c r="J723" t="s">
        <v>18</v>
      </c>
      <c r="K723" s="17">
        <v>67821</v>
      </c>
      <c r="L723" s="17" t="s">
        <v>1233</v>
      </c>
      <c r="M723" t="s">
        <v>2253</v>
      </c>
      <c r="N723" t="s">
        <v>1239</v>
      </c>
      <c r="O723">
        <v>870</v>
      </c>
      <c r="P723">
        <v>800</v>
      </c>
      <c r="Q723">
        <v>2400</v>
      </c>
      <c r="R723" t="s">
        <v>1743</v>
      </c>
    </row>
    <row r="724" spans="1:18" x14ac:dyDescent="0.25">
      <c r="A724">
        <v>2011</v>
      </c>
      <c r="B724" t="s">
        <v>962</v>
      </c>
      <c r="C724" t="s">
        <v>1021</v>
      </c>
      <c r="D724" t="str">
        <f t="shared" si="33"/>
        <v>Becker Owen</v>
      </c>
      <c r="E724" t="s">
        <v>1203</v>
      </c>
      <c r="F724" s="1">
        <v>45557</v>
      </c>
      <c r="G724" s="32" t="str">
        <f t="shared" si="34"/>
        <v>Sep</v>
      </c>
      <c r="H724">
        <v>3</v>
      </c>
      <c r="I724" t="str">
        <f t="shared" si="35"/>
        <v>Gold</v>
      </c>
      <c r="J724" t="s">
        <v>14</v>
      </c>
      <c r="K724" s="17">
        <v>82155</v>
      </c>
      <c r="L724" s="17" t="s">
        <v>1220</v>
      </c>
      <c r="M724" t="s">
        <v>2253</v>
      </c>
      <c r="N724" t="s">
        <v>1232</v>
      </c>
      <c r="O724">
        <v>3000</v>
      </c>
      <c r="P724">
        <v>600</v>
      </c>
      <c r="Q724">
        <v>1800</v>
      </c>
      <c r="R724" t="s">
        <v>2028</v>
      </c>
    </row>
    <row r="725" spans="1:18" x14ac:dyDescent="0.25">
      <c r="A725">
        <v>1258</v>
      </c>
      <c r="B725" t="s">
        <v>74</v>
      </c>
      <c r="C725" t="s">
        <v>75</v>
      </c>
      <c r="D725" t="str">
        <f t="shared" si="33"/>
        <v>Bryan Noa</v>
      </c>
      <c r="E725" t="s">
        <v>1205</v>
      </c>
      <c r="F725" s="1">
        <v>45558</v>
      </c>
      <c r="G725" s="32" t="str">
        <f t="shared" si="34"/>
        <v>Sep</v>
      </c>
      <c r="H725">
        <v>1</v>
      </c>
      <c r="I725" t="str">
        <f t="shared" si="35"/>
        <v>Bronze</v>
      </c>
      <c r="J725" t="s">
        <v>1243</v>
      </c>
      <c r="K725" s="17">
        <v>12506</v>
      </c>
      <c r="L725" s="17" t="s">
        <v>1218</v>
      </c>
      <c r="M725" t="s">
        <v>2252</v>
      </c>
      <c r="N725" t="s">
        <v>1235</v>
      </c>
      <c r="O725">
        <v>2500</v>
      </c>
      <c r="P725">
        <v>250</v>
      </c>
      <c r="Q725">
        <v>250</v>
      </c>
      <c r="R725" t="s">
        <v>1274</v>
      </c>
    </row>
    <row r="726" spans="1:18" x14ac:dyDescent="0.25">
      <c r="A726">
        <v>1678</v>
      </c>
      <c r="B726" t="s">
        <v>459</v>
      </c>
      <c r="C726" t="s">
        <v>696</v>
      </c>
      <c r="D726" t="str">
        <f t="shared" si="33"/>
        <v>Riley Brooklynn</v>
      </c>
      <c r="E726" t="s">
        <v>1205</v>
      </c>
      <c r="F726" s="1">
        <v>45558</v>
      </c>
      <c r="G726" s="32" t="str">
        <f t="shared" si="34"/>
        <v>Sep</v>
      </c>
      <c r="H726">
        <v>1</v>
      </c>
      <c r="I726" t="str">
        <f t="shared" si="35"/>
        <v>Bronze</v>
      </c>
      <c r="J726" t="s">
        <v>1242</v>
      </c>
      <c r="K726" s="17">
        <v>6856</v>
      </c>
      <c r="L726" s="17" t="s">
        <v>1224</v>
      </c>
      <c r="M726" t="s">
        <v>2252</v>
      </c>
      <c r="N726" t="s">
        <v>1064</v>
      </c>
      <c r="O726">
        <v>5000</v>
      </c>
      <c r="P726">
        <v>250</v>
      </c>
      <c r="Q726">
        <v>250</v>
      </c>
      <c r="R726" t="s">
        <v>1695</v>
      </c>
    </row>
    <row r="727" spans="1:18" x14ac:dyDescent="0.25">
      <c r="A727">
        <v>2155</v>
      </c>
      <c r="B727" t="s">
        <v>188</v>
      </c>
      <c r="C727" t="s">
        <v>1053</v>
      </c>
      <c r="D727" t="str">
        <f t="shared" si="33"/>
        <v>Saunders Millie</v>
      </c>
      <c r="E727" t="s">
        <v>1203</v>
      </c>
      <c r="F727" s="1">
        <v>45558</v>
      </c>
      <c r="G727" s="32" t="str">
        <f t="shared" si="34"/>
        <v>Sep</v>
      </c>
      <c r="H727">
        <v>2</v>
      </c>
      <c r="I727" t="str">
        <f t="shared" si="35"/>
        <v>Silver</v>
      </c>
      <c r="J727" t="s">
        <v>14</v>
      </c>
      <c r="K727" s="17">
        <v>38273</v>
      </c>
      <c r="L727" s="17" t="s">
        <v>1228</v>
      </c>
      <c r="M727" t="s">
        <v>2252</v>
      </c>
      <c r="N727" t="s">
        <v>1240</v>
      </c>
      <c r="O727">
        <v>7310</v>
      </c>
      <c r="P727">
        <v>600</v>
      </c>
      <c r="Q727">
        <v>1200</v>
      </c>
      <c r="R727" t="s">
        <v>2173</v>
      </c>
    </row>
    <row r="728" spans="1:18" x14ac:dyDescent="0.25">
      <c r="A728">
        <v>1323</v>
      </c>
      <c r="B728" t="s">
        <v>193</v>
      </c>
      <c r="C728" t="s">
        <v>194</v>
      </c>
      <c r="D728" t="str">
        <f t="shared" si="33"/>
        <v>Delarosa Joaquin</v>
      </c>
      <c r="E728" t="s">
        <v>1203</v>
      </c>
      <c r="F728" s="1">
        <v>45560</v>
      </c>
      <c r="G728" s="32" t="str">
        <f t="shared" si="34"/>
        <v>Sep</v>
      </c>
      <c r="H728">
        <v>3</v>
      </c>
      <c r="I728" t="str">
        <f t="shared" si="35"/>
        <v>Gold</v>
      </c>
      <c r="J728" t="s">
        <v>14</v>
      </c>
      <c r="K728" s="17">
        <v>59287</v>
      </c>
      <c r="L728" s="17" t="s">
        <v>1224</v>
      </c>
      <c r="M728" t="s">
        <v>2253</v>
      </c>
      <c r="N728" t="s">
        <v>1225</v>
      </c>
      <c r="O728">
        <v>5290</v>
      </c>
      <c r="P728">
        <v>600</v>
      </c>
      <c r="Q728">
        <v>1800</v>
      </c>
      <c r="R728" t="s">
        <v>1339</v>
      </c>
    </row>
    <row r="729" spans="1:18" x14ac:dyDescent="0.25">
      <c r="A729">
        <v>1449</v>
      </c>
      <c r="B729" t="s">
        <v>400</v>
      </c>
      <c r="C729" t="s">
        <v>401</v>
      </c>
      <c r="D729" t="str">
        <f t="shared" si="33"/>
        <v>Mitchell Ailani</v>
      </c>
      <c r="E729" t="s">
        <v>1249</v>
      </c>
      <c r="F729" s="1">
        <v>45560</v>
      </c>
      <c r="G729" s="32" t="str">
        <f t="shared" si="34"/>
        <v>Sep</v>
      </c>
      <c r="H729">
        <v>3</v>
      </c>
      <c r="I729" t="str">
        <f t="shared" si="35"/>
        <v>Gold</v>
      </c>
      <c r="J729" t="s">
        <v>1242</v>
      </c>
      <c r="K729" s="17">
        <v>82476</v>
      </c>
      <c r="L729" s="17" t="s">
        <v>1233</v>
      </c>
      <c r="M729" t="s">
        <v>2253</v>
      </c>
      <c r="N729" t="s">
        <v>1239</v>
      </c>
      <c r="O729">
        <v>870</v>
      </c>
      <c r="P729">
        <v>1200</v>
      </c>
      <c r="Q729">
        <v>3600</v>
      </c>
      <c r="R729" t="s">
        <v>1465</v>
      </c>
    </row>
    <row r="730" spans="1:18" x14ac:dyDescent="0.25">
      <c r="A730">
        <v>1541</v>
      </c>
      <c r="B730" t="s">
        <v>333</v>
      </c>
      <c r="C730" t="s">
        <v>268</v>
      </c>
      <c r="D730" t="str">
        <f t="shared" si="33"/>
        <v>Rivers Kylo</v>
      </c>
      <c r="E730" t="s">
        <v>1248</v>
      </c>
      <c r="F730" s="1">
        <v>45560</v>
      </c>
      <c r="G730" s="32" t="str">
        <f t="shared" si="34"/>
        <v>Sep</v>
      </c>
      <c r="H730">
        <v>3</v>
      </c>
      <c r="I730" t="str">
        <f t="shared" si="35"/>
        <v>Gold</v>
      </c>
      <c r="J730" t="s">
        <v>14</v>
      </c>
      <c r="K730" s="17">
        <v>59341</v>
      </c>
      <c r="L730" s="17" t="s">
        <v>1233</v>
      </c>
      <c r="M730" t="s">
        <v>2254</v>
      </c>
      <c r="N730" t="s">
        <v>1239</v>
      </c>
      <c r="O730">
        <v>870</v>
      </c>
      <c r="P730">
        <v>300</v>
      </c>
      <c r="Q730">
        <v>900</v>
      </c>
      <c r="R730" t="s">
        <v>1557</v>
      </c>
    </row>
    <row r="731" spans="1:18" x14ac:dyDescent="0.25">
      <c r="A731">
        <v>1729</v>
      </c>
      <c r="B731" t="s">
        <v>394</v>
      </c>
      <c r="C731" t="s">
        <v>696</v>
      </c>
      <c r="D731" t="str">
        <f t="shared" si="33"/>
        <v>Rich Brooklynn</v>
      </c>
      <c r="E731" t="s">
        <v>1249</v>
      </c>
      <c r="F731" s="1">
        <v>45560</v>
      </c>
      <c r="G731" s="32" t="str">
        <f t="shared" si="34"/>
        <v>Sep</v>
      </c>
      <c r="H731">
        <v>2</v>
      </c>
      <c r="I731" t="str">
        <f t="shared" si="35"/>
        <v>Silver</v>
      </c>
      <c r="J731" t="s">
        <v>1242</v>
      </c>
      <c r="K731" s="17">
        <v>61104</v>
      </c>
      <c r="L731" s="17" t="s">
        <v>1216</v>
      </c>
      <c r="M731" t="s">
        <v>2253</v>
      </c>
      <c r="N731" t="s">
        <v>1217</v>
      </c>
      <c r="O731">
        <v>2600</v>
      </c>
      <c r="P731">
        <v>1200</v>
      </c>
      <c r="Q731">
        <v>2400</v>
      </c>
      <c r="R731" t="s">
        <v>1746</v>
      </c>
    </row>
    <row r="732" spans="1:18" x14ac:dyDescent="0.25">
      <c r="A732">
        <v>1311</v>
      </c>
      <c r="B732" t="s">
        <v>17</v>
      </c>
      <c r="C732" t="s">
        <v>172</v>
      </c>
      <c r="D732" t="str">
        <f t="shared" si="33"/>
        <v>Dean Gunner</v>
      </c>
      <c r="E732" t="s">
        <v>1249</v>
      </c>
      <c r="F732" s="1">
        <v>45561</v>
      </c>
      <c r="G732" s="32" t="str">
        <f t="shared" si="34"/>
        <v>Sep</v>
      </c>
      <c r="H732">
        <v>2</v>
      </c>
      <c r="I732" t="str">
        <f t="shared" si="35"/>
        <v>Silver</v>
      </c>
      <c r="J732" t="s">
        <v>14</v>
      </c>
      <c r="K732" s="17">
        <v>55885</v>
      </c>
      <c r="L732" s="17" t="s">
        <v>1233</v>
      </c>
      <c r="M732" t="s">
        <v>2252</v>
      </c>
      <c r="N732" t="s">
        <v>1234</v>
      </c>
      <c r="O732">
        <v>800</v>
      </c>
      <c r="P732">
        <v>1200</v>
      </c>
      <c r="Q732">
        <v>2400</v>
      </c>
      <c r="R732" t="s">
        <v>1327</v>
      </c>
    </row>
    <row r="733" spans="1:18" x14ac:dyDescent="0.25">
      <c r="A733">
        <v>1672</v>
      </c>
      <c r="B733" t="s">
        <v>87</v>
      </c>
      <c r="C733" t="s">
        <v>687</v>
      </c>
      <c r="D733" t="str">
        <f t="shared" si="33"/>
        <v>Anderson Santino</v>
      </c>
      <c r="E733" t="s">
        <v>1248</v>
      </c>
      <c r="F733" s="1">
        <v>45561</v>
      </c>
      <c r="G733" s="32" t="str">
        <f t="shared" si="34"/>
        <v>Sep</v>
      </c>
      <c r="H733">
        <v>3</v>
      </c>
      <c r="I733" t="str">
        <f t="shared" si="35"/>
        <v>Gold</v>
      </c>
      <c r="J733" t="s">
        <v>1242</v>
      </c>
      <c r="K733" s="17">
        <v>18405</v>
      </c>
      <c r="L733" s="17" t="s">
        <v>1216</v>
      </c>
      <c r="M733" t="s">
        <v>2253</v>
      </c>
      <c r="N733" t="s">
        <v>1217</v>
      </c>
      <c r="O733">
        <v>2600</v>
      </c>
      <c r="P733">
        <v>300</v>
      </c>
      <c r="Q733">
        <v>900</v>
      </c>
      <c r="R733" t="s">
        <v>1689</v>
      </c>
    </row>
    <row r="734" spans="1:18" x14ac:dyDescent="0.25">
      <c r="A734">
        <v>1711</v>
      </c>
      <c r="B734" t="s">
        <v>536</v>
      </c>
      <c r="C734" t="s">
        <v>737</v>
      </c>
      <c r="D734" t="str">
        <f t="shared" si="33"/>
        <v>Case Valeria</v>
      </c>
      <c r="E734" t="s">
        <v>1208</v>
      </c>
      <c r="F734" s="1">
        <v>45561</v>
      </c>
      <c r="G734" s="32" t="str">
        <f t="shared" si="34"/>
        <v>Sep</v>
      </c>
      <c r="H734">
        <v>2</v>
      </c>
      <c r="I734" t="str">
        <f t="shared" si="35"/>
        <v>Silver</v>
      </c>
      <c r="J734" t="s">
        <v>1242</v>
      </c>
      <c r="K734" s="17">
        <v>56999</v>
      </c>
      <c r="L734" s="17" t="s">
        <v>1222</v>
      </c>
      <c r="M734" t="s">
        <v>2254</v>
      </c>
      <c r="N734" t="s">
        <v>1231</v>
      </c>
      <c r="O734">
        <v>4870</v>
      </c>
      <c r="P734">
        <v>800</v>
      </c>
      <c r="Q734">
        <v>1600</v>
      </c>
      <c r="R734" t="s">
        <v>1728</v>
      </c>
    </row>
    <row r="735" spans="1:18" x14ac:dyDescent="0.25">
      <c r="A735">
        <v>1750</v>
      </c>
      <c r="B735" t="s">
        <v>113</v>
      </c>
      <c r="C735" t="s">
        <v>777</v>
      </c>
      <c r="D735" t="str">
        <f t="shared" si="33"/>
        <v>Ochoa Connor</v>
      </c>
      <c r="E735" t="s">
        <v>1207</v>
      </c>
      <c r="F735" s="1">
        <v>45561</v>
      </c>
      <c r="G735" s="32" t="str">
        <f t="shared" si="34"/>
        <v>Sep</v>
      </c>
      <c r="H735">
        <v>1</v>
      </c>
      <c r="I735" t="str">
        <f t="shared" si="35"/>
        <v>Bronze</v>
      </c>
      <c r="J735" t="s">
        <v>14</v>
      </c>
      <c r="K735" s="17">
        <v>96483</v>
      </c>
      <c r="L735" s="17" t="s">
        <v>1218</v>
      </c>
      <c r="M735" t="s">
        <v>2254</v>
      </c>
      <c r="N735" t="s">
        <v>836</v>
      </c>
      <c r="O735">
        <v>2000</v>
      </c>
      <c r="P735">
        <v>250</v>
      </c>
      <c r="Q735">
        <v>250</v>
      </c>
      <c r="R735" t="s">
        <v>1767</v>
      </c>
    </row>
    <row r="736" spans="1:18" x14ac:dyDescent="0.25">
      <c r="A736">
        <v>2211</v>
      </c>
      <c r="B736" t="s">
        <v>265</v>
      </c>
      <c r="C736" t="s">
        <v>94</v>
      </c>
      <c r="D736" t="str">
        <f t="shared" si="33"/>
        <v>Kirby Sarai</v>
      </c>
      <c r="E736" t="s">
        <v>1203</v>
      </c>
      <c r="F736" s="1">
        <v>45561</v>
      </c>
      <c r="G736" s="32" t="str">
        <f t="shared" si="34"/>
        <v>Sep</v>
      </c>
      <c r="H736">
        <v>1</v>
      </c>
      <c r="I736" t="str">
        <f t="shared" si="35"/>
        <v>Bronze</v>
      </c>
      <c r="J736" t="s">
        <v>1242</v>
      </c>
      <c r="K736" s="17">
        <v>12522</v>
      </c>
      <c r="L736" s="17" t="s">
        <v>1228</v>
      </c>
      <c r="M736" t="s">
        <v>2254</v>
      </c>
      <c r="N736" t="s">
        <v>1230</v>
      </c>
      <c r="O736">
        <v>7000</v>
      </c>
      <c r="P736">
        <v>600</v>
      </c>
      <c r="Q736">
        <v>600</v>
      </c>
      <c r="R736" t="s">
        <v>2229</v>
      </c>
    </row>
    <row r="737" spans="1:18" x14ac:dyDescent="0.25">
      <c r="A737">
        <v>1544</v>
      </c>
      <c r="B737" t="s">
        <v>89</v>
      </c>
      <c r="C737" t="s">
        <v>529</v>
      </c>
      <c r="D737" t="str">
        <f t="shared" si="33"/>
        <v>Chan Cassidy</v>
      </c>
      <c r="E737" t="s">
        <v>1203</v>
      </c>
      <c r="F737" s="1">
        <v>45562</v>
      </c>
      <c r="G737" s="32" t="str">
        <f t="shared" si="34"/>
        <v>Sep</v>
      </c>
      <c r="H737">
        <v>2</v>
      </c>
      <c r="I737" t="str">
        <f t="shared" si="35"/>
        <v>Silver</v>
      </c>
      <c r="J737" t="s">
        <v>1242</v>
      </c>
      <c r="K737" s="17">
        <v>44738</v>
      </c>
      <c r="L737" s="17" t="s">
        <v>1218</v>
      </c>
      <c r="M737" t="s">
        <v>2252</v>
      </c>
      <c r="N737" t="s">
        <v>836</v>
      </c>
      <c r="O737">
        <v>2000</v>
      </c>
      <c r="P737">
        <v>600</v>
      </c>
      <c r="Q737">
        <v>1200</v>
      </c>
      <c r="R737" t="s">
        <v>1560</v>
      </c>
    </row>
    <row r="738" spans="1:18" x14ac:dyDescent="0.25">
      <c r="A738">
        <v>1751</v>
      </c>
      <c r="B738" t="s">
        <v>478</v>
      </c>
      <c r="C738" t="s">
        <v>352</v>
      </c>
      <c r="D738" t="str">
        <f t="shared" si="33"/>
        <v>Kramer Xander</v>
      </c>
      <c r="E738" t="s">
        <v>1208</v>
      </c>
      <c r="F738" s="1">
        <v>45562</v>
      </c>
      <c r="G738" s="32" t="str">
        <f t="shared" si="34"/>
        <v>Sep</v>
      </c>
      <c r="H738">
        <v>2</v>
      </c>
      <c r="I738" t="str">
        <f t="shared" si="35"/>
        <v>Silver</v>
      </c>
      <c r="J738" t="s">
        <v>1242</v>
      </c>
      <c r="K738" s="17">
        <v>96072</v>
      </c>
      <c r="L738" s="17" t="s">
        <v>1233</v>
      </c>
      <c r="M738" t="s">
        <v>2254</v>
      </c>
      <c r="N738" t="s">
        <v>1234</v>
      </c>
      <c r="O738">
        <v>800</v>
      </c>
      <c r="P738">
        <v>800</v>
      </c>
      <c r="Q738">
        <v>1600</v>
      </c>
      <c r="R738" t="s">
        <v>1768</v>
      </c>
    </row>
    <row r="739" spans="1:18" x14ac:dyDescent="0.25">
      <c r="A739">
        <v>1278</v>
      </c>
      <c r="B739" t="s">
        <v>113</v>
      </c>
      <c r="C739" t="s">
        <v>114</v>
      </c>
      <c r="D739" t="str">
        <f t="shared" si="33"/>
        <v>Ochoa Wyatt</v>
      </c>
      <c r="E739" t="s">
        <v>1249</v>
      </c>
      <c r="F739" s="1">
        <v>45563</v>
      </c>
      <c r="G739" s="32" t="str">
        <f t="shared" si="34"/>
        <v>Sep</v>
      </c>
      <c r="H739">
        <v>2</v>
      </c>
      <c r="I739" t="str">
        <f t="shared" si="35"/>
        <v>Silver</v>
      </c>
      <c r="J739" t="s">
        <v>14</v>
      </c>
      <c r="K739" s="17">
        <v>33911</v>
      </c>
      <c r="L739" s="17" t="s">
        <v>1218</v>
      </c>
      <c r="M739" t="s">
        <v>2255</v>
      </c>
      <c r="N739" t="s">
        <v>1235</v>
      </c>
      <c r="O739">
        <v>2500</v>
      </c>
      <c r="P739">
        <v>1200</v>
      </c>
      <c r="Q739">
        <v>2400</v>
      </c>
      <c r="R739" t="s">
        <v>1294</v>
      </c>
    </row>
    <row r="740" spans="1:18" x14ac:dyDescent="0.25">
      <c r="A740">
        <v>1534</v>
      </c>
      <c r="B740" t="s">
        <v>517</v>
      </c>
      <c r="C740" t="s">
        <v>518</v>
      </c>
      <c r="D740" t="str">
        <f t="shared" si="33"/>
        <v>Henry Cora</v>
      </c>
      <c r="E740" t="s">
        <v>1208</v>
      </c>
      <c r="F740" s="1">
        <v>45563</v>
      </c>
      <c r="G740" s="32" t="str">
        <f t="shared" si="34"/>
        <v>Sep</v>
      </c>
      <c r="H740">
        <v>1</v>
      </c>
      <c r="I740" t="str">
        <f t="shared" si="35"/>
        <v>Bronze</v>
      </c>
      <c r="J740" t="s">
        <v>14</v>
      </c>
      <c r="K740" s="17">
        <v>13464</v>
      </c>
      <c r="L740" s="17" t="s">
        <v>1222</v>
      </c>
      <c r="M740" t="s">
        <v>2256</v>
      </c>
      <c r="N740" t="s">
        <v>1231</v>
      </c>
      <c r="O740">
        <v>4870</v>
      </c>
      <c r="P740">
        <v>800</v>
      </c>
      <c r="Q740">
        <v>800</v>
      </c>
      <c r="R740" t="s">
        <v>1550</v>
      </c>
    </row>
    <row r="741" spans="1:18" x14ac:dyDescent="0.25">
      <c r="A741">
        <v>1599</v>
      </c>
      <c r="B741" t="s">
        <v>599</v>
      </c>
      <c r="C741" t="s">
        <v>179</v>
      </c>
      <c r="D741" t="str">
        <f t="shared" si="33"/>
        <v>Smith Ari</v>
      </c>
      <c r="E741" t="s">
        <v>1205</v>
      </c>
      <c r="F741" s="1">
        <v>45563</v>
      </c>
      <c r="G741" s="32" t="str">
        <f t="shared" si="34"/>
        <v>Sep</v>
      </c>
      <c r="H741">
        <v>2</v>
      </c>
      <c r="I741" t="str">
        <f t="shared" si="35"/>
        <v>Silver</v>
      </c>
      <c r="J741" t="s">
        <v>14</v>
      </c>
      <c r="K741" s="17">
        <v>41826</v>
      </c>
      <c r="L741" s="17" t="s">
        <v>1214</v>
      </c>
      <c r="M741" t="s">
        <v>2253</v>
      </c>
      <c r="N741" t="s">
        <v>1215</v>
      </c>
      <c r="O741">
        <v>6725</v>
      </c>
      <c r="P741">
        <v>250</v>
      </c>
      <c r="Q741">
        <v>500</v>
      </c>
      <c r="R741" t="s">
        <v>1615</v>
      </c>
    </row>
    <row r="742" spans="1:18" x14ac:dyDescent="0.25">
      <c r="A742">
        <v>2133</v>
      </c>
      <c r="B742" t="s">
        <v>810</v>
      </c>
      <c r="C742" t="s">
        <v>82</v>
      </c>
      <c r="D742" t="str">
        <f t="shared" si="33"/>
        <v>Travis Sawyer</v>
      </c>
      <c r="E742" t="s">
        <v>1249</v>
      </c>
      <c r="F742" s="1">
        <v>45563</v>
      </c>
      <c r="G742" s="32" t="str">
        <f t="shared" si="34"/>
        <v>Sep</v>
      </c>
      <c r="H742">
        <v>2</v>
      </c>
      <c r="I742" t="str">
        <f t="shared" si="35"/>
        <v>Silver</v>
      </c>
      <c r="J742" t="s">
        <v>14</v>
      </c>
      <c r="K742" s="17">
        <v>18009</v>
      </c>
      <c r="L742" s="17" t="s">
        <v>1233</v>
      </c>
      <c r="M742" t="s">
        <v>2254</v>
      </c>
      <c r="N742" t="s">
        <v>1239</v>
      </c>
      <c r="O742">
        <v>870</v>
      </c>
      <c r="P742">
        <v>1200</v>
      </c>
      <c r="Q742">
        <v>2400</v>
      </c>
      <c r="R742" t="s">
        <v>2151</v>
      </c>
    </row>
    <row r="743" spans="1:18" x14ac:dyDescent="0.25">
      <c r="A743">
        <v>1582</v>
      </c>
      <c r="B743" t="s">
        <v>118</v>
      </c>
      <c r="C743" t="s">
        <v>581</v>
      </c>
      <c r="D743" t="str">
        <f t="shared" si="33"/>
        <v>Blevins Alejandro</v>
      </c>
      <c r="E743" t="s">
        <v>1249</v>
      </c>
      <c r="F743" s="1">
        <v>45564</v>
      </c>
      <c r="G743" s="32" t="str">
        <f t="shared" si="34"/>
        <v>Sep</v>
      </c>
      <c r="H743">
        <v>1</v>
      </c>
      <c r="I743" t="str">
        <f t="shared" si="35"/>
        <v>Bronze</v>
      </c>
      <c r="J743" t="s">
        <v>1242</v>
      </c>
      <c r="K743" s="17">
        <v>48102</v>
      </c>
      <c r="L743" s="17" t="s">
        <v>1228</v>
      </c>
      <c r="M743" t="s">
        <v>2254</v>
      </c>
      <c r="N743" t="s">
        <v>1230</v>
      </c>
      <c r="O743">
        <v>7000</v>
      </c>
      <c r="P743">
        <v>1200</v>
      </c>
      <c r="Q743">
        <v>1200</v>
      </c>
      <c r="R743" t="s">
        <v>1598</v>
      </c>
    </row>
    <row r="744" spans="1:18" x14ac:dyDescent="0.25">
      <c r="A744">
        <v>1754</v>
      </c>
      <c r="B744" t="s">
        <v>531</v>
      </c>
      <c r="C744" t="s">
        <v>780</v>
      </c>
      <c r="D744" t="str">
        <f t="shared" si="33"/>
        <v>Gregory Kairo</v>
      </c>
      <c r="E744" t="s">
        <v>1208</v>
      </c>
      <c r="F744" s="1">
        <v>45564</v>
      </c>
      <c r="G744" s="32" t="str">
        <f t="shared" si="34"/>
        <v>Sep</v>
      </c>
      <c r="H744">
        <v>1</v>
      </c>
      <c r="I744" t="str">
        <f t="shared" si="35"/>
        <v>Bronze</v>
      </c>
      <c r="J744" t="s">
        <v>1243</v>
      </c>
      <c r="K744" s="17">
        <v>22869</v>
      </c>
      <c r="L744" s="17" t="s">
        <v>1228</v>
      </c>
      <c r="M744" t="s">
        <v>2256</v>
      </c>
      <c r="N744" t="s">
        <v>1229</v>
      </c>
      <c r="O744">
        <v>7250</v>
      </c>
      <c r="P744">
        <v>800</v>
      </c>
      <c r="Q744">
        <v>800</v>
      </c>
      <c r="R744" t="s">
        <v>1771</v>
      </c>
    </row>
    <row r="745" spans="1:18" x14ac:dyDescent="0.25">
      <c r="A745">
        <v>1838</v>
      </c>
      <c r="B745" t="s">
        <v>868</v>
      </c>
      <c r="C745" t="s">
        <v>300</v>
      </c>
      <c r="D745" t="str">
        <f t="shared" si="33"/>
        <v>Craig Abel</v>
      </c>
      <c r="E745" t="s">
        <v>1249</v>
      </c>
      <c r="F745" s="1">
        <v>45564</v>
      </c>
      <c r="G745" s="32" t="str">
        <f t="shared" si="34"/>
        <v>Sep</v>
      </c>
      <c r="H745">
        <v>3</v>
      </c>
      <c r="I745" t="str">
        <f t="shared" si="35"/>
        <v>Gold</v>
      </c>
      <c r="J745" t="s">
        <v>14</v>
      </c>
      <c r="K745" s="17">
        <v>73272</v>
      </c>
      <c r="L745" s="17" t="s">
        <v>1233</v>
      </c>
      <c r="M745" t="s">
        <v>2252</v>
      </c>
      <c r="N745" t="s">
        <v>1239</v>
      </c>
      <c r="O745">
        <v>870</v>
      </c>
      <c r="P745">
        <v>1200</v>
      </c>
      <c r="Q745">
        <v>3600</v>
      </c>
      <c r="R745" t="s">
        <v>1855</v>
      </c>
    </row>
    <row r="746" spans="1:18" x14ac:dyDescent="0.25">
      <c r="A746">
        <v>1610</v>
      </c>
      <c r="B746" t="s">
        <v>612</v>
      </c>
      <c r="C746" t="s">
        <v>539</v>
      </c>
      <c r="D746" t="str">
        <f t="shared" si="33"/>
        <v>Ahmed Milani</v>
      </c>
      <c r="E746" t="s">
        <v>1248</v>
      </c>
      <c r="F746" s="1">
        <v>45566</v>
      </c>
      <c r="G746" s="32" t="str">
        <f t="shared" si="34"/>
        <v>Oct</v>
      </c>
      <c r="H746">
        <v>3</v>
      </c>
      <c r="I746" t="str">
        <f t="shared" si="35"/>
        <v>Gold</v>
      </c>
      <c r="J746" t="s">
        <v>1243</v>
      </c>
      <c r="K746" s="17">
        <v>3322</v>
      </c>
      <c r="L746" s="17" t="s">
        <v>1224</v>
      </c>
      <c r="M746" t="s">
        <v>2253</v>
      </c>
      <c r="N746" t="s">
        <v>1238</v>
      </c>
      <c r="O746">
        <v>5600</v>
      </c>
      <c r="P746">
        <v>300</v>
      </c>
      <c r="Q746">
        <v>900</v>
      </c>
      <c r="R746" t="s">
        <v>1626</v>
      </c>
    </row>
    <row r="747" spans="1:18" x14ac:dyDescent="0.25">
      <c r="A747">
        <v>1724</v>
      </c>
      <c r="B747" t="s">
        <v>318</v>
      </c>
      <c r="C747" t="s">
        <v>749</v>
      </c>
      <c r="D747" t="str">
        <f t="shared" si="33"/>
        <v>Reed Haven</v>
      </c>
      <c r="E747" t="s">
        <v>1208</v>
      </c>
      <c r="F747" s="1">
        <v>45567</v>
      </c>
      <c r="G747" s="32" t="str">
        <f t="shared" si="34"/>
        <v>Oct</v>
      </c>
      <c r="H747">
        <v>1</v>
      </c>
      <c r="I747" t="str">
        <f t="shared" si="35"/>
        <v>Bronze</v>
      </c>
      <c r="J747" t="s">
        <v>18</v>
      </c>
      <c r="K747" s="17">
        <v>25681</v>
      </c>
      <c r="L747" s="17" t="s">
        <v>1224</v>
      </c>
      <c r="M747" t="s">
        <v>2253</v>
      </c>
      <c r="N747" t="s">
        <v>1238</v>
      </c>
      <c r="O747">
        <v>5600</v>
      </c>
      <c r="P747">
        <v>800</v>
      </c>
      <c r="Q747">
        <v>800</v>
      </c>
      <c r="R747" t="s">
        <v>1741</v>
      </c>
    </row>
    <row r="748" spans="1:18" x14ac:dyDescent="0.25">
      <c r="A748">
        <v>2083</v>
      </c>
      <c r="B748" t="s">
        <v>1085</v>
      </c>
      <c r="C748" t="s">
        <v>288</v>
      </c>
      <c r="D748" t="str">
        <f t="shared" si="33"/>
        <v>Pope Rose</v>
      </c>
      <c r="E748" t="s">
        <v>1249</v>
      </c>
      <c r="F748" s="1">
        <v>45567</v>
      </c>
      <c r="G748" s="32" t="str">
        <f t="shared" si="34"/>
        <v>Oct</v>
      </c>
      <c r="H748">
        <v>2</v>
      </c>
      <c r="I748" t="str">
        <f t="shared" si="35"/>
        <v>Silver</v>
      </c>
      <c r="J748" t="s">
        <v>18</v>
      </c>
      <c r="K748" s="17">
        <v>88466</v>
      </c>
      <c r="L748" s="17" t="s">
        <v>1228</v>
      </c>
      <c r="M748" t="s">
        <v>2254</v>
      </c>
      <c r="N748" t="s">
        <v>1240</v>
      </c>
      <c r="O748">
        <v>7310</v>
      </c>
      <c r="P748">
        <v>1200</v>
      </c>
      <c r="Q748">
        <v>2400</v>
      </c>
      <c r="R748" t="s">
        <v>2100</v>
      </c>
    </row>
    <row r="749" spans="1:18" x14ac:dyDescent="0.25">
      <c r="A749">
        <v>1370</v>
      </c>
      <c r="B749" t="s">
        <v>273</v>
      </c>
      <c r="C749" t="s">
        <v>274</v>
      </c>
      <c r="D749" t="str">
        <f t="shared" si="33"/>
        <v>Vo Kai</v>
      </c>
      <c r="E749" t="s">
        <v>1249</v>
      </c>
      <c r="F749" s="1">
        <v>45568</v>
      </c>
      <c r="G749" s="32" t="str">
        <f t="shared" si="34"/>
        <v>Oct</v>
      </c>
      <c r="H749">
        <v>2</v>
      </c>
      <c r="I749" t="str">
        <f t="shared" si="35"/>
        <v>Silver</v>
      </c>
      <c r="J749" t="s">
        <v>1243</v>
      </c>
      <c r="K749" s="17">
        <v>92479</v>
      </c>
      <c r="L749" s="17" t="s">
        <v>1233</v>
      </c>
      <c r="M749" t="s">
        <v>2256</v>
      </c>
      <c r="N749" t="s">
        <v>1239</v>
      </c>
      <c r="O749">
        <v>870</v>
      </c>
      <c r="P749">
        <v>1200</v>
      </c>
      <c r="Q749">
        <v>2400</v>
      </c>
      <c r="R749" t="s">
        <v>1386</v>
      </c>
    </row>
    <row r="750" spans="1:18" x14ac:dyDescent="0.25">
      <c r="A750">
        <v>1567</v>
      </c>
      <c r="B750" t="s">
        <v>563</v>
      </c>
      <c r="C750" t="s">
        <v>564</v>
      </c>
      <c r="D750" t="str">
        <f t="shared" si="33"/>
        <v>Ashley Zaire</v>
      </c>
      <c r="E750" t="s">
        <v>1207</v>
      </c>
      <c r="F750" s="1">
        <v>45568</v>
      </c>
      <c r="G750" s="32" t="str">
        <f t="shared" si="34"/>
        <v>Oct</v>
      </c>
      <c r="H750">
        <v>2</v>
      </c>
      <c r="I750" t="str">
        <f t="shared" si="35"/>
        <v>Silver</v>
      </c>
      <c r="J750" t="s">
        <v>1243</v>
      </c>
      <c r="K750" s="17">
        <v>8187</v>
      </c>
      <c r="L750" s="17" t="s">
        <v>1233</v>
      </c>
      <c r="M750" t="s">
        <v>2255</v>
      </c>
      <c r="N750" t="s">
        <v>1234</v>
      </c>
      <c r="O750">
        <v>800</v>
      </c>
      <c r="P750">
        <v>250</v>
      </c>
      <c r="Q750">
        <v>500</v>
      </c>
      <c r="R750" t="s">
        <v>1583</v>
      </c>
    </row>
    <row r="751" spans="1:18" x14ac:dyDescent="0.25">
      <c r="A751">
        <v>1720</v>
      </c>
      <c r="B751" t="s">
        <v>353</v>
      </c>
      <c r="C751" t="s">
        <v>745</v>
      </c>
      <c r="D751" t="str">
        <f t="shared" si="33"/>
        <v>Escobar Madelyn</v>
      </c>
      <c r="E751" t="s">
        <v>1248</v>
      </c>
      <c r="F751" s="1">
        <v>45569</v>
      </c>
      <c r="G751" s="32" t="str">
        <f t="shared" si="34"/>
        <v>Oct</v>
      </c>
      <c r="H751">
        <v>1</v>
      </c>
      <c r="I751" t="str">
        <f t="shared" si="35"/>
        <v>Bronze</v>
      </c>
      <c r="J751" t="s">
        <v>14</v>
      </c>
      <c r="K751" s="17">
        <v>85022</v>
      </c>
      <c r="L751" s="17" t="s">
        <v>1218</v>
      </c>
      <c r="M751" t="s">
        <v>2255</v>
      </c>
      <c r="N751" t="s">
        <v>836</v>
      </c>
      <c r="O751">
        <v>2000</v>
      </c>
      <c r="P751">
        <v>300</v>
      </c>
      <c r="Q751">
        <v>300</v>
      </c>
      <c r="R751" t="s">
        <v>1737</v>
      </c>
    </row>
    <row r="752" spans="1:18" x14ac:dyDescent="0.25">
      <c r="A752">
        <v>1804</v>
      </c>
      <c r="B752" t="s">
        <v>805</v>
      </c>
      <c r="C752" t="s">
        <v>831</v>
      </c>
      <c r="D752" t="str">
        <f t="shared" si="33"/>
        <v>Gross Theo</v>
      </c>
      <c r="E752" t="s">
        <v>1249</v>
      </c>
      <c r="F752" s="1">
        <v>45569</v>
      </c>
      <c r="G752" s="32" t="str">
        <f t="shared" si="34"/>
        <v>Oct</v>
      </c>
      <c r="H752">
        <v>3</v>
      </c>
      <c r="I752" t="str">
        <f t="shared" si="35"/>
        <v>Gold</v>
      </c>
      <c r="J752" t="s">
        <v>1242</v>
      </c>
      <c r="K752" s="17">
        <v>78322</v>
      </c>
      <c r="L752" s="17" t="s">
        <v>1214</v>
      </c>
      <c r="M752" t="s">
        <v>2255</v>
      </c>
      <c r="N752" t="s">
        <v>1227</v>
      </c>
      <c r="O752">
        <v>6160</v>
      </c>
      <c r="P752">
        <v>1200</v>
      </c>
      <c r="Q752">
        <v>3600</v>
      </c>
      <c r="R752" t="s">
        <v>1821</v>
      </c>
    </row>
    <row r="753" spans="1:18" x14ac:dyDescent="0.25">
      <c r="A753">
        <v>1392</v>
      </c>
      <c r="B753" t="s">
        <v>128</v>
      </c>
      <c r="C753" t="s">
        <v>125</v>
      </c>
      <c r="D753" t="str">
        <f t="shared" si="33"/>
        <v>Hunter Abigail</v>
      </c>
      <c r="E753" t="s">
        <v>1205</v>
      </c>
      <c r="F753" s="1">
        <v>45570</v>
      </c>
      <c r="G753" s="32" t="str">
        <f t="shared" si="34"/>
        <v>Oct</v>
      </c>
      <c r="H753">
        <v>3</v>
      </c>
      <c r="I753" t="str">
        <f t="shared" si="35"/>
        <v>Gold</v>
      </c>
      <c r="J753" t="s">
        <v>1242</v>
      </c>
      <c r="K753" s="17">
        <v>92727</v>
      </c>
      <c r="L753" s="17" t="s">
        <v>1222</v>
      </c>
      <c r="M753" t="s">
        <v>2255</v>
      </c>
      <c r="N753" t="s">
        <v>1237</v>
      </c>
      <c r="O753">
        <v>4000</v>
      </c>
      <c r="P753">
        <v>250</v>
      </c>
      <c r="Q753">
        <v>750</v>
      </c>
      <c r="R753" t="s">
        <v>1408</v>
      </c>
    </row>
    <row r="754" spans="1:18" x14ac:dyDescent="0.25">
      <c r="A754">
        <v>1612</v>
      </c>
      <c r="B754" t="s">
        <v>614</v>
      </c>
      <c r="C754" t="s">
        <v>615</v>
      </c>
      <c r="D754" t="str">
        <f t="shared" si="33"/>
        <v>Conner Arthur</v>
      </c>
      <c r="E754" t="s">
        <v>1249</v>
      </c>
      <c r="F754" s="1">
        <v>45570</v>
      </c>
      <c r="G754" s="32" t="str">
        <f t="shared" si="34"/>
        <v>Oct</v>
      </c>
      <c r="H754">
        <v>1</v>
      </c>
      <c r="I754" t="str">
        <f t="shared" si="35"/>
        <v>Bronze</v>
      </c>
      <c r="J754" t="s">
        <v>14</v>
      </c>
      <c r="K754" s="17">
        <v>81022</v>
      </c>
      <c r="L754" s="17" t="s">
        <v>1224</v>
      </c>
      <c r="M754" t="s">
        <v>2256</v>
      </c>
      <c r="N754" t="s">
        <v>1225</v>
      </c>
      <c r="O754">
        <v>5290</v>
      </c>
      <c r="P754">
        <v>1200</v>
      </c>
      <c r="Q754">
        <v>1200</v>
      </c>
      <c r="R754" t="s">
        <v>1628</v>
      </c>
    </row>
    <row r="755" spans="1:18" x14ac:dyDescent="0.25">
      <c r="A755">
        <v>1401</v>
      </c>
      <c r="B755" t="s">
        <v>322</v>
      </c>
      <c r="C755" t="s">
        <v>323</v>
      </c>
      <c r="D755" t="str">
        <f t="shared" si="33"/>
        <v>Stokes Jace</v>
      </c>
      <c r="E755" t="s">
        <v>1249</v>
      </c>
      <c r="F755" s="1">
        <v>45571</v>
      </c>
      <c r="G755" s="32" t="str">
        <f t="shared" si="34"/>
        <v>Oct</v>
      </c>
      <c r="H755">
        <v>1</v>
      </c>
      <c r="I755" t="str">
        <f t="shared" si="35"/>
        <v>Bronze</v>
      </c>
      <c r="J755" t="s">
        <v>14</v>
      </c>
      <c r="K755" s="17">
        <v>23809</v>
      </c>
      <c r="L755" s="17" t="s">
        <v>1233</v>
      </c>
      <c r="M755" t="s">
        <v>2255</v>
      </c>
      <c r="N755" t="s">
        <v>1239</v>
      </c>
      <c r="O755">
        <v>870</v>
      </c>
      <c r="P755">
        <v>1200</v>
      </c>
      <c r="Q755">
        <v>1200</v>
      </c>
      <c r="R755" t="s">
        <v>1417</v>
      </c>
    </row>
    <row r="756" spans="1:18" x14ac:dyDescent="0.25">
      <c r="A756">
        <v>1689</v>
      </c>
      <c r="B756" t="s">
        <v>709</v>
      </c>
      <c r="C756" t="s">
        <v>710</v>
      </c>
      <c r="D756" t="str">
        <f t="shared" si="33"/>
        <v>Hensley Sienna</v>
      </c>
      <c r="E756" t="s">
        <v>1208</v>
      </c>
      <c r="F756" s="1">
        <v>45571</v>
      </c>
      <c r="G756" s="32" t="str">
        <f t="shared" si="34"/>
        <v>Oct</v>
      </c>
      <c r="H756">
        <v>3</v>
      </c>
      <c r="I756" t="str">
        <f t="shared" si="35"/>
        <v>Gold</v>
      </c>
      <c r="J756" t="s">
        <v>14</v>
      </c>
      <c r="K756" s="17">
        <v>25905</v>
      </c>
      <c r="L756" s="17" t="s">
        <v>1228</v>
      </c>
      <c r="M756" t="s">
        <v>2253</v>
      </c>
      <c r="N756" t="s">
        <v>1229</v>
      </c>
      <c r="O756">
        <v>7250</v>
      </c>
      <c r="P756">
        <v>800</v>
      </c>
      <c r="Q756">
        <v>2400</v>
      </c>
      <c r="R756" t="s">
        <v>1706</v>
      </c>
    </row>
    <row r="757" spans="1:18" x14ac:dyDescent="0.25">
      <c r="A757">
        <v>1820</v>
      </c>
      <c r="B757" t="s">
        <v>847</v>
      </c>
      <c r="C757" t="s">
        <v>63</v>
      </c>
      <c r="D757" t="str">
        <f t="shared" si="33"/>
        <v>Carr Madelynn</v>
      </c>
      <c r="E757" t="s">
        <v>1249</v>
      </c>
      <c r="F757" s="1">
        <v>45571</v>
      </c>
      <c r="G757" s="32" t="str">
        <f t="shared" si="34"/>
        <v>Oct</v>
      </c>
      <c r="H757">
        <v>3</v>
      </c>
      <c r="I757" t="str">
        <f t="shared" si="35"/>
        <v>Gold</v>
      </c>
      <c r="J757" t="s">
        <v>14</v>
      </c>
      <c r="K757" s="17">
        <v>89659</v>
      </c>
      <c r="L757" s="17" t="s">
        <v>1220</v>
      </c>
      <c r="M757" t="s">
        <v>2255</v>
      </c>
      <c r="N757" t="s">
        <v>1232</v>
      </c>
      <c r="O757">
        <v>3000</v>
      </c>
      <c r="P757">
        <v>1200</v>
      </c>
      <c r="Q757">
        <v>3600</v>
      </c>
      <c r="R757" t="s">
        <v>1837</v>
      </c>
    </row>
    <row r="758" spans="1:18" x14ac:dyDescent="0.25">
      <c r="A758">
        <v>1944</v>
      </c>
      <c r="B758" t="s">
        <v>493</v>
      </c>
      <c r="C758" t="s">
        <v>771</v>
      </c>
      <c r="D758" t="str">
        <f t="shared" si="33"/>
        <v>Estes Eduardo</v>
      </c>
      <c r="E758" t="s">
        <v>1205</v>
      </c>
      <c r="F758" s="1">
        <v>45571</v>
      </c>
      <c r="G758" s="32" t="str">
        <f t="shared" si="34"/>
        <v>Oct</v>
      </c>
      <c r="H758">
        <v>3</v>
      </c>
      <c r="I758" t="str">
        <f t="shared" si="35"/>
        <v>Gold</v>
      </c>
      <c r="J758" t="s">
        <v>14</v>
      </c>
      <c r="K758" s="17">
        <v>95441</v>
      </c>
      <c r="L758" s="17" t="s">
        <v>1228</v>
      </c>
      <c r="M758" t="s">
        <v>2254</v>
      </c>
      <c r="N758" t="s">
        <v>1229</v>
      </c>
      <c r="O758">
        <v>7250</v>
      </c>
      <c r="P758">
        <v>250</v>
      </c>
      <c r="Q758">
        <v>750</v>
      </c>
      <c r="R758" t="s">
        <v>1961</v>
      </c>
    </row>
    <row r="759" spans="1:18" x14ac:dyDescent="0.25">
      <c r="A759">
        <v>1274</v>
      </c>
      <c r="B759" t="s">
        <v>105</v>
      </c>
      <c r="C759" t="s">
        <v>106</v>
      </c>
      <c r="D759" t="str">
        <f t="shared" si="33"/>
        <v>Hinton Josiah</v>
      </c>
      <c r="E759" t="s">
        <v>1249</v>
      </c>
      <c r="F759" s="1">
        <v>45572</v>
      </c>
      <c r="G759" s="32" t="str">
        <f t="shared" si="34"/>
        <v>Oct</v>
      </c>
      <c r="H759">
        <v>1</v>
      </c>
      <c r="I759" t="str">
        <f t="shared" si="35"/>
        <v>Bronze</v>
      </c>
      <c r="J759" t="s">
        <v>1242</v>
      </c>
      <c r="K759" s="17">
        <v>15417</v>
      </c>
      <c r="L759" s="17" t="s">
        <v>1222</v>
      </c>
      <c r="M759" t="s">
        <v>2255</v>
      </c>
      <c r="N759" t="s">
        <v>1223</v>
      </c>
      <c r="O759">
        <v>4217</v>
      </c>
      <c r="P759">
        <v>1200</v>
      </c>
      <c r="Q759">
        <v>1200</v>
      </c>
      <c r="R759" t="s">
        <v>1290</v>
      </c>
    </row>
    <row r="760" spans="1:18" x14ac:dyDescent="0.25">
      <c r="A760">
        <v>1361</v>
      </c>
      <c r="B760" t="s">
        <v>257</v>
      </c>
      <c r="C760" t="s">
        <v>258</v>
      </c>
      <c r="D760" t="str">
        <f t="shared" si="33"/>
        <v>Griffin Isabella</v>
      </c>
      <c r="E760" t="s">
        <v>1207</v>
      </c>
      <c r="F760" s="1">
        <v>45572</v>
      </c>
      <c r="G760" s="32" t="str">
        <f t="shared" si="34"/>
        <v>Oct</v>
      </c>
      <c r="H760">
        <v>3</v>
      </c>
      <c r="I760" t="str">
        <f t="shared" si="35"/>
        <v>Gold</v>
      </c>
      <c r="J760" t="s">
        <v>1243</v>
      </c>
      <c r="K760" s="17">
        <v>60329</v>
      </c>
      <c r="L760" s="17" t="s">
        <v>1216</v>
      </c>
      <c r="M760" t="s">
        <v>2252</v>
      </c>
      <c r="N760" t="s">
        <v>1217</v>
      </c>
      <c r="O760">
        <v>2600</v>
      </c>
      <c r="P760">
        <v>250</v>
      </c>
      <c r="Q760">
        <v>750</v>
      </c>
      <c r="R760" t="s">
        <v>1377</v>
      </c>
    </row>
    <row r="761" spans="1:18" x14ac:dyDescent="0.25">
      <c r="A761">
        <v>1519</v>
      </c>
      <c r="B761" t="s">
        <v>500</v>
      </c>
      <c r="C761" t="s">
        <v>501</v>
      </c>
      <c r="D761" t="str">
        <f t="shared" si="33"/>
        <v>Beil Kaleb</v>
      </c>
      <c r="E761" t="s">
        <v>1203</v>
      </c>
      <c r="F761" s="1">
        <v>45572</v>
      </c>
      <c r="G761" s="32" t="str">
        <f t="shared" si="34"/>
        <v>Oct</v>
      </c>
      <c r="H761">
        <v>1</v>
      </c>
      <c r="I761" t="str">
        <f t="shared" si="35"/>
        <v>Bronze</v>
      </c>
      <c r="J761" t="s">
        <v>14</v>
      </c>
      <c r="K761" s="17">
        <v>80363</v>
      </c>
      <c r="L761" s="17" t="s">
        <v>1224</v>
      </c>
      <c r="M761" t="s">
        <v>2256</v>
      </c>
      <c r="N761" t="s">
        <v>1225</v>
      </c>
      <c r="O761">
        <v>5290</v>
      </c>
      <c r="P761">
        <v>600</v>
      </c>
      <c r="Q761">
        <v>600</v>
      </c>
      <c r="R761" t="s">
        <v>1535</v>
      </c>
    </row>
    <row r="762" spans="1:18" x14ac:dyDescent="0.25">
      <c r="A762">
        <v>2176</v>
      </c>
      <c r="B762" t="s">
        <v>206</v>
      </c>
      <c r="C762" t="s">
        <v>1015</v>
      </c>
      <c r="D762" t="str">
        <f t="shared" si="33"/>
        <v>Weiss Fatima</v>
      </c>
      <c r="E762" t="s">
        <v>1203</v>
      </c>
      <c r="F762" s="1">
        <v>45572</v>
      </c>
      <c r="G762" s="32" t="str">
        <f t="shared" si="34"/>
        <v>Oct</v>
      </c>
      <c r="H762">
        <v>3</v>
      </c>
      <c r="I762" t="str">
        <f t="shared" si="35"/>
        <v>Gold</v>
      </c>
      <c r="J762" t="s">
        <v>14</v>
      </c>
      <c r="K762" s="17">
        <v>74187</v>
      </c>
      <c r="L762" s="17" t="s">
        <v>1233</v>
      </c>
      <c r="M762" t="s">
        <v>2254</v>
      </c>
      <c r="N762" t="s">
        <v>1234</v>
      </c>
      <c r="O762">
        <v>800</v>
      </c>
      <c r="P762">
        <v>600</v>
      </c>
      <c r="Q762">
        <v>1800</v>
      </c>
      <c r="R762" t="s">
        <v>2194</v>
      </c>
    </row>
    <row r="763" spans="1:18" x14ac:dyDescent="0.25">
      <c r="A763">
        <v>1619</v>
      </c>
      <c r="B763" t="s">
        <v>623</v>
      </c>
      <c r="C763" t="s">
        <v>453</v>
      </c>
      <c r="D763" t="str">
        <f t="shared" si="33"/>
        <v>Poole Damian</v>
      </c>
      <c r="E763" t="s">
        <v>1249</v>
      </c>
      <c r="F763" s="1">
        <v>45573</v>
      </c>
      <c r="G763" s="32" t="str">
        <f t="shared" si="34"/>
        <v>Oct</v>
      </c>
      <c r="H763">
        <v>2</v>
      </c>
      <c r="I763" t="str">
        <f t="shared" si="35"/>
        <v>Silver</v>
      </c>
      <c r="J763" t="s">
        <v>14</v>
      </c>
      <c r="K763" s="17">
        <v>96385</v>
      </c>
      <c r="L763" s="17" t="s">
        <v>1222</v>
      </c>
      <c r="M763" t="s">
        <v>2252</v>
      </c>
      <c r="N763" t="s">
        <v>1231</v>
      </c>
      <c r="O763">
        <v>4870</v>
      </c>
      <c r="P763">
        <v>1200</v>
      </c>
      <c r="Q763">
        <v>2400</v>
      </c>
      <c r="R763" t="s">
        <v>1636</v>
      </c>
    </row>
    <row r="764" spans="1:18" x14ac:dyDescent="0.25">
      <c r="A764">
        <v>1433</v>
      </c>
      <c r="B764" t="s">
        <v>373</v>
      </c>
      <c r="C764" t="s">
        <v>374</v>
      </c>
      <c r="D764" t="str">
        <f t="shared" si="33"/>
        <v>Kirk Mathias</v>
      </c>
      <c r="E764" t="s">
        <v>1203</v>
      </c>
      <c r="F764" s="1">
        <v>45574</v>
      </c>
      <c r="G764" s="32" t="str">
        <f t="shared" si="34"/>
        <v>Oct</v>
      </c>
      <c r="H764">
        <v>3</v>
      </c>
      <c r="I764" t="str">
        <f t="shared" si="35"/>
        <v>Gold</v>
      </c>
      <c r="J764" t="s">
        <v>1242</v>
      </c>
      <c r="K764" s="17">
        <v>72046</v>
      </c>
      <c r="L764" s="17" t="s">
        <v>1218</v>
      </c>
      <c r="M764" t="s">
        <v>2256</v>
      </c>
      <c r="N764" t="s">
        <v>1235</v>
      </c>
      <c r="O764">
        <v>2500</v>
      </c>
      <c r="P764">
        <v>600</v>
      </c>
      <c r="Q764">
        <v>1800</v>
      </c>
      <c r="R764" t="s">
        <v>1449</v>
      </c>
    </row>
    <row r="765" spans="1:18" x14ac:dyDescent="0.25">
      <c r="A765">
        <v>1753</v>
      </c>
      <c r="B765" t="s">
        <v>779</v>
      </c>
      <c r="C765" t="s">
        <v>69</v>
      </c>
      <c r="D765" t="str">
        <f t="shared" si="33"/>
        <v>Hess Ronin</v>
      </c>
      <c r="E765" t="s">
        <v>1249</v>
      </c>
      <c r="F765" s="1">
        <v>45574</v>
      </c>
      <c r="G765" s="32" t="str">
        <f t="shared" si="34"/>
        <v>Oct</v>
      </c>
      <c r="H765">
        <v>1</v>
      </c>
      <c r="I765" t="str">
        <f t="shared" si="35"/>
        <v>Bronze</v>
      </c>
      <c r="J765" t="s">
        <v>1242</v>
      </c>
      <c r="K765" s="17">
        <v>39844</v>
      </c>
      <c r="L765" s="17" t="s">
        <v>1218</v>
      </c>
      <c r="M765" t="s">
        <v>2254</v>
      </c>
      <c r="N765" t="s">
        <v>836</v>
      </c>
      <c r="O765">
        <v>2000</v>
      </c>
      <c r="P765">
        <v>1200</v>
      </c>
      <c r="Q765">
        <v>1200</v>
      </c>
      <c r="R765" t="s">
        <v>1770</v>
      </c>
    </row>
    <row r="766" spans="1:18" x14ac:dyDescent="0.25">
      <c r="A766">
        <v>1973</v>
      </c>
      <c r="B766" t="s">
        <v>156</v>
      </c>
      <c r="C766" t="s">
        <v>88</v>
      </c>
      <c r="D766" t="str">
        <f t="shared" si="33"/>
        <v>Correa Kaiden</v>
      </c>
      <c r="E766" t="s">
        <v>1249</v>
      </c>
      <c r="F766" s="1">
        <v>45574</v>
      </c>
      <c r="G766" s="32" t="str">
        <f t="shared" si="34"/>
        <v>Oct</v>
      </c>
      <c r="H766">
        <v>2</v>
      </c>
      <c r="I766" t="str">
        <f t="shared" si="35"/>
        <v>Silver</v>
      </c>
      <c r="J766" t="s">
        <v>1242</v>
      </c>
      <c r="K766" s="17">
        <v>59327</v>
      </c>
      <c r="L766" s="17" t="s">
        <v>1216</v>
      </c>
      <c r="M766" t="s">
        <v>2253</v>
      </c>
      <c r="N766" t="s">
        <v>1217</v>
      </c>
      <c r="O766">
        <v>2600</v>
      </c>
      <c r="P766">
        <v>1200</v>
      </c>
      <c r="Q766">
        <v>2400</v>
      </c>
      <c r="R766" t="s">
        <v>1990</v>
      </c>
    </row>
    <row r="767" spans="1:18" x14ac:dyDescent="0.25">
      <c r="A767">
        <v>1978</v>
      </c>
      <c r="B767" t="s">
        <v>498</v>
      </c>
      <c r="C767" t="s">
        <v>997</v>
      </c>
      <c r="D767" t="str">
        <f t="shared" si="33"/>
        <v>Nolan Skylar</v>
      </c>
      <c r="E767" t="s">
        <v>1207</v>
      </c>
      <c r="F767" s="1">
        <v>45574</v>
      </c>
      <c r="G767" s="32" t="str">
        <f t="shared" si="34"/>
        <v>Oct</v>
      </c>
      <c r="H767">
        <v>2</v>
      </c>
      <c r="I767" t="str">
        <f t="shared" si="35"/>
        <v>Silver</v>
      </c>
      <c r="J767" t="s">
        <v>18</v>
      </c>
      <c r="K767" s="17">
        <v>96678</v>
      </c>
      <c r="L767" s="17" t="s">
        <v>1233</v>
      </c>
      <c r="M767" t="s">
        <v>2254</v>
      </c>
      <c r="N767" t="s">
        <v>1239</v>
      </c>
      <c r="O767">
        <v>870</v>
      </c>
      <c r="P767">
        <v>250</v>
      </c>
      <c r="Q767">
        <v>500</v>
      </c>
      <c r="R767" t="s">
        <v>1995</v>
      </c>
    </row>
    <row r="768" spans="1:18" x14ac:dyDescent="0.25">
      <c r="A768">
        <v>1438</v>
      </c>
      <c r="B768" t="s">
        <v>381</v>
      </c>
      <c r="C768" t="s">
        <v>382</v>
      </c>
      <c r="D768" t="str">
        <f t="shared" si="33"/>
        <v>Bauer Melanie</v>
      </c>
      <c r="E768" t="s">
        <v>1205</v>
      </c>
      <c r="F768" s="1">
        <v>45575</v>
      </c>
      <c r="G768" s="32" t="str">
        <f t="shared" si="34"/>
        <v>Oct</v>
      </c>
      <c r="H768">
        <v>1</v>
      </c>
      <c r="I768" t="str">
        <f t="shared" si="35"/>
        <v>Bronze</v>
      </c>
      <c r="J768" t="s">
        <v>1242</v>
      </c>
      <c r="K768" s="17">
        <v>71842</v>
      </c>
      <c r="L768" s="17" t="s">
        <v>1222</v>
      </c>
      <c r="M768" t="s">
        <v>2256</v>
      </c>
      <c r="N768" t="s">
        <v>1231</v>
      </c>
      <c r="O768">
        <v>4870</v>
      </c>
      <c r="P768">
        <v>250</v>
      </c>
      <c r="Q768">
        <v>250</v>
      </c>
      <c r="R768" t="s">
        <v>1454</v>
      </c>
    </row>
    <row r="769" spans="1:18" x14ac:dyDescent="0.25">
      <c r="A769">
        <v>1470</v>
      </c>
      <c r="B769" t="s">
        <v>430</v>
      </c>
      <c r="C769" t="s">
        <v>431</v>
      </c>
      <c r="D769" t="str">
        <f t="shared" si="33"/>
        <v>Burton Grady</v>
      </c>
      <c r="E769" t="s">
        <v>1248</v>
      </c>
      <c r="F769" s="1">
        <v>45575</v>
      </c>
      <c r="G769" s="32" t="str">
        <f t="shared" si="34"/>
        <v>Oct</v>
      </c>
      <c r="H769">
        <v>1</v>
      </c>
      <c r="I769" t="str">
        <f t="shared" si="35"/>
        <v>Bronze</v>
      </c>
      <c r="J769" t="s">
        <v>14</v>
      </c>
      <c r="K769" s="17">
        <v>84789</v>
      </c>
      <c r="L769" s="17" t="s">
        <v>1228</v>
      </c>
      <c r="M769" t="s">
        <v>2252</v>
      </c>
      <c r="N769" t="s">
        <v>1240</v>
      </c>
      <c r="O769">
        <v>7310</v>
      </c>
      <c r="P769">
        <v>300</v>
      </c>
      <c r="Q769">
        <v>300</v>
      </c>
      <c r="R769" t="s">
        <v>1486</v>
      </c>
    </row>
    <row r="770" spans="1:18" x14ac:dyDescent="0.25">
      <c r="A770">
        <v>1946</v>
      </c>
      <c r="B770" t="s">
        <v>975</v>
      </c>
      <c r="C770" t="s">
        <v>976</v>
      </c>
      <c r="D770" t="str">
        <f t="shared" ref="D770:D833" si="36">CONCATENATE(B770, " ", C770)</f>
        <v>Gillespie Allison</v>
      </c>
      <c r="E770" t="s">
        <v>1248</v>
      </c>
      <c r="F770" s="1">
        <v>45575</v>
      </c>
      <c r="G770" s="32" t="str">
        <f t="shared" ref="G770:G833" si="37">TEXT(F770, "MMM")</f>
        <v>Oct</v>
      </c>
      <c r="H770">
        <v>3</v>
      </c>
      <c r="I770" t="str">
        <f t="shared" ref="I770:I833" si="38">IF(H770=1,"Bronze",IF(H770=2,"Silver",IF(H770=3,"Gold")))</f>
        <v>Gold</v>
      </c>
      <c r="J770" t="s">
        <v>14</v>
      </c>
      <c r="K770" s="17">
        <v>25421</v>
      </c>
      <c r="L770" s="17" t="s">
        <v>1233</v>
      </c>
      <c r="M770" t="s">
        <v>2252</v>
      </c>
      <c r="N770" t="s">
        <v>1239</v>
      </c>
      <c r="O770">
        <v>870</v>
      </c>
      <c r="P770">
        <v>300</v>
      </c>
      <c r="Q770">
        <v>900</v>
      </c>
      <c r="R770" t="s">
        <v>1963</v>
      </c>
    </row>
    <row r="771" spans="1:18" x14ac:dyDescent="0.25">
      <c r="A771">
        <v>1528</v>
      </c>
      <c r="B771" t="s">
        <v>234</v>
      </c>
      <c r="C771" t="s">
        <v>151</v>
      </c>
      <c r="D771" t="str">
        <f t="shared" si="36"/>
        <v>Bartlett Manuel</v>
      </c>
      <c r="E771" t="s">
        <v>1249</v>
      </c>
      <c r="F771" s="1">
        <v>45576</v>
      </c>
      <c r="G771" s="32" t="str">
        <f t="shared" si="37"/>
        <v>Oct</v>
      </c>
      <c r="H771">
        <v>3</v>
      </c>
      <c r="I771" t="str">
        <f t="shared" si="38"/>
        <v>Gold</v>
      </c>
      <c r="J771" t="s">
        <v>14</v>
      </c>
      <c r="K771" s="17">
        <v>97402</v>
      </c>
      <c r="L771" s="17" t="s">
        <v>1222</v>
      </c>
      <c r="M771" t="s">
        <v>2252</v>
      </c>
      <c r="N771" t="s">
        <v>1231</v>
      </c>
      <c r="O771">
        <v>4870</v>
      </c>
      <c r="P771">
        <v>1200</v>
      </c>
      <c r="Q771">
        <v>3600</v>
      </c>
      <c r="R771" t="s">
        <v>1544</v>
      </c>
    </row>
    <row r="772" spans="1:18" x14ac:dyDescent="0.25">
      <c r="A772">
        <v>1594</v>
      </c>
      <c r="B772" t="s">
        <v>594</v>
      </c>
      <c r="C772" t="s">
        <v>215</v>
      </c>
      <c r="D772" t="str">
        <f t="shared" si="36"/>
        <v>Palmer Zuri</v>
      </c>
      <c r="E772" t="s">
        <v>1249</v>
      </c>
      <c r="F772" s="1">
        <v>45576</v>
      </c>
      <c r="G772" s="32" t="str">
        <f t="shared" si="37"/>
        <v>Oct</v>
      </c>
      <c r="H772">
        <v>1</v>
      </c>
      <c r="I772" t="str">
        <f t="shared" si="38"/>
        <v>Bronze</v>
      </c>
      <c r="J772" t="s">
        <v>1242</v>
      </c>
      <c r="K772" s="17">
        <v>35139</v>
      </c>
      <c r="L772" s="17" t="s">
        <v>1214</v>
      </c>
      <c r="M772" t="s">
        <v>2254</v>
      </c>
      <c r="N772" t="s">
        <v>1227</v>
      </c>
      <c r="O772">
        <v>6160</v>
      </c>
      <c r="P772">
        <v>1200</v>
      </c>
      <c r="Q772">
        <v>1200</v>
      </c>
      <c r="R772" t="s">
        <v>1610</v>
      </c>
    </row>
    <row r="773" spans="1:18" x14ac:dyDescent="0.25">
      <c r="A773">
        <v>1603</v>
      </c>
      <c r="B773" t="s">
        <v>603</v>
      </c>
      <c r="C773" t="s">
        <v>604</v>
      </c>
      <c r="D773" t="str">
        <f t="shared" si="36"/>
        <v>Boyle Morgan</v>
      </c>
      <c r="E773" t="s">
        <v>1203</v>
      </c>
      <c r="F773" s="1">
        <v>45576</v>
      </c>
      <c r="G773" s="32" t="str">
        <f t="shared" si="37"/>
        <v>Oct</v>
      </c>
      <c r="H773">
        <v>2</v>
      </c>
      <c r="I773" t="str">
        <f t="shared" si="38"/>
        <v>Silver</v>
      </c>
      <c r="J773" t="s">
        <v>14</v>
      </c>
      <c r="K773" s="17">
        <v>98743</v>
      </c>
      <c r="L773" s="17" t="s">
        <v>1228</v>
      </c>
      <c r="M773" t="s">
        <v>2252</v>
      </c>
      <c r="N773" t="s">
        <v>1229</v>
      </c>
      <c r="O773">
        <v>7250</v>
      </c>
      <c r="P773">
        <v>600</v>
      </c>
      <c r="Q773">
        <v>1200</v>
      </c>
      <c r="R773" t="s">
        <v>1619</v>
      </c>
    </row>
    <row r="774" spans="1:18" x14ac:dyDescent="0.25">
      <c r="A774">
        <v>1732</v>
      </c>
      <c r="B774" t="s">
        <v>336</v>
      </c>
      <c r="C774" t="s">
        <v>759</v>
      </c>
      <c r="D774" t="str">
        <f t="shared" si="36"/>
        <v>Horn Renata</v>
      </c>
      <c r="E774" t="s">
        <v>1208</v>
      </c>
      <c r="F774" s="1">
        <v>45576</v>
      </c>
      <c r="G774" s="32" t="str">
        <f t="shared" si="37"/>
        <v>Oct</v>
      </c>
      <c r="H774">
        <v>3</v>
      </c>
      <c r="I774" t="str">
        <f t="shared" si="38"/>
        <v>Gold</v>
      </c>
      <c r="J774" t="s">
        <v>18</v>
      </c>
      <c r="K774" s="17">
        <v>79236</v>
      </c>
      <c r="L774" s="17" t="s">
        <v>1214</v>
      </c>
      <c r="M774" t="s">
        <v>2256</v>
      </c>
      <c r="N774" t="s">
        <v>1236</v>
      </c>
      <c r="O774">
        <v>6000</v>
      </c>
      <c r="P774">
        <v>800</v>
      </c>
      <c r="Q774">
        <v>2400</v>
      </c>
      <c r="R774" t="s">
        <v>1749</v>
      </c>
    </row>
    <row r="775" spans="1:18" x14ac:dyDescent="0.25">
      <c r="A775">
        <v>1747</v>
      </c>
      <c r="B775" t="s">
        <v>775</v>
      </c>
      <c r="C775" t="s">
        <v>285</v>
      </c>
      <c r="D775" t="str">
        <f t="shared" si="36"/>
        <v>Pacheco Erick</v>
      </c>
      <c r="E775" t="s">
        <v>1205</v>
      </c>
      <c r="F775" s="1">
        <v>45576</v>
      </c>
      <c r="G775" s="32" t="str">
        <f t="shared" si="37"/>
        <v>Oct</v>
      </c>
      <c r="H775">
        <v>3</v>
      </c>
      <c r="I775" t="str">
        <f t="shared" si="38"/>
        <v>Gold</v>
      </c>
      <c r="J775" t="s">
        <v>1242</v>
      </c>
      <c r="K775" s="17">
        <v>50723</v>
      </c>
      <c r="L775" s="17" t="s">
        <v>1233</v>
      </c>
      <c r="M775" t="s">
        <v>2254</v>
      </c>
      <c r="N775" t="s">
        <v>1234</v>
      </c>
      <c r="O775">
        <v>800</v>
      </c>
      <c r="P775">
        <v>250</v>
      </c>
      <c r="Q775">
        <v>750</v>
      </c>
      <c r="R775" t="s">
        <v>1764</v>
      </c>
    </row>
    <row r="776" spans="1:18" x14ac:dyDescent="0.25">
      <c r="A776">
        <v>1390</v>
      </c>
      <c r="B776" t="s">
        <v>143</v>
      </c>
      <c r="C776" t="s">
        <v>218</v>
      </c>
      <c r="D776" t="str">
        <f t="shared" si="36"/>
        <v>Watts Dakota</v>
      </c>
      <c r="E776" t="s">
        <v>1248</v>
      </c>
      <c r="F776" s="1">
        <v>45577</v>
      </c>
      <c r="G776" s="32" t="str">
        <f t="shared" si="37"/>
        <v>Oct</v>
      </c>
      <c r="H776">
        <v>2</v>
      </c>
      <c r="I776" t="str">
        <f t="shared" si="38"/>
        <v>Silver</v>
      </c>
      <c r="J776" t="s">
        <v>14</v>
      </c>
      <c r="K776" s="17">
        <v>52326</v>
      </c>
      <c r="L776" s="17" t="s">
        <v>1228</v>
      </c>
      <c r="M776" t="s">
        <v>2253</v>
      </c>
      <c r="N776" t="s">
        <v>1229</v>
      </c>
      <c r="O776">
        <v>7250</v>
      </c>
      <c r="P776">
        <v>300</v>
      </c>
      <c r="Q776">
        <v>600</v>
      </c>
      <c r="R776" t="s">
        <v>1406</v>
      </c>
    </row>
    <row r="777" spans="1:18" x14ac:dyDescent="0.25">
      <c r="A777">
        <v>1403</v>
      </c>
      <c r="B777" t="s">
        <v>325</v>
      </c>
      <c r="C777" t="s">
        <v>12</v>
      </c>
      <c r="D777" t="str">
        <f t="shared" si="36"/>
        <v>Pitts Michelle</v>
      </c>
      <c r="E777" t="s">
        <v>1207</v>
      </c>
      <c r="F777" s="1">
        <v>45577</v>
      </c>
      <c r="G777" s="32" t="str">
        <f t="shared" si="37"/>
        <v>Oct</v>
      </c>
      <c r="H777">
        <v>1</v>
      </c>
      <c r="I777" t="str">
        <f t="shared" si="38"/>
        <v>Bronze</v>
      </c>
      <c r="J777" t="s">
        <v>1242</v>
      </c>
      <c r="K777" s="17">
        <v>9746</v>
      </c>
      <c r="L777" s="17" t="s">
        <v>1233</v>
      </c>
      <c r="M777" t="s">
        <v>2254</v>
      </c>
      <c r="N777" t="s">
        <v>1239</v>
      </c>
      <c r="O777">
        <v>870</v>
      </c>
      <c r="P777">
        <v>250</v>
      </c>
      <c r="Q777">
        <v>250</v>
      </c>
      <c r="R777" t="s">
        <v>1419</v>
      </c>
    </row>
    <row r="778" spans="1:18" x14ac:dyDescent="0.25">
      <c r="A778">
        <v>1921</v>
      </c>
      <c r="B778" t="s">
        <v>343</v>
      </c>
      <c r="C778" t="s">
        <v>951</v>
      </c>
      <c r="D778" t="str">
        <f t="shared" si="36"/>
        <v>Roy Arya</v>
      </c>
      <c r="E778" t="s">
        <v>1207</v>
      </c>
      <c r="F778" s="1">
        <v>45577</v>
      </c>
      <c r="G778" s="32" t="str">
        <f t="shared" si="37"/>
        <v>Oct</v>
      </c>
      <c r="H778">
        <v>2</v>
      </c>
      <c r="I778" t="str">
        <f t="shared" si="38"/>
        <v>Silver</v>
      </c>
      <c r="J778" t="s">
        <v>1243</v>
      </c>
      <c r="K778" s="17">
        <v>28242</v>
      </c>
      <c r="L778" s="17" t="s">
        <v>1214</v>
      </c>
      <c r="M778" t="s">
        <v>2255</v>
      </c>
      <c r="N778" t="s">
        <v>1236</v>
      </c>
      <c r="O778">
        <v>6000</v>
      </c>
      <c r="P778">
        <v>250</v>
      </c>
      <c r="Q778">
        <v>500</v>
      </c>
      <c r="R778" t="s">
        <v>1938</v>
      </c>
    </row>
    <row r="779" spans="1:18" x14ac:dyDescent="0.25">
      <c r="A779">
        <v>2137</v>
      </c>
      <c r="B779" t="s">
        <v>1137</v>
      </c>
      <c r="C779" t="s">
        <v>797</v>
      </c>
      <c r="D779" t="str">
        <f t="shared" si="36"/>
        <v>Reynolds Alayna</v>
      </c>
      <c r="E779" t="s">
        <v>1207</v>
      </c>
      <c r="F779" s="1">
        <v>45578</v>
      </c>
      <c r="G779" s="32" t="str">
        <f t="shared" si="37"/>
        <v>Oct</v>
      </c>
      <c r="H779">
        <v>3</v>
      </c>
      <c r="I779" t="str">
        <f t="shared" si="38"/>
        <v>Gold</v>
      </c>
      <c r="J779" t="s">
        <v>14</v>
      </c>
      <c r="K779" s="17">
        <v>17645</v>
      </c>
      <c r="L779" s="17" t="s">
        <v>1222</v>
      </c>
      <c r="M779" t="s">
        <v>2254</v>
      </c>
      <c r="N779" t="s">
        <v>1223</v>
      </c>
      <c r="O779">
        <v>4217</v>
      </c>
      <c r="P779">
        <v>250</v>
      </c>
      <c r="Q779">
        <v>750</v>
      </c>
      <c r="R779" t="s">
        <v>2155</v>
      </c>
    </row>
    <row r="780" spans="1:18" x14ac:dyDescent="0.25">
      <c r="A780">
        <v>1716</v>
      </c>
      <c r="B780" t="s">
        <v>422</v>
      </c>
      <c r="C780" t="s">
        <v>268</v>
      </c>
      <c r="D780" t="str">
        <f t="shared" si="36"/>
        <v>Dixon Kylo</v>
      </c>
      <c r="E780" t="s">
        <v>1248</v>
      </c>
      <c r="F780" s="1">
        <v>45579</v>
      </c>
      <c r="G780" s="32" t="str">
        <f t="shared" si="37"/>
        <v>Oct</v>
      </c>
      <c r="H780">
        <v>2</v>
      </c>
      <c r="I780" t="str">
        <f t="shared" si="38"/>
        <v>Silver</v>
      </c>
      <c r="J780" t="s">
        <v>1242</v>
      </c>
      <c r="K780" s="17">
        <v>5578</v>
      </c>
      <c r="L780" s="17" t="s">
        <v>1222</v>
      </c>
      <c r="M780" t="s">
        <v>2256</v>
      </c>
      <c r="N780" t="s">
        <v>1237</v>
      </c>
      <c r="O780">
        <v>4000</v>
      </c>
      <c r="P780">
        <v>300</v>
      </c>
      <c r="Q780">
        <v>600</v>
      </c>
      <c r="R780" t="s">
        <v>1733</v>
      </c>
    </row>
    <row r="781" spans="1:18" x14ac:dyDescent="0.25">
      <c r="A781">
        <v>1845</v>
      </c>
      <c r="B781" t="s">
        <v>873</v>
      </c>
      <c r="C781" t="s">
        <v>874</v>
      </c>
      <c r="D781" t="str">
        <f t="shared" si="36"/>
        <v>Magana Kyrie</v>
      </c>
      <c r="E781" t="s">
        <v>1248</v>
      </c>
      <c r="F781" s="1">
        <v>45580</v>
      </c>
      <c r="G781" s="32" t="str">
        <f t="shared" si="37"/>
        <v>Oct</v>
      </c>
      <c r="H781">
        <v>3</v>
      </c>
      <c r="I781" t="str">
        <f t="shared" si="38"/>
        <v>Gold</v>
      </c>
      <c r="J781" t="s">
        <v>1242</v>
      </c>
      <c r="K781" s="17">
        <v>57382</v>
      </c>
      <c r="L781" s="17" t="s">
        <v>1216</v>
      </c>
      <c r="M781" t="s">
        <v>2252</v>
      </c>
      <c r="N781" t="s">
        <v>1217</v>
      </c>
      <c r="O781">
        <v>2600</v>
      </c>
      <c r="P781">
        <v>300</v>
      </c>
      <c r="Q781">
        <v>900</v>
      </c>
      <c r="R781" t="s">
        <v>1862</v>
      </c>
    </row>
    <row r="782" spans="1:18" x14ac:dyDescent="0.25">
      <c r="A782">
        <v>1341</v>
      </c>
      <c r="B782" t="s">
        <v>226</v>
      </c>
      <c r="C782" t="s">
        <v>57</v>
      </c>
      <c r="D782" t="str">
        <f t="shared" si="36"/>
        <v>Castaneda Rylee</v>
      </c>
      <c r="E782" t="s">
        <v>1208</v>
      </c>
      <c r="F782" s="1">
        <v>45581</v>
      </c>
      <c r="G782" s="32" t="str">
        <f t="shared" si="37"/>
        <v>Oct</v>
      </c>
      <c r="H782">
        <v>3</v>
      </c>
      <c r="I782" t="str">
        <f t="shared" si="38"/>
        <v>Gold</v>
      </c>
      <c r="J782" t="s">
        <v>1242</v>
      </c>
      <c r="K782" s="17">
        <v>98534</v>
      </c>
      <c r="L782" s="17" t="s">
        <v>1218</v>
      </c>
      <c r="M782" t="s">
        <v>2252</v>
      </c>
      <c r="N782" t="s">
        <v>1235</v>
      </c>
      <c r="O782">
        <v>2500</v>
      </c>
      <c r="P782">
        <v>800</v>
      </c>
      <c r="Q782">
        <v>2400</v>
      </c>
      <c r="R782" t="s">
        <v>1357</v>
      </c>
    </row>
    <row r="783" spans="1:18" x14ac:dyDescent="0.25">
      <c r="A783">
        <v>1667</v>
      </c>
      <c r="B783" t="s">
        <v>681</v>
      </c>
      <c r="C783" t="s">
        <v>682</v>
      </c>
      <c r="D783" t="str">
        <f t="shared" si="36"/>
        <v>Wolfe Amari</v>
      </c>
      <c r="E783" t="s">
        <v>1208</v>
      </c>
      <c r="F783" s="1">
        <v>45581</v>
      </c>
      <c r="G783" s="32" t="str">
        <f t="shared" si="37"/>
        <v>Oct</v>
      </c>
      <c r="H783">
        <v>3</v>
      </c>
      <c r="I783" t="str">
        <f t="shared" si="38"/>
        <v>Gold</v>
      </c>
      <c r="J783" t="s">
        <v>14</v>
      </c>
      <c r="K783" s="17">
        <v>16558</v>
      </c>
      <c r="L783" s="17" t="s">
        <v>1218</v>
      </c>
      <c r="M783" t="s">
        <v>2253</v>
      </c>
      <c r="N783" t="s">
        <v>1219</v>
      </c>
      <c r="O783">
        <v>2300</v>
      </c>
      <c r="P783">
        <v>800</v>
      </c>
      <c r="Q783">
        <v>2400</v>
      </c>
      <c r="R783" t="s">
        <v>1684</v>
      </c>
    </row>
    <row r="784" spans="1:18" x14ac:dyDescent="0.25">
      <c r="A784">
        <v>2195</v>
      </c>
      <c r="B784" t="s">
        <v>1079</v>
      </c>
      <c r="C784" t="s">
        <v>159</v>
      </c>
      <c r="D784" t="str">
        <f t="shared" si="36"/>
        <v>Sanford Rosie</v>
      </c>
      <c r="E784" t="s">
        <v>1203</v>
      </c>
      <c r="F784" s="1">
        <v>45581</v>
      </c>
      <c r="G784" s="32" t="str">
        <f t="shared" si="37"/>
        <v>Oct</v>
      </c>
      <c r="H784">
        <v>2</v>
      </c>
      <c r="I784" t="str">
        <f t="shared" si="38"/>
        <v>Silver</v>
      </c>
      <c r="J784" t="s">
        <v>1242</v>
      </c>
      <c r="K784" s="17">
        <v>50131</v>
      </c>
      <c r="L784" s="17" t="s">
        <v>1214</v>
      </c>
      <c r="M784" t="s">
        <v>2254</v>
      </c>
      <c r="N784" t="s">
        <v>1215</v>
      </c>
      <c r="O784">
        <v>6725</v>
      </c>
      <c r="P784">
        <v>600</v>
      </c>
      <c r="Q784">
        <v>1200</v>
      </c>
      <c r="R784" t="s">
        <v>2213</v>
      </c>
    </row>
    <row r="785" spans="1:18" x14ac:dyDescent="0.25">
      <c r="A785">
        <v>1598</v>
      </c>
      <c r="B785" t="s">
        <v>598</v>
      </c>
      <c r="C785" t="s">
        <v>371</v>
      </c>
      <c r="D785" t="str">
        <f t="shared" si="36"/>
        <v>Stafford Elaina</v>
      </c>
      <c r="E785" t="s">
        <v>1249</v>
      </c>
      <c r="F785" s="1">
        <v>45582</v>
      </c>
      <c r="G785" s="32" t="str">
        <f t="shared" si="37"/>
        <v>Oct</v>
      </c>
      <c r="H785">
        <v>3</v>
      </c>
      <c r="I785" t="str">
        <f t="shared" si="38"/>
        <v>Gold</v>
      </c>
      <c r="J785" t="s">
        <v>1242</v>
      </c>
      <c r="K785" s="17">
        <v>74581</v>
      </c>
      <c r="L785" s="17" t="s">
        <v>1224</v>
      </c>
      <c r="M785" t="s">
        <v>2256</v>
      </c>
      <c r="N785" t="s">
        <v>1064</v>
      </c>
      <c r="O785">
        <v>5000</v>
      </c>
      <c r="P785">
        <v>1200</v>
      </c>
      <c r="Q785">
        <v>3600</v>
      </c>
      <c r="R785" t="s">
        <v>1614</v>
      </c>
    </row>
    <row r="786" spans="1:18" x14ac:dyDescent="0.25">
      <c r="A786">
        <v>1832</v>
      </c>
      <c r="B786" t="s">
        <v>860</v>
      </c>
      <c r="C786" t="s">
        <v>861</v>
      </c>
      <c r="D786" t="str">
        <f t="shared" si="36"/>
        <v>Johns Payton</v>
      </c>
      <c r="E786" t="s">
        <v>1207</v>
      </c>
      <c r="F786" s="1">
        <v>45582</v>
      </c>
      <c r="G786" s="32" t="str">
        <f t="shared" si="37"/>
        <v>Oct</v>
      </c>
      <c r="H786">
        <v>2</v>
      </c>
      <c r="I786" t="str">
        <f t="shared" si="38"/>
        <v>Silver</v>
      </c>
      <c r="J786" t="s">
        <v>14</v>
      </c>
      <c r="K786" s="17">
        <v>70745</v>
      </c>
      <c r="L786" s="17" t="s">
        <v>1214</v>
      </c>
      <c r="M786" t="s">
        <v>2253</v>
      </c>
      <c r="N786" t="s">
        <v>1215</v>
      </c>
      <c r="O786">
        <v>6725</v>
      </c>
      <c r="P786">
        <v>250</v>
      </c>
      <c r="Q786">
        <v>500</v>
      </c>
      <c r="R786" t="s">
        <v>1849</v>
      </c>
    </row>
    <row r="787" spans="1:18" x14ac:dyDescent="0.25">
      <c r="A787">
        <v>2179</v>
      </c>
      <c r="B787" t="s">
        <v>52</v>
      </c>
      <c r="C787" t="s">
        <v>1166</v>
      </c>
      <c r="D787" t="str">
        <f t="shared" si="36"/>
        <v>Briggs Andy</v>
      </c>
      <c r="E787" t="s">
        <v>1249</v>
      </c>
      <c r="F787" s="1">
        <v>45583</v>
      </c>
      <c r="G787" s="32" t="str">
        <f t="shared" si="37"/>
        <v>Oct</v>
      </c>
      <c r="H787">
        <v>2</v>
      </c>
      <c r="I787" t="str">
        <f t="shared" si="38"/>
        <v>Silver</v>
      </c>
      <c r="J787" t="s">
        <v>1242</v>
      </c>
      <c r="K787" s="17">
        <v>55312</v>
      </c>
      <c r="L787" s="17" t="s">
        <v>1224</v>
      </c>
      <c r="M787" t="s">
        <v>2255</v>
      </c>
      <c r="N787" t="s">
        <v>1238</v>
      </c>
      <c r="O787">
        <v>5600</v>
      </c>
      <c r="P787">
        <v>1200</v>
      </c>
      <c r="Q787">
        <v>2400</v>
      </c>
      <c r="R787" t="s">
        <v>2197</v>
      </c>
    </row>
    <row r="788" spans="1:18" x14ac:dyDescent="0.25">
      <c r="A788">
        <v>1890</v>
      </c>
      <c r="B788" t="s">
        <v>56</v>
      </c>
      <c r="C788" t="s">
        <v>921</v>
      </c>
      <c r="D788" t="str">
        <f t="shared" si="36"/>
        <v>Fuentes Sutton</v>
      </c>
      <c r="E788" t="s">
        <v>1249</v>
      </c>
      <c r="F788" s="1">
        <v>45584</v>
      </c>
      <c r="G788" s="32" t="str">
        <f t="shared" si="37"/>
        <v>Oct</v>
      </c>
      <c r="H788">
        <v>3</v>
      </c>
      <c r="I788" t="str">
        <f t="shared" si="38"/>
        <v>Gold</v>
      </c>
      <c r="J788" t="s">
        <v>1242</v>
      </c>
      <c r="K788" s="17">
        <v>64509</v>
      </c>
      <c r="L788" s="17" t="s">
        <v>1222</v>
      </c>
      <c r="M788" t="s">
        <v>2252</v>
      </c>
      <c r="N788" t="s">
        <v>1223</v>
      </c>
      <c r="O788">
        <v>4217</v>
      </c>
      <c r="P788">
        <v>1200</v>
      </c>
      <c r="Q788">
        <v>3600</v>
      </c>
      <c r="R788" t="s">
        <v>1907</v>
      </c>
    </row>
    <row r="789" spans="1:18" x14ac:dyDescent="0.25">
      <c r="A789">
        <v>1510</v>
      </c>
      <c r="B789" t="s">
        <v>488</v>
      </c>
      <c r="C789" t="s">
        <v>84</v>
      </c>
      <c r="D789" t="str">
        <f t="shared" si="36"/>
        <v>Lowery Isabelle</v>
      </c>
      <c r="E789" t="s">
        <v>1207</v>
      </c>
      <c r="F789" s="1">
        <v>45585</v>
      </c>
      <c r="G789" s="32" t="str">
        <f t="shared" si="37"/>
        <v>Oct</v>
      </c>
      <c r="H789">
        <v>1</v>
      </c>
      <c r="I789" t="str">
        <f t="shared" si="38"/>
        <v>Bronze</v>
      </c>
      <c r="J789" t="s">
        <v>1243</v>
      </c>
      <c r="K789" s="17">
        <v>58173</v>
      </c>
      <c r="L789" s="17" t="s">
        <v>1216</v>
      </c>
      <c r="M789" t="s">
        <v>2256</v>
      </c>
      <c r="N789" t="s">
        <v>1217</v>
      </c>
      <c r="O789">
        <v>2600</v>
      </c>
      <c r="P789">
        <v>250</v>
      </c>
      <c r="Q789">
        <v>250</v>
      </c>
      <c r="R789" t="s">
        <v>1526</v>
      </c>
    </row>
    <row r="790" spans="1:18" x14ac:dyDescent="0.25">
      <c r="A790">
        <v>1728</v>
      </c>
      <c r="B790" t="s">
        <v>755</v>
      </c>
      <c r="C790" t="s">
        <v>756</v>
      </c>
      <c r="D790" t="str">
        <f t="shared" si="36"/>
        <v>Joseph Fernanda</v>
      </c>
      <c r="E790" t="s">
        <v>1203</v>
      </c>
      <c r="F790" s="1">
        <v>45585</v>
      </c>
      <c r="G790" s="32" t="str">
        <f t="shared" si="37"/>
        <v>Oct</v>
      </c>
      <c r="H790">
        <v>2</v>
      </c>
      <c r="I790" t="str">
        <f t="shared" si="38"/>
        <v>Silver</v>
      </c>
      <c r="J790" t="s">
        <v>14</v>
      </c>
      <c r="K790" s="17">
        <v>56997</v>
      </c>
      <c r="L790" s="17" t="s">
        <v>1220</v>
      </c>
      <c r="M790" t="s">
        <v>2252</v>
      </c>
      <c r="N790" t="s">
        <v>1221</v>
      </c>
      <c r="O790">
        <v>3350</v>
      </c>
      <c r="P790">
        <v>600</v>
      </c>
      <c r="Q790">
        <v>1200</v>
      </c>
      <c r="R790" t="s">
        <v>1745</v>
      </c>
    </row>
    <row r="791" spans="1:18" x14ac:dyDescent="0.25">
      <c r="A791">
        <v>1987</v>
      </c>
      <c r="B791" t="s">
        <v>1006</v>
      </c>
      <c r="C791" t="s">
        <v>1007</v>
      </c>
      <c r="D791" t="str">
        <f t="shared" si="36"/>
        <v>Adams Valerie</v>
      </c>
      <c r="E791" t="s">
        <v>1208</v>
      </c>
      <c r="F791" s="1">
        <v>45585</v>
      </c>
      <c r="G791" s="32" t="str">
        <f t="shared" si="37"/>
        <v>Oct</v>
      </c>
      <c r="H791">
        <v>3</v>
      </c>
      <c r="I791" t="str">
        <f t="shared" si="38"/>
        <v>Gold</v>
      </c>
      <c r="J791" t="s">
        <v>14</v>
      </c>
      <c r="K791" s="17">
        <v>95328</v>
      </c>
      <c r="L791" s="17" t="s">
        <v>1216</v>
      </c>
      <c r="M791" t="s">
        <v>2253</v>
      </c>
      <c r="N791" t="s">
        <v>1217</v>
      </c>
      <c r="O791">
        <v>2600</v>
      </c>
      <c r="P791">
        <v>800</v>
      </c>
      <c r="Q791">
        <v>2400</v>
      </c>
      <c r="R791" t="s">
        <v>2004</v>
      </c>
    </row>
    <row r="792" spans="1:18" x14ac:dyDescent="0.25">
      <c r="A792">
        <v>2013</v>
      </c>
      <c r="B792" t="s">
        <v>667</v>
      </c>
      <c r="C792" t="s">
        <v>1022</v>
      </c>
      <c r="D792" t="str">
        <f t="shared" si="36"/>
        <v>Fletcher Kendrick</v>
      </c>
      <c r="E792" t="s">
        <v>1249</v>
      </c>
      <c r="F792" s="1">
        <v>45585</v>
      </c>
      <c r="G792" s="32" t="str">
        <f t="shared" si="37"/>
        <v>Oct</v>
      </c>
      <c r="H792">
        <v>1</v>
      </c>
      <c r="I792" t="str">
        <f t="shared" si="38"/>
        <v>Bronze</v>
      </c>
      <c r="J792" t="s">
        <v>14</v>
      </c>
      <c r="K792" s="17">
        <v>12655</v>
      </c>
      <c r="L792" s="17" t="s">
        <v>1220</v>
      </c>
      <c r="M792" t="s">
        <v>2256</v>
      </c>
      <c r="N792" t="s">
        <v>1226</v>
      </c>
      <c r="O792">
        <v>3220</v>
      </c>
      <c r="P792">
        <v>1200</v>
      </c>
      <c r="Q792">
        <v>1200</v>
      </c>
      <c r="R792" t="s">
        <v>2030</v>
      </c>
    </row>
    <row r="793" spans="1:18" x14ac:dyDescent="0.25">
      <c r="A793">
        <v>1746</v>
      </c>
      <c r="B793" t="s">
        <v>167</v>
      </c>
      <c r="C793" t="s">
        <v>774</v>
      </c>
      <c r="D793" t="str">
        <f t="shared" si="36"/>
        <v>Wong Julian</v>
      </c>
      <c r="E793" t="s">
        <v>1248</v>
      </c>
      <c r="F793" s="1">
        <v>45586</v>
      </c>
      <c r="G793" s="32" t="str">
        <f t="shared" si="37"/>
        <v>Oct</v>
      </c>
      <c r="H793">
        <v>2</v>
      </c>
      <c r="I793" t="str">
        <f t="shared" si="38"/>
        <v>Silver</v>
      </c>
      <c r="J793" t="s">
        <v>14</v>
      </c>
      <c r="K793" s="17">
        <v>55336</v>
      </c>
      <c r="L793" s="17" t="s">
        <v>1218</v>
      </c>
      <c r="M793" t="s">
        <v>2252</v>
      </c>
      <c r="N793" t="s">
        <v>1219</v>
      </c>
      <c r="O793">
        <v>2300</v>
      </c>
      <c r="P793">
        <v>300</v>
      </c>
      <c r="Q793">
        <v>600</v>
      </c>
      <c r="R793" t="s">
        <v>1763</v>
      </c>
    </row>
    <row r="794" spans="1:18" x14ac:dyDescent="0.25">
      <c r="A794">
        <v>2097</v>
      </c>
      <c r="B794" t="s">
        <v>62</v>
      </c>
      <c r="C794" t="s">
        <v>519</v>
      </c>
      <c r="D794" t="str">
        <f t="shared" si="36"/>
        <v>Klein Nash</v>
      </c>
      <c r="E794" t="s">
        <v>1248</v>
      </c>
      <c r="F794" s="1">
        <v>45586</v>
      </c>
      <c r="G794" s="32" t="str">
        <f t="shared" si="37"/>
        <v>Oct</v>
      </c>
      <c r="H794">
        <v>2</v>
      </c>
      <c r="I794" t="str">
        <f t="shared" si="38"/>
        <v>Silver</v>
      </c>
      <c r="J794" t="s">
        <v>18</v>
      </c>
      <c r="K794" s="17">
        <v>24047</v>
      </c>
      <c r="L794" s="17" t="s">
        <v>1228</v>
      </c>
      <c r="M794" t="s">
        <v>2255</v>
      </c>
      <c r="N794" t="s">
        <v>1229</v>
      </c>
      <c r="O794">
        <v>7250</v>
      </c>
      <c r="P794">
        <v>300</v>
      </c>
      <c r="Q794">
        <v>600</v>
      </c>
      <c r="R794" t="s">
        <v>2115</v>
      </c>
    </row>
    <row r="795" spans="1:18" x14ac:dyDescent="0.25">
      <c r="A795">
        <v>1265</v>
      </c>
      <c r="B795" t="s">
        <v>87</v>
      </c>
      <c r="C795" t="s">
        <v>88</v>
      </c>
      <c r="D795" t="str">
        <f t="shared" si="36"/>
        <v>Anderson Kaiden</v>
      </c>
      <c r="E795" t="s">
        <v>1248</v>
      </c>
      <c r="F795" s="1">
        <v>45588</v>
      </c>
      <c r="G795" s="32" t="str">
        <f t="shared" si="37"/>
        <v>Oct</v>
      </c>
      <c r="H795">
        <v>1</v>
      </c>
      <c r="I795" t="str">
        <f t="shared" si="38"/>
        <v>Bronze</v>
      </c>
      <c r="J795" t="s">
        <v>1242</v>
      </c>
      <c r="K795" s="17">
        <v>82168</v>
      </c>
      <c r="L795" s="17" t="s">
        <v>1228</v>
      </c>
      <c r="M795" t="s">
        <v>2253</v>
      </c>
      <c r="N795" t="s">
        <v>1230</v>
      </c>
      <c r="O795">
        <v>7000</v>
      </c>
      <c r="P795">
        <v>300</v>
      </c>
      <c r="Q795">
        <v>300</v>
      </c>
      <c r="R795" t="s">
        <v>1281</v>
      </c>
    </row>
    <row r="796" spans="1:18" x14ac:dyDescent="0.25">
      <c r="A796">
        <v>1584</v>
      </c>
      <c r="B796" t="s">
        <v>176</v>
      </c>
      <c r="C796" t="s">
        <v>584</v>
      </c>
      <c r="D796" t="str">
        <f t="shared" si="36"/>
        <v>Cooper Nasir</v>
      </c>
      <c r="E796" t="s">
        <v>1248</v>
      </c>
      <c r="F796" s="1">
        <v>45588</v>
      </c>
      <c r="G796" s="32" t="str">
        <f t="shared" si="37"/>
        <v>Oct</v>
      </c>
      <c r="H796">
        <v>3</v>
      </c>
      <c r="I796" t="str">
        <f t="shared" si="38"/>
        <v>Gold</v>
      </c>
      <c r="J796" t="s">
        <v>14</v>
      </c>
      <c r="K796" s="17">
        <v>70174</v>
      </c>
      <c r="L796" s="17" t="s">
        <v>1224</v>
      </c>
      <c r="M796" t="s">
        <v>2253</v>
      </c>
      <c r="N796" t="s">
        <v>1064</v>
      </c>
      <c r="O796">
        <v>5000</v>
      </c>
      <c r="P796">
        <v>300</v>
      </c>
      <c r="Q796">
        <v>900</v>
      </c>
      <c r="R796" t="s">
        <v>1600</v>
      </c>
    </row>
    <row r="797" spans="1:18" x14ac:dyDescent="0.25">
      <c r="A797">
        <v>2144</v>
      </c>
      <c r="B797" t="s">
        <v>81</v>
      </c>
      <c r="C797" t="s">
        <v>347</v>
      </c>
      <c r="D797" t="str">
        <f t="shared" si="36"/>
        <v>Arias Everett</v>
      </c>
      <c r="E797" t="s">
        <v>1203</v>
      </c>
      <c r="F797" s="1">
        <v>45588</v>
      </c>
      <c r="G797" s="32" t="str">
        <f t="shared" si="37"/>
        <v>Oct</v>
      </c>
      <c r="H797">
        <v>1</v>
      </c>
      <c r="I797" t="str">
        <f t="shared" si="38"/>
        <v>Bronze</v>
      </c>
      <c r="J797" t="s">
        <v>1242</v>
      </c>
      <c r="K797" s="17">
        <v>37095</v>
      </c>
      <c r="L797" s="17" t="s">
        <v>1214</v>
      </c>
      <c r="M797" t="s">
        <v>2255</v>
      </c>
      <c r="N797" t="s">
        <v>1227</v>
      </c>
      <c r="O797">
        <v>6160</v>
      </c>
      <c r="P797">
        <v>600</v>
      </c>
      <c r="Q797">
        <v>600</v>
      </c>
      <c r="R797" t="s">
        <v>2162</v>
      </c>
    </row>
    <row r="798" spans="1:18" x14ac:dyDescent="0.25">
      <c r="A798">
        <v>1288</v>
      </c>
      <c r="B798" t="s">
        <v>131</v>
      </c>
      <c r="C798" t="s">
        <v>132</v>
      </c>
      <c r="D798" t="str">
        <f t="shared" si="36"/>
        <v>Mcdaniel Eliza</v>
      </c>
      <c r="E798" t="s">
        <v>1205</v>
      </c>
      <c r="F798" s="1">
        <v>45589</v>
      </c>
      <c r="G798" s="32" t="str">
        <f t="shared" si="37"/>
        <v>Oct</v>
      </c>
      <c r="H798">
        <v>2</v>
      </c>
      <c r="I798" t="str">
        <f t="shared" si="38"/>
        <v>Silver</v>
      </c>
      <c r="J798" t="s">
        <v>1242</v>
      </c>
      <c r="K798" s="17">
        <v>51450</v>
      </c>
      <c r="L798" s="17" t="s">
        <v>1220</v>
      </c>
      <c r="M798" t="s">
        <v>2254</v>
      </c>
      <c r="N798" t="s">
        <v>1221</v>
      </c>
      <c r="O798">
        <v>3350</v>
      </c>
      <c r="P798">
        <v>250</v>
      </c>
      <c r="Q798">
        <v>500</v>
      </c>
      <c r="R798" t="s">
        <v>1304</v>
      </c>
    </row>
    <row r="799" spans="1:18" x14ac:dyDescent="0.25">
      <c r="A799">
        <v>1431</v>
      </c>
      <c r="B799" t="s">
        <v>370</v>
      </c>
      <c r="C799" t="s">
        <v>371</v>
      </c>
      <c r="D799" t="str">
        <f t="shared" si="36"/>
        <v>Ayala Elaina</v>
      </c>
      <c r="E799" t="s">
        <v>1249</v>
      </c>
      <c r="F799" s="1">
        <v>45589</v>
      </c>
      <c r="G799" s="32" t="str">
        <f t="shared" si="37"/>
        <v>Oct</v>
      </c>
      <c r="H799">
        <v>1</v>
      </c>
      <c r="I799" t="str">
        <f t="shared" si="38"/>
        <v>Bronze</v>
      </c>
      <c r="J799" t="s">
        <v>1242</v>
      </c>
      <c r="K799" s="17">
        <v>15747</v>
      </c>
      <c r="L799" s="17" t="s">
        <v>1233</v>
      </c>
      <c r="M799" t="s">
        <v>2254</v>
      </c>
      <c r="N799" t="s">
        <v>1239</v>
      </c>
      <c r="O799">
        <v>870</v>
      </c>
      <c r="P799">
        <v>1200</v>
      </c>
      <c r="Q799">
        <v>1200</v>
      </c>
      <c r="R799" t="s">
        <v>1447</v>
      </c>
    </row>
    <row r="800" spans="1:18" x14ac:dyDescent="0.25">
      <c r="A800">
        <v>1776</v>
      </c>
      <c r="B800" t="s">
        <v>799</v>
      </c>
      <c r="C800" t="s">
        <v>800</v>
      </c>
      <c r="D800" t="str">
        <f t="shared" si="36"/>
        <v>Stephens Taylor</v>
      </c>
      <c r="E800" t="s">
        <v>1208</v>
      </c>
      <c r="F800" s="1">
        <v>45589</v>
      </c>
      <c r="G800" s="32" t="str">
        <f t="shared" si="37"/>
        <v>Oct</v>
      </c>
      <c r="H800">
        <v>3</v>
      </c>
      <c r="I800" t="str">
        <f t="shared" si="38"/>
        <v>Gold</v>
      </c>
      <c r="J800" t="s">
        <v>1243</v>
      </c>
      <c r="K800" s="17">
        <v>69667</v>
      </c>
      <c r="L800" s="17" t="s">
        <v>1216</v>
      </c>
      <c r="M800" t="s">
        <v>2254</v>
      </c>
      <c r="N800" t="s">
        <v>1217</v>
      </c>
      <c r="O800">
        <v>2600</v>
      </c>
      <c r="P800">
        <v>800</v>
      </c>
      <c r="Q800">
        <v>2400</v>
      </c>
      <c r="R800" t="s">
        <v>1793</v>
      </c>
    </row>
    <row r="801" spans="1:18" x14ac:dyDescent="0.25">
      <c r="A801">
        <v>2120</v>
      </c>
      <c r="B801" t="s">
        <v>186</v>
      </c>
      <c r="C801" t="s">
        <v>1118</v>
      </c>
      <c r="D801" t="str">
        <f t="shared" si="36"/>
        <v>Truong Zoey</v>
      </c>
      <c r="E801" t="s">
        <v>1249</v>
      </c>
      <c r="F801" s="1">
        <v>45589</v>
      </c>
      <c r="G801" s="32" t="str">
        <f t="shared" si="37"/>
        <v>Oct</v>
      </c>
      <c r="H801">
        <v>2</v>
      </c>
      <c r="I801" t="str">
        <f t="shared" si="38"/>
        <v>Silver</v>
      </c>
      <c r="J801" t="s">
        <v>1242</v>
      </c>
      <c r="K801" s="17">
        <v>35329</v>
      </c>
      <c r="L801" s="17" t="s">
        <v>1218</v>
      </c>
      <c r="M801" t="s">
        <v>2255</v>
      </c>
      <c r="N801" t="s">
        <v>1235</v>
      </c>
      <c r="O801">
        <v>2500</v>
      </c>
      <c r="P801">
        <v>1200</v>
      </c>
      <c r="Q801">
        <v>2400</v>
      </c>
      <c r="R801" t="s">
        <v>2138</v>
      </c>
    </row>
    <row r="802" spans="1:18" x14ac:dyDescent="0.25">
      <c r="A802">
        <v>2221</v>
      </c>
      <c r="B802" t="s">
        <v>1193</v>
      </c>
      <c r="C802" t="s">
        <v>980</v>
      </c>
      <c r="D802" t="str">
        <f t="shared" si="36"/>
        <v>Patel Elian</v>
      </c>
      <c r="E802" t="s">
        <v>1249</v>
      </c>
      <c r="F802" s="1">
        <v>45589</v>
      </c>
      <c r="G802" s="32" t="str">
        <f t="shared" si="37"/>
        <v>Oct</v>
      </c>
      <c r="H802">
        <v>3</v>
      </c>
      <c r="I802" t="str">
        <f t="shared" si="38"/>
        <v>Gold</v>
      </c>
      <c r="J802" t="s">
        <v>1242</v>
      </c>
      <c r="K802" s="17">
        <v>59332</v>
      </c>
      <c r="L802" s="17" t="s">
        <v>1222</v>
      </c>
      <c r="M802" t="s">
        <v>2252</v>
      </c>
      <c r="N802" t="s">
        <v>1237</v>
      </c>
      <c r="O802">
        <v>4000</v>
      </c>
      <c r="P802">
        <v>1200</v>
      </c>
      <c r="Q802">
        <v>3600</v>
      </c>
      <c r="R802" t="s">
        <v>2239</v>
      </c>
    </row>
    <row r="803" spans="1:18" x14ac:dyDescent="0.25">
      <c r="A803">
        <v>1583</v>
      </c>
      <c r="B803" t="s">
        <v>582</v>
      </c>
      <c r="C803" t="s">
        <v>583</v>
      </c>
      <c r="D803" t="str">
        <f t="shared" si="36"/>
        <v>Leon Elliott</v>
      </c>
      <c r="E803" t="s">
        <v>1203</v>
      </c>
      <c r="F803" s="1">
        <v>45590</v>
      </c>
      <c r="G803" s="32" t="str">
        <f t="shared" si="37"/>
        <v>Oct</v>
      </c>
      <c r="H803">
        <v>3</v>
      </c>
      <c r="I803" t="str">
        <f t="shared" si="38"/>
        <v>Gold</v>
      </c>
      <c r="J803" t="s">
        <v>1242</v>
      </c>
      <c r="K803" s="17">
        <v>52113</v>
      </c>
      <c r="L803" s="17" t="s">
        <v>1224</v>
      </c>
      <c r="M803" t="s">
        <v>2255</v>
      </c>
      <c r="N803" t="s">
        <v>1225</v>
      </c>
      <c r="O803">
        <v>5290</v>
      </c>
      <c r="P803">
        <v>600</v>
      </c>
      <c r="Q803">
        <v>1800</v>
      </c>
      <c r="R803" t="s">
        <v>1599</v>
      </c>
    </row>
    <row r="804" spans="1:18" x14ac:dyDescent="0.25">
      <c r="A804">
        <v>2106</v>
      </c>
      <c r="B804" t="s">
        <v>1103</v>
      </c>
      <c r="C804" t="s">
        <v>723</v>
      </c>
      <c r="D804" t="str">
        <f t="shared" si="36"/>
        <v>Stone Isabel</v>
      </c>
      <c r="E804" t="s">
        <v>1248</v>
      </c>
      <c r="F804" s="1">
        <v>45590</v>
      </c>
      <c r="G804" s="32" t="str">
        <f t="shared" si="37"/>
        <v>Oct</v>
      </c>
      <c r="H804">
        <v>1</v>
      </c>
      <c r="I804" t="str">
        <f t="shared" si="38"/>
        <v>Bronze</v>
      </c>
      <c r="J804" t="s">
        <v>18</v>
      </c>
      <c r="K804" s="17">
        <v>57145</v>
      </c>
      <c r="L804" s="17" t="s">
        <v>1228</v>
      </c>
      <c r="M804" t="s">
        <v>2255</v>
      </c>
      <c r="N804" t="s">
        <v>1229</v>
      </c>
      <c r="O804">
        <v>7250</v>
      </c>
      <c r="P804">
        <v>300</v>
      </c>
      <c r="Q804">
        <v>300</v>
      </c>
      <c r="R804" t="s">
        <v>2124</v>
      </c>
    </row>
    <row r="805" spans="1:18" x14ac:dyDescent="0.25">
      <c r="A805">
        <v>1241</v>
      </c>
      <c r="B805" t="s">
        <v>40</v>
      </c>
      <c r="C805" t="s">
        <v>41</v>
      </c>
      <c r="D805" t="str">
        <f t="shared" si="36"/>
        <v>Rice Diana</v>
      </c>
      <c r="E805" t="s">
        <v>1208</v>
      </c>
      <c r="F805" s="1">
        <v>45591</v>
      </c>
      <c r="G805" s="32" t="str">
        <f t="shared" si="37"/>
        <v>Oct</v>
      </c>
      <c r="H805">
        <v>2</v>
      </c>
      <c r="I805" t="str">
        <f t="shared" si="38"/>
        <v>Silver</v>
      </c>
      <c r="J805" t="s">
        <v>14</v>
      </c>
      <c r="K805" s="17">
        <v>72499</v>
      </c>
      <c r="L805" s="17" t="s">
        <v>1214</v>
      </c>
      <c r="M805" t="s">
        <v>2252</v>
      </c>
      <c r="N805" t="s">
        <v>1227</v>
      </c>
      <c r="O805">
        <v>6160</v>
      </c>
      <c r="P805">
        <v>800</v>
      </c>
      <c r="Q805">
        <v>1600</v>
      </c>
      <c r="R805" t="s">
        <v>1257</v>
      </c>
    </row>
    <row r="806" spans="1:18" x14ac:dyDescent="0.25">
      <c r="A806">
        <v>1628</v>
      </c>
      <c r="B806" t="s">
        <v>633</v>
      </c>
      <c r="C806" t="s">
        <v>634</v>
      </c>
      <c r="D806" t="str">
        <f t="shared" si="36"/>
        <v>Trejo Josephine</v>
      </c>
      <c r="E806" t="s">
        <v>1208</v>
      </c>
      <c r="F806" s="1">
        <v>45591</v>
      </c>
      <c r="G806" s="32" t="str">
        <f t="shared" si="37"/>
        <v>Oct</v>
      </c>
      <c r="H806">
        <v>3</v>
      </c>
      <c r="I806" t="str">
        <f t="shared" si="38"/>
        <v>Gold</v>
      </c>
      <c r="J806" t="s">
        <v>1242</v>
      </c>
      <c r="K806" s="17">
        <v>17570</v>
      </c>
      <c r="L806" s="17" t="s">
        <v>1220</v>
      </c>
      <c r="M806" t="s">
        <v>2255</v>
      </c>
      <c r="N806" t="s">
        <v>1221</v>
      </c>
      <c r="O806">
        <v>3350</v>
      </c>
      <c r="P806">
        <v>800</v>
      </c>
      <c r="Q806">
        <v>2400</v>
      </c>
      <c r="R806" t="s">
        <v>1645</v>
      </c>
    </row>
    <row r="807" spans="1:18" x14ac:dyDescent="0.25">
      <c r="A807">
        <v>1653</v>
      </c>
      <c r="B807" t="s">
        <v>279</v>
      </c>
      <c r="C807" t="s">
        <v>37</v>
      </c>
      <c r="D807" t="str">
        <f t="shared" si="36"/>
        <v>Shepherd Hayden</v>
      </c>
      <c r="E807" t="s">
        <v>1208</v>
      </c>
      <c r="F807" s="1">
        <v>45591</v>
      </c>
      <c r="G807" s="32" t="str">
        <f t="shared" si="37"/>
        <v>Oct</v>
      </c>
      <c r="H807">
        <v>3</v>
      </c>
      <c r="I807" t="str">
        <f t="shared" si="38"/>
        <v>Gold</v>
      </c>
      <c r="J807" t="s">
        <v>1243</v>
      </c>
      <c r="K807" s="17">
        <v>10304</v>
      </c>
      <c r="L807" s="17" t="s">
        <v>1214</v>
      </c>
      <c r="M807" t="s">
        <v>2255</v>
      </c>
      <c r="N807" t="s">
        <v>1215</v>
      </c>
      <c r="O807">
        <v>6725</v>
      </c>
      <c r="P807">
        <v>800</v>
      </c>
      <c r="Q807">
        <v>2400</v>
      </c>
      <c r="R807" t="s">
        <v>1670</v>
      </c>
    </row>
    <row r="808" spans="1:18" x14ac:dyDescent="0.25">
      <c r="A808">
        <v>1686</v>
      </c>
      <c r="B808" t="s">
        <v>190</v>
      </c>
      <c r="C808" t="s">
        <v>706</v>
      </c>
      <c r="D808" t="str">
        <f t="shared" si="36"/>
        <v>Ballard Rylie</v>
      </c>
      <c r="E808" t="s">
        <v>1249</v>
      </c>
      <c r="F808" s="1">
        <v>45591</v>
      </c>
      <c r="G808" s="32" t="str">
        <f t="shared" si="37"/>
        <v>Oct</v>
      </c>
      <c r="H808">
        <v>2</v>
      </c>
      <c r="I808" t="str">
        <f t="shared" si="38"/>
        <v>Silver</v>
      </c>
      <c r="J808" t="s">
        <v>14</v>
      </c>
      <c r="K808" s="17">
        <v>42498</v>
      </c>
      <c r="L808" s="17" t="s">
        <v>1233</v>
      </c>
      <c r="M808" t="s">
        <v>2256</v>
      </c>
      <c r="N808" t="s">
        <v>1234</v>
      </c>
      <c r="O808">
        <v>800</v>
      </c>
      <c r="P808">
        <v>1200</v>
      </c>
      <c r="Q808">
        <v>2400</v>
      </c>
      <c r="R808" t="s">
        <v>1703</v>
      </c>
    </row>
    <row r="809" spans="1:18" x14ac:dyDescent="0.25">
      <c r="A809">
        <v>1949</v>
      </c>
      <c r="B809" t="s">
        <v>978</v>
      </c>
      <c r="C809" t="s">
        <v>979</v>
      </c>
      <c r="D809" t="str">
        <f t="shared" si="36"/>
        <v>Reyes Aaliyah</v>
      </c>
      <c r="E809" t="s">
        <v>1208</v>
      </c>
      <c r="F809" s="1">
        <v>45591</v>
      </c>
      <c r="G809" s="32" t="str">
        <f t="shared" si="37"/>
        <v>Oct</v>
      </c>
      <c r="H809">
        <v>3</v>
      </c>
      <c r="I809" t="str">
        <f t="shared" si="38"/>
        <v>Gold</v>
      </c>
      <c r="J809" t="s">
        <v>1242</v>
      </c>
      <c r="K809" s="17">
        <v>44156</v>
      </c>
      <c r="L809" s="17" t="s">
        <v>1218</v>
      </c>
      <c r="M809" t="s">
        <v>2256</v>
      </c>
      <c r="N809" t="s">
        <v>1219</v>
      </c>
      <c r="O809">
        <v>2300</v>
      </c>
      <c r="P809">
        <v>800</v>
      </c>
      <c r="Q809">
        <v>2400</v>
      </c>
      <c r="R809" t="s">
        <v>1966</v>
      </c>
    </row>
    <row r="810" spans="1:18" x14ac:dyDescent="0.25">
      <c r="A810">
        <v>1996</v>
      </c>
      <c r="B810" t="s">
        <v>1013</v>
      </c>
      <c r="C810" t="s">
        <v>1010</v>
      </c>
      <c r="D810" t="str">
        <f t="shared" si="36"/>
        <v>Drake Jimena</v>
      </c>
      <c r="E810" t="s">
        <v>1207</v>
      </c>
      <c r="F810" s="1">
        <v>45591</v>
      </c>
      <c r="G810" s="32" t="str">
        <f t="shared" si="37"/>
        <v>Oct</v>
      </c>
      <c r="H810">
        <v>3</v>
      </c>
      <c r="I810" t="str">
        <f t="shared" si="38"/>
        <v>Gold</v>
      </c>
      <c r="J810" t="s">
        <v>1242</v>
      </c>
      <c r="K810" s="17">
        <v>16697</v>
      </c>
      <c r="L810" s="17" t="s">
        <v>1222</v>
      </c>
      <c r="M810" t="s">
        <v>2255</v>
      </c>
      <c r="N810" t="s">
        <v>1231</v>
      </c>
      <c r="O810">
        <v>4870</v>
      </c>
      <c r="P810">
        <v>250</v>
      </c>
      <c r="Q810">
        <v>750</v>
      </c>
      <c r="R810" t="s">
        <v>2013</v>
      </c>
    </row>
    <row r="811" spans="1:18" x14ac:dyDescent="0.25">
      <c r="A811">
        <v>2006</v>
      </c>
      <c r="B811" t="s">
        <v>819</v>
      </c>
      <c r="C811" t="s">
        <v>176</v>
      </c>
      <c r="D811" t="str">
        <f t="shared" si="36"/>
        <v>Sims Cooper</v>
      </c>
      <c r="E811" t="s">
        <v>1207</v>
      </c>
      <c r="F811" s="1">
        <v>45591</v>
      </c>
      <c r="G811" s="32" t="str">
        <f t="shared" si="37"/>
        <v>Oct</v>
      </c>
      <c r="H811">
        <v>1</v>
      </c>
      <c r="I811" t="str">
        <f t="shared" si="38"/>
        <v>Bronze</v>
      </c>
      <c r="J811" t="s">
        <v>1242</v>
      </c>
      <c r="K811" s="17">
        <v>42244</v>
      </c>
      <c r="L811" s="17" t="s">
        <v>1218</v>
      </c>
      <c r="M811" t="s">
        <v>2256</v>
      </c>
      <c r="N811" t="s">
        <v>1235</v>
      </c>
      <c r="O811">
        <v>2500</v>
      </c>
      <c r="P811">
        <v>250</v>
      </c>
      <c r="Q811">
        <v>250</v>
      </c>
      <c r="R811" t="s">
        <v>2023</v>
      </c>
    </row>
    <row r="812" spans="1:18" x14ac:dyDescent="0.25">
      <c r="A812">
        <v>2152</v>
      </c>
      <c r="B812" t="s">
        <v>1149</v>
      </c>
      <c r="C812" t="s">
        <v>1150</v>
      </c>
      <c r="D812" t="str">
        <f t="shared" si="36"/>
        <v>Mann Cody</v>
      </c>
      <c r="E812" t="s">
        <v>1249</v>
      </c>
      <c r="F812" s="1">
        <v>45591</v>
      </c>
      <c r="G812" s="32" t="str">
        <f t="shared" si="37"/>
        <v>Oct</v>
      </c>
      <c r="H812">
        <v>2</v>
      </c>
      <c r="I812" t="str">
        <f t="shared" si="38"/>
        <v>Silver</v>
      </c>
      <c r="J812" t="s">
        <v>14</v>
      </c>
      <c r="K812" s="17">
        <v>76873</v>
      </c>
      <c r="L812" s="17" t="s">
        <v>1214</v>
      </c>
      <c r="M812" t="s">
        <v>2256</v>
      </c>
      <c r="N812" t="s">
        <v>1227</v>
      </c>
      <c r="O812">
        <v>6160</v>
      </c>
      <c r="P812">
        <v>1200</v>
      </c>
      <c r="Q812">
        <v>2400</v>
      </c>
      <c r="R812" t="s">
        <v>2170</v>
      </c>
    </row>
    <row r="813" spans="1:18" x14ac:dyDescent="0.25">
      <c r="A813">
        <v>2199</v>
      </c>
      <c r="B813" t="s">
        <v>144</v>
      </c>
      <c r="C813" t="s">
        <v>1177</v>
      </c>
      <c r="D813" t="str">
        <f t="shared" si="36"/>
        <v>Bailey Kevin</v>
      </c>
      <c r="E813" t="s">
        <v>1205</v>
      </c>
      <c r="F813" s="1">
        <v>45591</v>
      </c>
      <c r="G813" s="32" t="str">
        <f t="shared" si="37"/>
        <v>Oct</v>
      </c>
      <c r="H813">
        <v>3</v>
      </c>
      <c r="I813" t="str">
        <f t="shared" si="38"/>
        <v>Gold</v>
      </c>
      <c r="J813" t="s">
        <v>1242</v>
      </c>
      <c r="K813" s="17">
        <v>7319</v>
      </c>
      <c r="L813" s="17" t="s">
        <v>1224</v>
      </c>
      <c r="M813" t="s">
        <v>2255</v>
      </c>
      <c r="N813" t="s">
        <v>1225</v>
      </c>
      <c r="O813">
        <v>5290</v>
      </c>
      <c r="P813">
        <v>250</v>
      </c>
      <c r="Q813">
        <v>750</v>
      </c>
      <c r="R813" t="s">
        <v>2217</v>
      </c>
    </row>
    <row r="814" spans="1:18" x14ac:dyDescent="0.25">
      <c r="A814">
        <v>1760</v>
      </c>
      <c r="B814" t="s">
        <v>787</v>
      </c>
      <c r="C814" t="s">
        <v>313</v>
      </c>
      <c r="D814" t="str">
        <f t="shared" si="36"/>
        <v>Hamilton Asher</v>
      </c>
      <c r="E814" t="s">
        <v>1207</v>
      </c>
      <c r="F814" s="1">
        <v>45592</v>
      </c>
      <c r="G814" s="32" t="str">
        <f t="shared" si="37"/>
        <v>Oct</v>
      </c>
      <c r="H814">
        <v>2</v>
      </c>
      <c r="I814" t="str">
        <f t="shared" si="38"/>
        <v>Silver</v>
      </c>
      <c r="J814" t="s">
        <v>18</v>
      </c>
      <c r="K814" s="17">
        <v>92230</v>
      </c>
      <c r="L814" s="17" t="s">
        <v>1233</v>
      </c>
      <c r="M814" t="s">
        <v>2255</v>
      </c>
      <c r="N814" t="s">
        <v>1239</v>
      </c>
      <c r="O814">
        <v>870</v>
      </c>
      <c r="P814">
        <v>250</v>
      </c>
      <c r="Q814">
        <v>500</v>
      </c>
      <c r="R814" t="s">
        <v>1777</v>
      </c>
    </row>
    <row r="815" spans="1:18" x14ac:dyDescent="0.25">
      <c r="A815">
        <v>1807</v>
      </c>
      <c r="B815" t="s">
        <v>441</v>
      </c>
      <c r="C815" t="s">
        <v>834</v>
      </c>
      <c r="D815" t="str">
        <f t="shared" si="36"/>
        <v>Ponce Nadia</v>
      </c>
      <c r="E815" t="s">
        <v>1207</v>
      </c>
      <c r="F815" s="1">
        <v>45592</v>
      </c>
      <c r="G815" s="32" t="str">
        <f t="shared" si="37"/>
        <v>Oct</v>
      </c>
      <c r="H815">
        <v>3</v>
      </c>
      <c r="I815" t="str">
        <f t="shared" si="38"/>
        <v>Gold</v>
      </c>
      <c r="J815" t="s">
        <v>1243</v>
      </c>
      <c r="K815" s="17">
        <v>48828</v>
      </c>
      <c r="L815" s="17" t="s">
        <v>1220</v>
      </c>
      <c r="M815" t="s">
        <v>2253</v>
      </c>
      <c r="N815" t="s">
        <v>1221</v>
      </c>
      <c r="O815">
        <v>3350</v>
      </c>
      <c r="P815">
        <v>250</v>
      </c>
      <c r="Q815">
        <v>750</v>
      </c>
      <c r="R815" t="s">
        <v>1824</v>
      </c>
    </row>
    <row r="816" spans="1:18" x14ac:dyDescent="0.25">
      <c r="A816">
        <v>2140</v>
      </c>
      <c r="B816" t="s">
        <v>480</v>
      </c>
      <c r="C816" t="s">
        <v>676</v>
      </c>
      <c r="D816" t="str">
        <f t="shared" si="36"/>
        <v>Crosby Jasper</v>
      </c>
      <c r="E816" t="s">
        <v>1207</v>
      </c>
      <c r="F816" s="1">
        <v>45592</v>
      </c>
      <c r="G816" s="32" t="str">
        <f t="shared" si="37"/>
        <v>Oct</v>
      </c>
      <c r="H816">
        <v>3</v>
      </c>
      <c r="I816" t="str">
        <f t="shared" si="38"/>
        <v>Gold</v>
      </c>
      <c r="J816" t="s">
        <v>14</v>
      </c>
      <c r="K816" s="17">
        <v>2090</v>
      </c>
      <c r="L816" s="17" t="s">
        <v>1216</v>
      </c>
      <c r="M816" t="s">
        <v>2255</v>
      </c>
      <c r="N816" t="s">
        <v>1217</v>
      </c>
      <c r="O816">
        <v>2600</v>
      </c>
      <c r="P816">
        <v>250</v>
      </c>
      <c r="Q816">
        <v>750</v>
      </c>
      <c r="R816" t="s">
        <v>2158</v>
      </c>
    </row>
    <row r="817" spans="1:18" x14ac:dyDescent="0.25">
      <c r="A817">
        <v>2168</v>
      </c>
      <c r="B817" t="s">
        <v>705</v>
      </c>
      <c r="C817" t="s">
        <v>1160</v>
      </c>
      <c r="D817" t="str">
        <f t="shared" si="36"/>
        <v>Greene Muhammad</v>
      </c>
      <c r="E817" t="s">
        <v>1248</v>
      </c>
      <c r="F817" s="1">
        <v>45592</v>
      </c>
      <c r="G817" s="32" t="str">
        <f t="shared" si="37"/>
        <v>Oct</v>
      </c>
      <c r="H817">
        <v>1</v>
      </c>
      <c r="I817" t="str">
        <f t="shared" si="38"/>
        <v>Bronze</v>
      </c>
      <c r="J817" t="s">
        <v>18</v>
      </c>
      <c r="K817" s="17">
        <v>35453</v>
      </c>
      <c r="L817" s="17" t="s">
        <v>1218</v>
      </c>
      <c r="M817" t="s">
        <v>2256</v>
      </c>
      <c r="N817" t="s">
        <v>1219</v>
      </c>
      <c r="O817">
        <v>2300</v>
      </c>
      <c r="P817">
        <v>300</v>
      </c>
      <c r="Q817">
        <v>300</v>
      </c>
      <c r="R817" t="s">
        <v>2186</v>
      </c>
    </row>
    <row r="818" spans="1:18" x14ac:dyDescent="0.25">
      <c r="A818">
        <v>1719</v>
      </c>
      <c r="B818" t="s">
        <v>744</v>
      </c>
      <c r="C818" t="s">
        <v>471</v>
      </c>
      <c r="D818" t="str">
        <f t="shared" si="36"/>
        <v>Richardson Marlee</v>
      </c>
      <c r="E818" t="s">
        <v>1205</v>
      </c>
      <c r="F818" s="1">
        <v>45593</v>
      </c>
      <c r="G818" s="32" t="str">
        <f t="shared" si="37"/>
        <v>Oct</v>
      </c>
      <c r="H818">
        <v>2</v>
      </c>
      <c r="I818" t="str">
        <f t="shared" si="38"/>
        <v>Silver</v>
      </c>
      <c r="J818" t="s">
        <v>1242</v>
      </c>
      <c r="K818" s="17">
        <v>48257</v>
      </c>
      <c r="L818" s="17" t="s">
        <v>1216</v>
      </c>
      <c r="M818" t="s">
        <v>2254</v>
      </c>
      <c r="N818" t="s">
        <v>1217</v>
      </c>
      <c r="O818">
        <v>2600</v>
      </c>
      <c r="P818">
        <v>250</v>
      </c>
      <c r="Q818">
        <v>500</v>
      </c>
      <c r="R818" t="s">
        <v>1736</v>
      </c>
    </row>
    <row r="819" spans="1:18" x14ac:dyDescent="0.25">
      <c r="A819">
        <v>1303</v>
      </c>
      <c r="B819" t="s">
        <v>158</v>
      </c>
      <c r="C819" t="s">
        <v>159</v>
      </c>
      <c r="D819" t="str">
        <f t="shared" si="36"/>
        <v>Carey Rosie</v>
      </c>
      <c r="E819" t="s">
        <v>1249</v>
      </c>
      <c r="F819" s="1">
        <v>45594</v>
      </c>
      <c r="G819" s="32" t="str">
        <f t="shared" si="37"/>
        <v>Oct</v>
      </c>
      <c r="H819">
        <v>3</v>
      </c>
      <c r="I819" t="str">
        <f t="shared" si="38"/>
        <v>Gold</v>
      </c>
      <c r="J819" t="s">
        <v>14</v>
      </c>
      <c r="K819" s="17">
        <v>48249</v>
      </c>
      <c r="L819" s="17" t="s">
        <v>1218</v>
      </c>
      <c r="M819" t="s">
        <v>2256</v>
      </c>
      <c r="N819" t="s">
        <v>1235</v>
      </c>
      <c r="O819">
        <v>2500</v>
      </c>
      <c r="P819">
        <v>1200</v>
      </c>
      <c r="Q819">
        <v>3600</v>
      </c>
      <c r="R819" t="s">
        <v>1319</v>
      </c>
    </row>
    <row r="820" spans="1:18" x14ac:dyDescent="0.25">
      <c r="A820">
        <v>1531</v>
      </c>
      <c r="B820" t="s">
        <v>512</v>
      </c>
      <c r="C820" t="s">
        <v>513</v>
      </c>
      <c r="D820" t="str">
        <f t="shared" si="36"/>
        <v>Sellers Gael</v>
      </c>
      <c r="E820" t="s">
        <v>1205</v>
      </c>
      <c r="F820" s="1">
        <v>45594</v>
      </c>
      <c r="G820" s="32" t="str">
        <f t="shared" si="37"/>
        <v>Oct</v>
      </c>
      <c r="H820">
        <v>3</v>
      </c>
      <c r="I820" t="str">
        <f t="shared" si="38"/>
        <v>Gold</v>
      </c>
      <c r="J820" t="s">
        <v>14</v>
      </c>
      <c r="K820" s="17">
        <v>95411</v>
      </c>
      <c r="L820" s="17" t="s">
        <v>1233</v>
      </c>
      <c r="M820" t="s">
        <v>2254</v>
      </c>
      <c r="N820" t="s">
        <v>1239</v>
      </c>
      <c r="O820">
        <v>870</v>
      </c>
      <c r="P820">
        <v>250</v>
      </c>
      <c r="Q820">
        <v>750</v>
      </c>
      <c r="R820" t="s">
        <v>1547</v>
      </c>
    </row>
    <row r="821" spans="1:18" x14ac:dyDescent="0.25">
      <c r="A821">
        <v>2021</v>
      </c>
      <c r="B821" t="s">
        <v>1029</v>
      </c>
      <c r="C821" t="s">
        <v>769</v>
      </c>
      <c r="D821" t="str">
        <f t="shared" si="36"/>
        <v>Graham Zyaire</v>
      </c>
      <c r="E821" t="s">
        <v>1248</v>
      </c>
      <c r="F821" s="1">
        <v>45594</v>
      </c>
      <c r="G821" s="32" t="str">
        <f t="shared" si="37"/>
        <v>Oct</v>
      </c>
      <c r="H821">
        <v>1</v>
      </c>
      <c r="I821" t="str">
        <f t="shared" si="38"/>
        <v>Bronze</v>
      </c>
      <c r="J821" t="s">
        <v>1243</v>
      </c>
      <c r="K821" s="17">
        <v>12106</v>
      </c>
      <c r="L821" s="17" t="s">
        <v>1222</v>
      </c>
      <c r="M821" t="s">
        <v>2252</v>
      </c>
      <c r="N821" t="s">
        <v>1231</v>
      </c>
      <c r="O821">
        <v>4870</v>
      </c>
      <c r="P821">
        <v>300</v>
      </c>
      <c r="Q821">
        <v>300</v>
      </c>
      <c r="R821" t="s">
        <v>2038</v>
      </c>
    </row>
    <row r="822" spans="1:18" x14ac:dyDescent="0.25">
      <c r="A822">
        <v>1825</v>
      </c>
      <c r="B822" t="s">
        <v>608</v>
      </c>
      <c r="C822" t="s">
        <v>851</v>
      </c>
      <c r="D822" t="str">
        <f t="shared" si="36"/>
        <v>Walsh Alijah</v>
      </c>
      <c r="E822" t="s">
        <v>1207</v>
      </c>
      <c r="F822" s="1">
        <v>45595</v>
      </c>
      <c r="G822" s="32" t="str">
        <f t="shared" si="37"/>
        <v>Oct</v>
      </c>
      <c r="H822">
        <v>2</v>
      </c>
      <c r="I822" t="str">
        <f t="shared" si="38"/>
        <v>Silver</v>
      </c>
      <c r="J822" t="s">
        <v>18</v>
      </c>
      <c r="K822" s="17">
        <v>96965</v>
      </c>
      <c r="L822" s="17" t="s">
        <v>1218</v>
      </c>
      <c r="M822" t="s">
        <v>2256</v>
      </c>
      <c r="N822" t="s">
        <v>836</v>
      </c>
      <c r="O822">
        <v>2000</v>
      </c>
      <c r="P822">
        <v>250</v>
      </c>
      <c r="Q822">
        <v>500</v>
      </c>
      <c r="R822" t="s">
        <v>1842</v>
      </c>
    </row>
    <row r="823" spans="1:18" x14ac:dyDescent="0.25">
      <c r="A823">
        <v>1436</v>
      </c>
      <c r="B823" t="s">
        <v>378</v>
      </c>
      <c r="C823" t="s">
        <v>253</v>
      </c>
      <c r="D823" t="str">
        <f t="shared" si="36"/>
        <v>Huerta Avianna</v>
      </c>
      <c r="E823" t="s">
        <v>1249</v>
      </c>
      <c r="F823" s="1">
        <v>45596</v>
      </c>
      <c r="G823" s="32" t="str">
        <f t="shared" si="37"/>
        <v>Oct</v>
      </c>
      <c r="H823">
        <v>2</v>
      </c>
      <c r="I823" t="str">
        <f t="shared" si="38"/>
        <v>Silver</v>
      </c>
      <c r="J823" t="s">
        <v>1243</v>
      </c>
      <c r="K823" s="17">
        <v>15747</v>
      </c>
      <c r="L823" s="17" t="s">
        <v>1216</v>
      </c>
      <c r="M823" t="s">
        <v>2255</v>
      </c>
      <c r="N823" t="s">
        <v>1217</v>
      </c>
      <c r="O823">
        <v>2600</v>
      </c>
      <c r="P823">
        <v>1200</v>
      </c>
      <c r="Q823">
        <v>2400</v>
      </c>
      <c r="R823" t="s">
        <v>1452</v>
      </c>
    </row>
    <row r="824" spans="1:18" x14ac:dyDescent="0.25">
      <c r="A824">
        <v>1499</v>
      </c>
      <c r="B824" t="s">
        <v>118</v>
      </c>
      <c r="C824" t="s">
        <v>473</v>
      </c>
      <c r="D824" t="str">
        <f t="shared" si="36"/>
        <v>Blevins Logan</v>
      </c>
      <c r="E824" t="s">
        <v>1249</v>
      </c>
      <c r="F824" s="1">
        <v>45596</v>
      </c>
      <c r="G824" s="32" t="str">
        <f t="shared" si="37"/>
        <v>Oct</v>
      </c>
      <c r="H824">
        <v>1</v>
      </c>
      <c r="I824" t="str">
        <f t="shared" si="38"/>
        <v>Bronze</v>
      </c>
      <c r="J824" t="s">
        <v>1242</v>
      </c>
      <c r="K824" s="17">
        <v>75054</v>
      </c>
      <c r="L824" s="17" t="s">
        <v>1220</v>
      </c>
      <c r="M824" t="s">
        <v>2252</v>
      </c>
      <c r="N824" t="s">
        <v>1221</v>
      </c>
      <c r="O824">
        <v>3350</v>
      </c>
      <c r="P824">
        <v>1200</v>
      </c>
      <c r="Q824">
        <v>1200</v>
      </c>
      <c r="R824" t="s">
        <v>1515</v>
      </c>
    </row>
    <row r="825" spans="1:18" x14ac:dyDescent="0.25">
      <c r="A825">
        <v>2192</v>
      </c>
      <c r="B825" t="s">
        <v>214</v>
      </c>
      <c r="C825" t="s">
        <v>239</v>
      </c>
      <c r="D825" t="str">
        <f t="shared" si="36"/>
        <v>Singh Elise</v>
      </c>
      <c r="E825" t="s">
        <v>1203</v>
      </c>
      <c r="F825" s="1">
        <v>45596</v>
      </c>
      <c r="G825" s="32" t="str">
        <f t="shared" si="37"/>
        <v>Oct</v>
      </c>
      <c r="H825">
        <v>2</v>
      </c>
      <c r="I825" t="str">
        <f t="shared" si="38"/>
        <v>Silver</v>
      </c>
      <c r="J825" t="s">
        <v>1242</v>
      </c>
      <c r="K825" s="17">
        <v>82639</v>
      </c>
      <c r="L825" s="17" t="s">
        <v>1222</v>
      </c>
      <c r="M825" t="s">
        <v>2253</v>
      </c>
      <c r="N825" t="s">
        <v>1237</v>
      </c>
      <c r="O825">
        <v>4000</v>
      </c>
      <c r="P825">
        <v>600</v>
      </c>
      <c r="Q825">
        <v>1200</v>
      </c>
      <c r="R825" t="s">
        <v>2210</v>
      </c>
    </row>
    <row r="826" spans="1:18" x14ac:dyDescent="0.25">
      <c r="A826">
        <v>1286</v>
      </c>
      <c r="B826" t="s">
        <v>128</v>
      </c>
      <c r="C826" t="s">
        <v>129</v>
      </c>
      <c r="D826" t="str">
        <f t="shared" si="36"/>
        <v>Hunter Luca</v>
      </c>
      <c r="E826" t="s">
        <v>1203</v>
      </c>
      <c r="F826" s="1">
        <v>45597</v>
      </c>
      <c r="G826" s="32" t="str">
        <f t="shared" si="37"/>
        <v>Nov</v>
      </c>
      <c r="H826">
        <v>2</v>
      </c>
      <c r="I826" t="str">
        <f t="shared" si="38"/>
        <v>Silver</v>
      </c>
      <c r="J826" t="s">
        <v>1242</v>
      </c>
      <c r="K826" s="17">
        <v>37556</v>
      </c>
      <c r="L826" s="17" t="s">
        <v>1218</v>
      </c>
      <c r="M826" t="s">
        <v>2254</v>
      </c>
      <c r="N826" t="s">
        <v>1235</v>
      </c>
      <c r="O826">
        <v>2500</v>
      </c>
      <c r="P826">
        <v>600</v>
      </c>
      <c r="Q826">
        <v>1200</v>
      </c>
      <c r="R826" t="s">
        <v>1302</v>
      </c>
    </row>
    <row r="827" spans="1:18" x14ac:dyDescent="0.25">
      <c r="A827">
        <v>1640</v>
      </c>
      <c r="B827" t="s">
        <v>646</v>
      </c>
      <c r="C827" t="s">
        <v>647</v>
      </c>
      <c r="D827" t="str">
        <f t="shared" si="36"/>
        <v>Gibson Romeo</v>
      </c>
      <c r="E827" t="s">
        <v>1207</v>
      </c>
      <c r="F827" s="1">
        <v>45597</v>
      </c>
      <c r="G827" s="32" t="str">
        <f t="shared" si="37"/>
        <v>Nov</v>
      </c>
      <c r="H827">
        <v>3</v>
      </c>
      <c r="I827" t="str">
        <f t="shared" si="38"/>
        <v>Gold</v>
      </c>
      <c r="J827" t="s">
        <v>1242</v>
      </c>
      <c r="K827" s="17">
        <v>42347</v>
      </c>
      <c r="L827" s="17" t="s">
        <v>1228</v>
      </c>
      <c r="M827" t="s">
        <v>2252</v>
      </c>
      <c r="N827" t="s">
        <v>1229</v>
      </c>
      <c r="O827">
        <v>7250</v>
      </c>
      <c r="P827">
        <v>250</v>
      </c>
      <c r="Q827">
        <v>750</v>
      </c>
      <c r="R827" t="s">
        <v>1657</v>
      </c>
    </row>
    <row r="828" spans="1:18" x14ac:dyDescent="0.25">
      <c r="A828">
        <v>2044</v>
      </c>
      <c r="B828" t="s">
        <v>176</v>
      </c>
      <c r="C828" t="s">
        <v>1049</v>
      </c>
      <c r="D828" t="str">
        <f t="shared" si="36"/>
        <v>Cooper Makenna</v>
      </c>
      <c r="E828" t="s">
        <v>1205</v>
      </c>
      <c r="F828" s="1">
        <v>45597</v>
      </c>
      <c r="G828" s="32" t="str">
        <f t="shared" si="37"/>
        <v>Nov</v>
      </c>
      <c r="H828">
        <v>2</v>
      </c>
      <c r="I828" t="str">
        <f t="shared" si="38"/>
        <v>Silver</v>
      </c>
      <c r="J828" t="s">
        <v>14</v>
      </c>
      <c r="K828" s="17">
        <v>86889</v>
      </c>
      <c r="L828" s="17" t="s">
        <v>1220</v>
      </c>
      <c r="M828" t="s">
        <v>2253</v>
      </c>
      <c r="N828" t="s">
        <v>1226</v>
      </c>
      <c r="O828">
        <v>3220</v>
      </c>
      <c r="P828">
        <v>250</v>
      </c>
      <c r="Q828">
        <v>500</v>
      </c>
      <c r="R828" t="s">
        <v>2061</v>
      </c>
    </row>
    <row r="829" spans="1:18" x14ac:dyDescent="0.25">
      <c r="A829">
        <v>1408</v>
      </c>
      <c r="B829" t="s">
        <v>200</v>
      </c>
      <c r="C829" t="s">
        <v>332</v>
      </c>
      <c r="D829" t="str">
        <f t="shared" si="36"/>
        <v>Jaramillo Camilla</v>
      </c>
      <c r="E829" t="s">
        <v>1208</v>
      </c>
      <c r="F829" s="1">
        <v>45598</v>
      </c>
      <c r="G829" s="32" t="str">
        <f t="shared" si="37"/>
        <v>Nov</v>
      </c>
      <c r="H829">
        <v>1</v>
      </c>
      <c r="I829" t="str">
        <f t="shared" si="38"/>
        <v>Bronze</v>
      </c>
      <c r="J829" t="s">
        <v>18</v>
      </c>
      <c r="K829" s="17">
        <v>35625</v>
      </c>
      <c r="L829" s="17" t="s">
        <v>1218</v>
      </c>
      <c r="M829" t="s">
        <v>2254</v>
      </c>
      <c r="N829" t="s">
        <v>1219</v>
      </c>
      <c r="O829">
        <v>2300</v>
      </c>
      <c r="P829">
        <v>800</v>
      </c>
      <c r="Q829">
        <v>800</v>
      </c>
      <c r="R829" t="s">
        <v>1424</v>
      </c>
    </row>
    <row r="830" spans="1:18" x14ac:dyDescent="0.25">
      <c r="A830">
        <v>1413</v>
      </c>
      <c r="B830" t="s">
        <v>339</v>
      </c>
      <c r="C830" t="s">
        <v>340</v>
      </c>
      <c r="D830" t="str">
        <f t="shared" si="36"/>
        <v>Bradshaw Dax</v>
      </c>
      <c r="E830" t="s">
        <v>1248</v>
      </c>
      <c r="F830" s="1">
        <v>45599</v>
      </c>
      <c r="G830" s="32" t="str">
        <f t="shared" si="37"/>
        <v>Nov</v>
      </c>
      <c r="H830">
        <v>3</v>
      </c>
      <c r="I830" t="str">
        <f t="shared" si="38"/>
        <v>Gold</v>
      </c>
      <c r="J830" t="s">
        <v>14</v>
      </c>
      <c r="K830" s="17">
        <v>24519</v>
      </c>
      <c r="L830" s="17" t="s">
        <v>1224</v>
      </c>
      <c r="M830" t="s">
        <v>2252</v>
      </c>
      <c r="N830" t="s">
        <v>1064</v>
      </c>
      <c r="O830">
        <v>5000</v>
      </c>
      <c r="P830">
        <v>300</v>
      </c>
      <c r="Q830">
        <v>900</v>
      </c>
      <c r="R830" t="s">
        <v>1429</v>
      </c>
    </row>
    <row r="831" spans="1:18" x14ac:dyDescent="0.25">
      <c r="A831">
        <v>1454</v>
      </c>
      <c r="B831" t="s">
        <v>408</v>
      </c>
      <c r="C831" t="s">
        <v>409</v>
      </c>
      <c r="D831" t="str">
        <f t="shared" si="36"/>
        <v>Griffith Kashton</v>
      </c>
      <c r="E831" t="s">
        <v>1203</v>
      </c>
      <c r="F831" s="1">
        <v>45599</v>
      </c>
      <c r="G831" s="32" t="str">
        <f t="shared" si="37"/>
        <v>Nov</v>
      </c>
      <c r="H831">
        <v>1</v>
      </c>
      <c r="I831" t="str">
        <f t="shared" si="38"/>
        <v>Bronze</v>
      </c>
      <c r="J831" t="s">
        <v>1243</v>
      </c>
      <c r="K831" s="17">
        <v>5589</v>
      </c>
      <c r="L831" s="17" t="s">
        <v>1224</v>
      </c>
      <c r="M831" t="s">
        <v>2254</v>
      </c>
      <c r="N831" t="s">
        <v>1238</v>
      </c>
      <c r="O831">
        <v>5600</v>
      </c>
      <c r="P831">
        <v>600</v>
      </c>
      <c r="Q831">
        <v>600</v>
      </c>
      <c r="R831" t="s">
        <v>1470</v>
      </c>
    </row>
    <row r="832" spans="1:18" x14ac:dyDescent="0.25">
      <c r="A832">
        <v>1466</v>
      </c>
      <c r="B832" t="s">
        <v>426</v>
      </c>
      <c r="C832" t="s">
        <v>377</v>
      </c>
      <c r="D832" t="str">
        <f t="shared" si="36"/>
        <v>Santiago Kobe</v>
      </c>
      <c r="E832" t="s">
        <v>1205</v>
      </c>
      <c r="F832" s="1">
        <v>45599</v>
      </c>
      <c r="G832" s="32" t="str">
        <f t="shared" si="37"/>
        <v>Nov</v>
      </c>
      <c r="H832">
        <v>3</v>
      </c>
      <c r="I832" t="str">
        <f t="shared" si="38"/>
        <v>Gold</v>
      </c>
      <c r="J832" t="s">
        <v>14</v>
      </c>
      <c r="K832" s="17">
        <v>23219</v>
      </c>
      <c r="L832" s="17" t="s">
        <v>1216</v>
      </c>
      <c r="M832" t="s">
        <v>2256</v>
      </c>
      <c r="N832" t="s">
        <v>1217</v>
      </c>
      <c r="O832">
        <v>2600</v>
      </c>
      <c r="P832">
        <v>250</v>
      </c>
      <c r="Q832">
        <v>750</v>
      </c>
      <c r="R832" t="s">
        <v>1482</v>
      </c>
    </row>
    <row r="833" spans="1:18" x14ac:dyDescent="0.25">
      <c r="A833">
        <v>1984</v>
      </c>
      <c r="B833" t="s">
        <v>1002</v>
      </c>
      <c r="C833" t="s">
        <v>1003</v>
      </c>
      <c r="D833" t="str">
        <f t="shared" si="36"/>
        <v>Washington Savannah</v>
      </c>
      <c r="E833" t="s">
        <v>1249</v>
      </c>
      <c r="F833" s="1">
        <v>45599</v>
      </c>
      <c r="G833" s="32" t="str">
        <f t="shared" si="37"/>
        <v>Nov</v>
      </c>
      <c r="H833">
        <v>2</v>
      </c>
      <c r="I833" t="str">
        <f t="shared" si="38"/>
        <v>Silver</v>
      </c>
      <c r="J833" t="s">
        <v>1243</v>
      </c>
      <c r="K833" s="17">
        <v>48740</v>
      </c>
      <c r="L833" s="17" t="s">
        <v>1224</v>
      </c>
      <c r="M833" t="s">
        <v>2256</v>
      </c>
      <c r="N833" t="s">
        <v>1225</v>
      </c>
      <c r="O833">
        <v>5290</v>
      </c>
      <c r="P833">
        <v>1200</v>
      </c>
      <c r="Q833">
        <v>2400</v>
      </c>
      <c r="R833" t="s">
        <v>2001</v>
      </c>
    </row>
    <row r="834" spans="1:18" x14ac:dyDescent="0.25">
      <c r="A834">
        <v>2113</v>
      </c>
      <c r="B834" t="s">
        <v>1112</v>
      </c>
      <c r="C834" t="s">
        <v>1113</v>
      </c>
      <c r="D834" t="str">
        <f t="shared" ref="D834:D897" si="39">CONCATENATE(B834, " ", C834)</f>
        <v>Hobbs Adalyn</v>
      </c>
      <c r="E834" t="s">
        <v>1249</v>
      </c>
      <c r="F834" s="1">
        <v>45599</v>
      </c>
      <c r="G834" s="32" t="str">
        <f t="shared" ref="G834:G897" si="40">TEXT(F834, "MMM")</f>
        <v>Nov</v>
      </c>
      <c r="H834">
        <v>1</v>
      </c>
      <c r="I834" t="str">
        <f t="shared" ref="I834:I897" si="41">IF(H834=1,"Bronze",IF(H834=2,"Silver",IF(H834=3,"Gold")))</f>
        <v>Bronze</v>
      </c>
      <c r="J834" t="s">
        <v>1242</v>
      </c>
      <c r="K834" s="17">
        <v>31139</v>
      </c>
      <c r="L834" s="17" t="s">
        <v>1220</v>
      </c>
      <c r="M834" t="s">
        <v>2253</v>
      </c>
      <c r="N834" t="s">
        <v>1232</v>
      </c>
      <c r="O834">
        <v>3000</v>
      </c>
      <c r="P834">
        <v>1200</v>
      </c>
      <c r="Q834">
        <v>1200</v>
      </c>
      <c r="R834" t="s">
        <v>2131</v>
      </c>
    </row>
    <row r="835" spans="1:18" x14ac:dyDescent="0.25">
      <c r="A835">
        <v>1958</v>
      </c>
      <c r="B835" t="s">
        <v>197</v>
      </c>
      <c r="C835" t="s">
        <v>266</v>
      </c>
      <c r="D835" t="str">
        <f t="shared" si="39"/>
        <v>Rosales Malik</v>
      </c>
      <c r="E835" t="s">
        <v>1205</v>
      </c>
      <c r="F835" s="1">
        <v>45600</v>
      </c>
      <c r="G835" s="32" t="str">
        <f t="shared" si="40"/>
        <v>Nov</v>
      </c>
      <c r="H835">
        <v>1</v>
      </c>
      <c r="I835" t="str">
        <f t="shared" si="41"/>
        <v>Bronze</v>
      </c>
      <c r="J835" t="s">
        <v>1242</v>
      </c>
      <c r="K835" s="17">
        <v>66610</v>
      </c>
      <c r="L835" s="17" t="s">
        <v>1228</v>
      </c>
      <c r="M835" t="s">
        <v>2252</v>
      </c>
      <c r="N835" t="s">
        <v>1240</v>
      </c>
      <c r="O835">
        <v>7310</v>
      </c>
      <c r="P835">
        <v>250</v>
      </c>
      <c r="Q835">
        <v>250</v>
      </c>
      <c r="R835" t="s">
        <v>1975</v>
      </c>
    </row>
    <row r="836" spans="1:18" x14ac:dyDescent="0.25">
      <c r="A836">
        <v>1828</v>
      </c>
      <c r="B836" t="s">
        <v>856</v>
      </c>
      <c r="C836" t="s">
        <v>857</v>
      </c>
      <c r="D836" t="str">
        <f t="shared" si="39"/>
        <v>Mcintyre June</v>
      </c>
      <c r="E836" t="s">
        <v>1249</v>
      </c>
      <c r="F836" s="1">
        <v>45601</v>
      </c>
      <c r="G836" s="32" t="str">
        <f t="shared" si="40"/>
        <v>Nov</v>
      </c>
      <c r="H836">
        <v>3</v>
      </c>
      <c r="I836" t="str">
        <f t="shared" si="41"/>
        <v>Gold</v>
      </c>
      <c r="J836" t="s">
        <v>18</v>
      </c>
      <c r="K836" s="17">
        <v>86279</v>
      </c>
      <c r="L836" s="17" t="s">
        <v>1220</v>
      </c>
      <c r="M836" t="s">
        <v>2255</v>
      </c>
      <c r="N836" t="s">
        <v>1221</v>
      </c>
      <c r="O836">
        <v>3350</v>
      </c>
      <c r="P836">
        <v>1200</v>
      </c>
      <c r="Q836">
        <v>3600</v>
      </c>
      <c r="R836" t="s">
        <v>1845</v>
      </c>
    </row>
    <row r="837" spans="1:18" x14ac:dyDescent="0.25">
      <c r="A837">
        <v>1627</v>
      </c>
      <c r="B837" t="s">
        <v>631</v>
      </c>
      <c r="C837" t="s">
        <v>632</v>
      </c>
      <c r="D837" t="str">
        <f t="shared" si="39"/>
        <v>Krueger Kaia</v>
      </c>
      <c r="E837" t="s">
        <v>1249</v>
      </c>
      <c r="F837" s="1">
        <v>45602</v>
      </c>
      <c r="G837" s="32" t="str">
        <f t="shared" si="40"/>
        <v>Nov</v>
      </c>
      <c r="H837">
        <v>1</v>
      </c>
      <c r="I837" t="str">
        <f t="shared" si="41"/>
        <v>Bronze</v>
      </c>
      <c r="J837" t="s">
        <v>14</v>
      </c>
      <c r="K837" s="17">
        <v>82175</v>
      </c>
      <c r="L837" s="17" t="s">
        <v>1233</v>
      </c>
      <c r="M837" t="s">
        <v>2252</v>
      </c>
      <c r="N837" t="s">
        <v>1234</v>
      </c>
      <c r="O837">
        <v>800</v>
      </c>
      <c r="P837">
        <v>1200</v>
      </c>
      <c r="Q837">
        <v>1200</v>
      </c>
      <c r="R837" t="s">
        <v>1644</v>
      </c>
    </row>
    <row r="838" spans="1:18" x14ac:dyDescent="0.25">
      <c r="A838">
        <v>1481</v>
      </c>
      <c r="B838" t="s">
        <v>449</v>
      </c>
      <c r="C838" t="s">
        <v>450</v>
      </c>
      <c r="D838" t="str">
        <f t="shared" si="39"/>
        <v>Frazier Ella</v>
      </c>
      <c r="E838" t="s">
        <v>1249</v>
      </c>
      <c r="F838" s="1">
        <v>45603</v>
      </c>
      <c r="G838" s="32" t="str">
        <f t="shared" si="40"/>
        <v>Nov</v>
      </c>
      <c r="H838">
        <v>1</v>
      </c>
      <c r="I838" t="str">
        <f t="shared" si="41"/>
        <v>Bronze</v>
      </c>
      <c r="J838" t="s">
        <v>1242</v>
      </c>
      <c r="K838" s="17">
        <v>4375</v>
      </c>
      <c r="L838" s="17" t="s">
        <v>1233</v>
      </c>
      <c r="M838" t="s">
        <v>2254</v>
      </c>
      <c r="N838" t="s">
        <v>1234</v>
      </c>
      <c r="O838">
        <v>800</v>
      </c>
      <c r="P838">
        <v>1200</v>
      </c>
      <c r="Q838">
        <v>1200</v>
      </c>
      <c r="R838" t="s">
        <v>1497</v>
      </c>
    </row>
    <row r="839" spans="1:18" x14ac:dyDescent="0.25">
      <c r="A839">
        <v>1581</v>
      </c>
      <c r="B839" t="s">
        <v>580</v>
      </c>
      <c r="C839" t="s">
        <v>426</v>
      </c>
      <c r="D839" t="str">
        <f t="shared" si="39"/>
        <v>Wilson Santiago</v>
      </c>
      <c r="E839" t="s">
        <v>1203</v>
      </c>
      <c r="F839" s="1">
        <v>45604</v>
      </c>
      <c r="G839" s="32" t="str">
        <f t="shared" si="40"/>
        <v>Nov</v>
      </c>
      <c r="H839">
        <v>3</v>
      </c>
      <c r="I839" t="str">
        <f t="shared" si="41"/>
        <v>Gold</v>
      </c>
      <c r="J839" t="s">
        <v>1242</v>
      </c>
      <c r="K839" s="17">
        <v>77176</v>
      </c>
      <c r="L839" s="17" t="s">
        <v>1233</v>
      </c>
      <c r="M839" t="s">
        <v>2255</v>
      </c>
      <c r="N839" t="s">
        <v>1239</v>
      </c>
      <c r="O839">
        <v>870</v>
      </c>
      <c r="P839">
        <v>600</v>
      </c>
      <c r="Q839">
        <v>1800</v>
      </c>
      <c r="R839" t="s">
        <v>1597</v>
      </c>
    </row>
    <row r="840" spans="1:18" x14ac:dyDescent="0.25">
      <c r="A840">
        <v>1703</v>
      </c>
      <c r="B840" t="s">
        <v>729</v>
      </c>
      <c r="C840" t="s">
        <v>604</v>
      </c>
      <c r="D840" t="str">
        <f t="shared" si="39"/>
        <v>Myers Morgan</v>
      </c>
      <c r="E840" t="s">
        <v>1248</v>
      </c>
      <c r="F840" s="1">
        <v>45604</v>
      </c>
      <c r="G840" s="32" t="str">
        <f t="shared" si="40"/>
        <v>Nov</v>
      </c>
      <c r="H840">
        <v>2</v>
      </c>
      <c r="I840" t="str">
        <f t="shared" si="41"/>
        <v>Silver</v>
      </c>
      <c r="J840" t="s">
        <v>1242</v>
      </c>
      <c r="K840" s="17">
        <v>46944</v>
      </c>
      <c r="L840" s="17" t="s">
        <v>1233</v>
      </c>
      <c r="M840" t="s">
        <v>2253</v>
      </c>
      <c r="N840" t="s">
        <v>1234</v>
      </c>
      <c r="O840">
        <v>800</v>
      </c>
      <c r="P840">
        <v>300</v>
      </c>
      <c r="Q840">
        <v>600</v>
      </c>
      <c r="R840" t="s">
        <v>1720</v>
      </c>
    </row>
    <row r="841" spans="1:18" x14ac:dyDescent="0.25">
      <c r="A841">
        <v>1855</v>
      </c>
      <c r="B841" t="s">
        <v>880</v>
      </c>
      <c r="C841" t="s">
        <v>881</v>
      </c>
      <c r="D841" t="str">
        <f t="shared" si="39"/>
        <v>Pugh Gracelyn</v>
      </c>
      <c r="E841" t="s">
        <v>1208</v>
      </c>
      <c r="F841" s="1">
        <v>45604</v>
      </c>
      <c r="G841" s="32" t="str">
        <f t="shared" si="40"/>
        <v>Nov</v>
      </c>
      <c r="H841">
        <v>1</v>
      </c>
      <c r="I841" t="str">
        <f t="shared" si="41"/>
        <v>Bronze</v>
      </c>
      <c r="J841" t="s">
        <v>1243</v>
      </c>
      <c r="K841" s="17">
        <v>45182</v>
      </c>
      <c r="L841" s="17" t="s">
        <v>1224</v>
      </c>
      <c r="M841" t="s">
        <v>2255</v>
      </c>
      <c r="N841" t="s">
        <v>1064</v>
      </c>
      <c r="O841">
        <v>5000</v>
      </c>
      <c r="P841">
        <v>800</v>
      </c>
      <c r="Q841">
        <v>800</v>
      </c>
      <c r="R841" t="s">
        <v>1872</v>
      </c>
    </row>
    <row r="842" spans="1:18" x14ac:dyDescent="0.25">
      <c r="A842">
        <v>1276</v>
      </c>
      <c r="B842" t="s">
        <v>109</v>
      </c>
      <c r="C842" t="s">
        <v>110</v>
      </c>
      <c r="D842" t="str">
        <f t="shared" si="39"/>
        <v>Mccormick Alani</v>
      </c>
      <c r="E842" t="s">
        <v>1249</v>
      </c>
      <c r="F842" s="1">
        <v>45605</v>
      </c>
      <c r="G842" s="32" t="str">
        <f t="shared" si="40"/>
        <v>Nov</v>
      </c>
      <c r="H842">
        <v>1</v>
      </c>
      <c r="I842" t="str">
        <f t="shared" si="41"/>
        <v>Bronze</v>
      </c>
      <c r="J842" t="s">
        <v>14</v>
      </c>
      <c r="K842" s="17">
        <v>14702</v>
      </c>
      <c r="L842" s="17" t="s">
        <v>1216</v>
      </c>
      <c r="M842" t="s">
        <v>2256</v>
      </c>
      <c r="N842" t="s">
        <v>1217</v>
      </c>
      <c r="O842">
        <v>2600</v>
      </c>
      <c r="P842">
        <v>1200</v>
      </c>
      <c r="Q842">
        <v>1200</v>
      </c>
      <c r="R842" t="s">
        <v>1292</v>
      </c>
    </row>
    <row r="843" spans="1:18" x14ac:dyDescent="0.25">
      <c r="A843">
        <v>1617</v>
      </c>
      <c r="B843" t="s">
        <v>620</v>
      </c>
      <c r="C843" t="s">
        <v>621</v>
      </c>
      <c r="D843" t="str">
        <f t="shared" si="39"/>
        <v>Barajas Teagan</v>
      </c>
      <c r="E843" t="s">
        <v>1249</v>
      </c>
      <c r="F843" s="1">
        <v>45605</v>
      </c>
      <c r="G843" s="32" t="str">
        <f t="shared" si="40"/>
        <v>Nov</v>
      </c>
      <c r="H843">
        <v>3</v>
      </c>
      <c r="I843" t="str">
        <f t="shared" si="41"/>
        <v>Gold</v>
      </c>
      <c r="J843" t="s">
        <v>1242</v>
      </c>
      <c r="K843" s="17">
        <v>59281</v>
      </c>
      <c r="L843" s="17" t="s">
        <v>1228</v>
      </c>
      <c r="M843" t="s">
        <v>2255</v>
      </c>
      <c r="N843" t="s">
        <v>1229</v>
      </c>
      <c r="O843">
        <v>7250</v>
      </c>
      <c r="P843">
        <v>1200</v>
      </c>
      <c r="Q843">
        <v>3600</v>
      </c>
      <c r="R843" t="s">
        <v>1634</v>
      </c>
    </row>
    <row r="844" spans="1:18" x14ac:dyDescent="0.25">
      <c r="A844">
        <v>2149</v>
      </c>
      <c r="B844" t="s">
        <v>1100</v>
      </c>
      <c r="C844" t="s">
        <v>1145</v>
      </c>
      <c r="D844" t="str">
        <f t="shared" si="39"/>
        <v>Burns Danielle</v>
      </c>
      <c r="E844" t="s">
        <v>1207</v>
      </c>
      <c r="F844" s="1">
        <v>45605</v>
      </c>
      <c r="G844" s="32" t="str">
        <f t="shared" si="40"/>
        <v>Nov</v>
      </c>
      <c r="H844">
        <v>2</v>
      </c>
      <c r="I844" t="str">
        <f t="shared" si="41"/>
        <v>Silver</v>
      </c>
      <c r="J844" t="s">
        <v>1242</v>
      </c>
      <c r="K844" s="17">
        <v>6491</v>
      </c>
      <c r="L844" s="17" t="s">
        <v>1218</v>
      </c>
      <c r="M844" t="s">
        <v>2255</v>
      </c>
      <c r="N844" t="s">
        <v>1219</v>
      </c>
      <c r="O844">
        <v>2300</v>
      </c>
      <c r="P844">
        <v>250</v>
      </c>
      <c r="Q844">
        <v>500</v>
      </c>
      <c r="R844" t="s">
        <v>2167</v>
      </c>
    </row>
    <row r="845" spans="1:18" x14ac:dyDescent="0.25">
      <c r="A845">
        <v>2186</v>
      </c>
      <c r="B845" t="s">
        <v>1171</v>
      </c>
      <c r="C845" t="s">
        <v>777</v>
      </c>
      <c r="D845" t="str">
        <f t="shared" si="39"/>
        <v>Esparza Connor</v>
      </c>
      <c r="E845" t="s">
        <v>1249</v>
      </c>
      <c r="F845" s="1">
        <v>45605</v>
      </c>
      <c r="G845" s="32" t="str">
        <f t="shared" si="40"/>
        <v>Nov</v>
      </c>
      <c r="H845">
        <v>2</v>
      </c>
      <c r="I845" t="str">
        <f t="shared" si="41"/>
        <v>Silver</v>
      </c>
      <c r="J845" t="s">
        <v>18</v>
      </c>
      <c r="K845" s="17">
        <v>85585</v>
      </c>
      <c r="L845" s="17" t="s">
        <v>1228</v>
      </c>
      <c r="M845" t="s">
        <v>2253</v>
      </c>
      <c r="N845" t="s">
        <v>1240</v>
      </c>
      <c r="O845">
        <v>7310</v>
      </c>
      <c r="P845">
        <v>1200</v>
      </c>
      <c r="Q845">
        <v>2400</v>
      </c>
      <c r="R845" t="s">
        <v>2204</v>
      </c>
    </row>
    <row r="846" spans="1:18" x14ac:dyDescent="0.25">
      <c r="A846">
        <v>2193</v>
      </c>
      <c r="B846" t="s">
        <v>715</v>
      </c>
      <c r="C846" t="s">
        <v>976</v>
      </c>
      <c r="D846" t="str">
        <f t="shared" si="39"/>
        <v>Best Allison</v>
      </c>
      <c r="E846" t="s">
        <v>1249</v>
      </c>
      <c r="F846" s="1">
        <v>45605</v>
      </c>
      <c r="G846" s="32" t="str">
        <f t="shared" si="40"/>
        <v>Nov</v>
      </c>
      <c r="H846">
        <v>2</v>
      </c>
      <c r="I846" t="str">
        <f t="shared" si="41"/>
        <v>Silver</v>
      </c>
      <c r="J846" t="s">
        <v>1242</v>
      </c>
      <c r="K846" s="17">
        <v>17374</v>
      </c>
      <c r="L846" s="17" t="s">
        <v>1233</v>
      </c>
      <c r="M846" t="s">
        <v>2252</v>
      </c>
      <c r="N846" t="s">
        <v>1239</v>
      </c>
      <c r="O846">
        <v>870</v>
      </c>
      <c r="P846">
        <v>1200</v>
      </c>
      <c r="Q846">
        <v>2400</v>
      </c>
      <c r="R846" t="s">
        <v>2211</v>
      </c>
    </row>
    <row r="847" spans="1:18" x14ac:dyDescent="0.25">
      <c r="A847">
        <v>1506</v>
      </c>
      <c r="B847" t="s">
        <v>485</v>
      </c>
      <c r="C847" t="s">
        <v>77</v>
      </c>
      <c r="D847" t="str">
        <f t="shared" si="39"/>
        <v>Velasquez Collin</v>
      </c>
      <c r="E847" t="s">
        <v>1205</v>
      </c>
      <c r="F847" s="1">
        <v>45606</v>
      </c>
      <c r="G847" s="32" t="str">
        <f t="shared" si="40"/>
        <v>Nov</v>
      </c>
      <c r="H847">
        <v>2</v>
      </c>
      <c r="I847" t="str">
        <f t="shared" si="41"/>
        <v>Silver</v>
      </c>
      <c r="J847" t="s">
        <v>1242</v>
      </c>
      <c r="K847" s="17">
        <v>81105</v>
      </c>
      <c r="L847" s="17" t="s">
        <v>1218</v>
      </c>
      <c r="M847" t="s">
        <v>2254</v>
      </c>
      <c r="N847" t="s">
        <v>1219</v>
      </c>
      <c r="O847">
        <v>2300</v>
      </c>
      <c r="P847">
        <v>250</v>
      </c>
      <c r="Q847">
        <v>500</v>
      </c>
      <c r="R847" t="s">
        <v>1522</v>
      </c>
    </row>
    <row r="848" spans="1:18" x14ac:dyDescent="0.25">
      <c r="A848">
        <v>1797</v>
      </c>
      <c r="B848" t="s">
        <v>826</v>
      </c>
      <c r="C848" t="s">
        <v>191</v>
      </c>
      <c r="D848" t="str">
        <f t="shared" si="39"/>
        <v>O’Connell Amir</v>
      </c>
      <c r="E848" t="s">
        <v>1208</v>
      </c>
      <c r="F848" s="1">
        <v>45606</v>
      </c>
      <c r="G848" s="32" t="str">
        <f t="shared" si="40"/>
        <v>Nov</v>
      </c>
      <c r="H848">
        <v>2</v>
      </c>
      <c r="I848" t="str">
        <f t="shared" si="41"/>
        <v>Silver</v>
      </c>
      <c r="J848" t="s">
        <v>18</v>
      </c>
      <c r="K848" s="17">
        <v>39697</v>
      </c>
      <c r="L848" s="17" t="s">
        <v>1220</v>
      </c>
      <c r="M848" t="s">
        <v>2252</v>
      </c>
      <c r="N848" t="s">
        <v>1232</v>
      </c>
      <c r="O848">
        <v>3000</v>
      </c>
      <c r="P848">
        <v>800</v>
      </c>
      <c r="Q848">
        <v>1600</v>
      </c>
      <c r="R848" t="s">
        <v>1814</v>
      </c>
    </row>
    <row r="849" spans="1:18" x14ac:dyDescent="0.25">
      <c r="A849">
        <v>2093</v>
      </c>
      <c r="B849" t="s">
        <v>1096</v>
      </c>
      <c r="C849" t="s">
        <v>513</v>
      </c>
      <c r="D849" t="str">
        <f t="shared" si="39"/>
        <v>Cortéz Gael</v>
      </c>
      <c r="E849" t="s">
        <v>1207</v>
      </c>
      <c r="F849" s="1">
        <v>45606</v>
      </c>
      <c r="G849" s="32" t="str">
        <f t="shared" si="40"/>
        <v>Nov</v>
      </c>
      <c r="H849">
        <v>2</v>
      </c>
      <c r="I849" t="str">
        <f t="shared" si="41"/>
        <v>Silver</v>
      </c>
      <c r="J849" t="s">
        <v>14</v>
      </c>
      <c r="K849" s="17">
        <v>10582</v>
      </c>
      <c r="L849" s="17" t="s">
        <v>1224</v>
      </c>
      <c r="M849" t="s">
        <v>2253</v>
      </c>
      <c r="N849" t="s">
        <v>1064</v>
      </c>
      <c r="O849">
        <v>5000</v>
      </c>
      <c r="P849">
        <v>250</v>
      </c>
      <c r="Q849">
        <v>500</v>
      </c>
      <c r="R849" t="s">
        <v>2111</v>
      </c>
    </row>
    <row r="850" spans="1:18" x14ac:dyDescent="0.25">
      <c r="A850">
        <v>1407</v>
      </c>
      <c r="B850" t="s">
        <v>331</v>
      </c>
      <c r="C850" t="s">
        <v>174</v>
      </c>
      <c r="D850" t="str">
        <f t="shared" si="39"/>
        <v>Acosta Willa</v>
      </c>
      <c r="E850" t="s">
        <v>1248</v>
      </c>
      <c r="F850" s="1">
        <v>45607</v>
      </c>
      <c r="G850" s="32" t="str">
        <f t="shared" si="40"/>
        <v>Nov</v>
      </c>
      <c r="H850">
        <v>1</v>
      </c>
      <c r="I850" t="str">
        <f t="shared" si="41"/>
        <v>Bronze</v>
      </c>
      <c r="J850" t="s">
        <v>18</v>
      </c>
      <c r="K850" s="17">
        <v>85362</v>
      </c>
      <c r="L850" s="17" t="s">
        <v>1224</v>
      </c>
      <c r="M850" t="s">
        <v>2256</v>
      </c>
      <c r="N850" t="s">
        <v>1064</v>
      </c>
      <c r="O850">
        <v>5000</v>
      </c>
      <c r="P850">
        <v>300</v>
      </c>
      <c r="Q850">
        <v>300</v>
      </c>
      <c r="R850" t="s">
        <v>1423</v>
      </c>
    </row>
    <row r="851" spans="1:18" x14ac:dyDescent="0.25">
      <c r="A851">
        <v>1412</v>
      </c>
      <c r="B851" t="s">
        <v>261</v>
      </c>
      <c r="C851" t="s">
        <v>338</v>
      </c>
      <c r="D851" t="str">
        <f t="shared" si="39"/>
        <v>Schmitt Daniela</v>
      </c>
      <c r="E851" t="s">
        <v>1207</v>
      </c>
      <c r="F851" s="1">
        <v>45607</v>
      </c>
      <c r="G851" s="32" t="str">
        <f t="shared" si="40"/>
        <v>Nov</v>
      </c>
      <c r="H851">
        <v>3</v>
      </c>
      <c r="I851" t="str">
        <f t="shared" si="41"/>
        <v>Gold</v>
      </c>
      <c r="J851" t="s">
        <v>1242</v>
      </c>
      <c r="K851" s="17">
        <v>79103</v>
      </c>
      <c r="L851" s="17" t="s">
        <v>1214</v>
      </c>
      <c r="M851" t="s">
        <v>2254</v>
      </c>
      <c r="N851" t="s">
        <v>1215</v>
      </c>
      <c r="O851">
        <v>6725</v>
      </c>
      <c r="P851">
        <v>250</v>
      </c>
      <c r="Q851">
        <v>750</v>
      </c>
      <c r="R851" t="s">
        <v>1428</v>
      </c>
    </row>
    <row r="852" spans="1:18" x14ac:dyDescent="0.25">
      <c r="A852">
        <v>1633</v>
      </c>
      <c r="B852" t="s">
        <v>64</v>
      </c>
      <c r="C852" t="s">
        <v>637</v>
      </c>
      <c r="D852" t="str">
        <f t="shared" si="39"/>
        <v>Landry Dream</v>
      </c>
      <c r="E852" t="s">
        <v>1249</v>
      </c>
      <c r="F852" s="1">
        <v>45607</v>
      </c>
      <c r="G852" s="32" t="str">
        <f t="shared" si="40"/>
        <v>Nov</v>
      </c>
      <c r="H852">
        <v>3</v>
      </c>
      <c r="I852" t="str">
        <f t="shared" si="41"/>
        <v>Gold</v>
      </c>
      <c r="J852" t="s">
        <v>1242</v>
      </c>
      <c r="K852" s="17">
        <v>46257</v>
      </c>
      <c r="L852" s="17" t="s">
        <v>1216</v>
      </c>
      <c r="M852" t="s">
        <v>2253</v>
      </c>
      <c r="N852" t="s">
        <v>1217</v>
      </c>
      <c r="O852">
        <v>2600</v>
      </c>
      <c r="P852">
        <v>1200</v>
      </c>
      <c r="Q852">
        <v>3600</v>
      </c>
      <c r="R852" t="s">
        <v>1650</v>
      </c>
    </row>
    <row r="853" spans="1:18" x14ac:dyDescent="0.25">
      <c r="A853">
        <v>1693</v>
      </c>
      <c r="B853" t="s">
        <v>717</v>
      </c>
      <c r="C853" t="s">
        <v>201</v>
      </c>
      <c r="D853" t="str">
        <f t="shared" si="39"/>
        <v>Barrett Emanuel</v>
      </c>
      <c r="E853" t="s">
        <v>1249</v>
      </c>
      <c r="F853" s="1">
        <v>45607</v>
      </c>
      <c r="G853" s="32" t="str">
        <f t="shared" si="40"/>
        <v>Nov</v>
      </c>
      <c r="H853">
        <v>2</v>
      </c>
      <c r="I853" t="str">
        <f t="shared" si="41"/>
        <v>Silver</v>
      </c>
      <c r="J853" t="s">
        <v>1242</v>
      </c>
      <c r="K853" s="17">
        <v>73260</v>
      </c>
      <c r="L853" s="17" t="s">
        <v>1224</v>
      </c>
      <c r="M853" t="s">
        <v>2256</v>
      </c>
      <c r="N853" t="s">
        <v>1238</v>
      </c>
      <c r="O853">
        <v>5600</v>
      </c>
      <c r="P853">
        <v>1200</v>
      </c>
      <c r="Q853">
        <v>2400</v>
      </c>
      <c r="R853" t="s">
        <v>1710</v>
      </c>
    </row>
    <row r="854" spans="1:18" x14ac:dyDescent="0.25">
      <c r="A854">
        <v>1922</v>
      </c>
      <c r="B854" t="s">
        <v>606</v>
      </c>
      <c r="C854" t="s">
        <v>414</v>
      </c>
      <c r="D854" t="str">
        <f t="shared" si="39"/>
        <v>Bernal Fernando</v>
      </c>
      <c r="E854" t="s">
        <v>1203</v>
      </c>
      <c r="F854" s="1">
        <v>45607</v>
      </c>
      <c r="G854" s="32" t="str">
        <f t="shared" si="40"/>
        <v>Nov</v>
      </c>
      <c r="H854">
        <v>1</v>
      </c>
      <c r="I854" t="str">
        <f t="shared" si="41"/>
        <v>Bronze</v>
      </c>
      <c r="J854" t="s">
        <v>14</v>
      </c>
      <c r="K854" s="17">
        <v>54885</v>
      </c>
      <c r="L854" s="17" t="s">
        <v>1224</v>
      </c>
      <c r="M854" t="s">
        <v>2252</v>
      </c>
      <c r="N854" t="s">
        <v>1238</v>
      </c>
      <c r="O854">
        <v>5600</v>
      </c>
      <c r="P854">
        <v>600</v>
      </c>
      <c r="Q854">
        <v>600</v>
      </c>
      <c r="R854" t="s">
        <v>1939</v>
      </c>
    </row>
    <row r="855" spans="1:18" x14ac:dyDescent="0.25">
      <c r="A855">
        <v>1621</v>
      </c>
      <c r="B855" t="s">
        <v>625</v>
      </c>
      <c r="C855" t="s">
        <v>22</v>
      </c>
      <c r="D855" t="str">
        <f t="shared" si="39"/>
        <v>Campbell Angela</v>
      </c>
      <c r="E855" t="s">
        <v>1249</v>
      </c>
      <c r="F855" s="1">
        <v>45608</v>
      </c>
      <c r="G855" s="32" t="str">
        <f t="shared" si="40"/>
        <v>Nov</v>
      </c>
      <c r="H855">
        <v>1</v>
      </c>
      <c r="I855" t="str">
        <f t="shared" si="41"/>
        <v>Bronze</v>
      </c>
      <c r="J855" t="s">
        <v>18</v>
      </c>
      <c r="K855" s="17">
        <v>72009</v>
      </c>
      <c r="L855" s="17" t="s">
        <v>1218</v>
      </c>
      <c r="M855" t="s">
        <v>2254</v>
      </c>
      <c r="N855" t="s">
        <v>1235</v>
      </c>
      <c r="O855">
        <v>2500</v>
      </c>
      <c r="P855">
        <v>1200</v>
      </c>
      <c r="Q855">
        <v>1200</v>
      </c>
      <c r="R855" t="s">
        <v>1638</v>
      </c>
    </row>
    <row r="856" spans="1:18" x14ac:dyDescent="0.25">
      <c r="A856">
        <v>1324</v>
      </c>
      <c r="B856" t="s">
        <v>195</v>
      </c>
      <c r="C856" t="s">
        <v>196</v>
      </c>
      <c r="D856" t="str">
        <f t="shared" si="39"/>
        <v>Gallagher Adaline</v>
      </c>
      <c r="E856" t="s">
        <v>1203</v>
      </c>
      <c r="F856" s="1">
        <v>45609</v>
      </c>
      <c r="G856" s="32" t="str">
        <f t="shared" si="40"/>
        <v>Nov</v>
      </c>
      <c r="H856">
        <v>1</v>
      </c>
      <c r="I856" t="str">
        <f t="shared" si="41"/>
        <v>Bronze</v>
      </c>
      <c r="J856" t="s">
        <v>14</v>
      </c>
      <c r="K856" s="17">
        <v>91161</v>
      </c>
      <c r="L856" s="17" t="s">
        <v>1233</v>
      </c>
      <c r="M856" t="s">
        <v>2256</v>
      </c>
      <c r="N856" t="s">
        <v>1234</v>
      </c>
      <c r="O856">
        <v>800</v>
      </c>
      <c r="P856">
        <v>600</v>
      </c>
      <c r="Q856">
        <v>600</v>
      </c>
      <c r="R856" t="s">
        <v>1340</v>
      </c>
    </row>
    <row r="857" spans="1:18" x14ac:dyDescent="0.25">
      <c r="A857">
        <v>1505</v>
      </c>
      <c r="B857" t="s">
        <v>483</v>
      </c>
      <c r="C857" t="s">
        <v>484</v>
      </c>
      <c r="D857" t="str">
        <f t="shared" si="39"/>
        <v>Duran Emilia</v>
      </c>
      <c r="E857" t="s">
        <v>1207</v>
      </c>
      <c r="F857" s="1">
        <v>45609</v>
      </c>
      <c r="G857" s="32" t="str">
        <f t="shared" si="40"/>
        <v>Nov</v>
      </c>
      <c r="H857">
        <v>1</v>
      </c>
      <c r="I857" t="str">
        <f t="shared" si="41"/>
        <v>Bronze</v>
      </c>
      <c r="J857" t="s">
        <v>14</v>
      </c>
      <c r="K857" s="17">
        <v>15120</v>
      </c>
      <c r="L857" s="17" t="s">
        <v>1224</v>
      </c>
      <c r="M857" t="s">
        <v>2254</v>
      </c>
      <c r="N857" t="s">
        <v>1225</v>
      </c>
      <c r="O857">
        <v>5290</v>
      </c>
      <c r="P857">
        <v>250</v>
      </c>
      <c r="Q857">
        <v>250</v>
      </c>
      <c r="R857" t="s">
        <v>1521</v>
      </c>
    </row>
    <row r="858" spans="1:18" x14ac:dyDescent="0.25">
      <c r="A858">
        <v>1655</v>
      </c>
      <c r="B858" t="s">
        <v>667</v>
      </c>
      <c r="C858" t="s">
        <v>348</v>
      </c>
      <c r="D858" t="str">
        <f t="shared" si="39"/>
        <v>Fletcher Lyra</v>
      </c>
      <c r="E858" t="s">
        <v>1208</v>
      </c>
      <c r="F858" s="1">
        <v>45609</v>
      </c>
      <c r="G858" s="32" t="str">
        <f t="shared" si="40"/>
        <v>Nov</v>
      </c>
      <c r="H858">
        <v>3</v>
      </c>
      <c r="I858" t="str">
        <f t="shared" si="41"/>
        <v>Gold</v>
      </c>
      <c r="J858" t="s">
        <v>14</v>
      </c>
      <c r="K858" s="17">
        <v>41151</v>
      </c>
      <c r="L858" s="17" t="s">
        <v>1233</v>
      </c>
      <c r="M858" t="s">
        <v>2252</v>
      </c>
      <c r="N858" t="s">
        <v>1239</v>
      </c>
      <c r="O858">
        <v>870</v>
      </c>
      <c r="P858">
        <v>800</v>
      </c>
      <c r="Q858">
        <v>2400</v>
      </c>
      <c r="R858" t="s">
        <v>1672</v>
      </c>
    </row>
    <row r="859" spans="1:18" x14ac:dyDescent="0.25">
      <c r="A859">
        <v>1888</v>
      </c>
      <c r="B859" t="s">
        <v>918</v>
      </c>
      <c r="C859" t="s">
        <v>228</v>
      </c>
      <c r="D859" t="str">
        <f t="shared" si="39"/>
        <v>Gray Adelina</v>
      </c>
      <c r="E859" t="s">
        <v>1208</v>
      </c>
      <c r="F859" s="1">
        <v>45610</v>
      </c>
      <c r="G859" s="32" t="str">
        <f t="shared" si="40"/>
        <v>Nov</v>
      </c>
      <c r="H859">
        <v>1</v>
      </c>
      <c r="I859" t="str">
        <f t="shared" si="41"/>
        <v>Bronze</v>
      </c>
      <c r="J859" t="s">
        <v>14</v>
      </c>
      <c r="K859" s="17">
        <v>41533</v>
      </c>
      <c r="L859" s="17" t="s">
        <v>1214</v>
      </c>
      <c r="M859" t="s">
        <v>2256</v>
      </c>
      <c r="N859" t="s">
        <v>1215</v>
      </c>
      <c r="O859">
        <v>6725</v>
      </c>
      <c r="P859">
        <v>800</v>
      </c>
      <c r="Q859">
        <v>800</v>
      </c>
      <c r="R859" t="s">
        <v>1905</v>
      </c>
    </row>
    <row r="860" spans="1:18" x14ac:dyDescent="0.25">
      <c r="A860">
        <v>2128</v>
      </c>
      <c r="B860" t="s">
        <v>1127</v>
      </c>
      <c r="C860" t="s">
        <v>415</v>
      </c>
      <c r="D860" t="str">
        <f t="shared" si="39"/>
        <v>Bishop Marley</v>
      </c>
      <c r="E860" t="s">
        <v>1208</v>
      </c>
      <c r="F860" s="1">
        <v>45610</v>
      </c>
      <c r="G860" s="32" t="str">
        <f t="shared" si="40"/>
        <v>Nov</v>
      </c>
      <c r="H860">
        <v>1</v>
      </c>
      <c r="I860" t="str">
        <f t="shared" si="41"/>
        <v>Bronze</v>
      </c>
      <c r="J860" t="s">
        <v>14</v>
      </c>
      <c r="K860" s="17">
        <v>61770</v>
      </c>
      <c r="L860" s="17" t="s">
        <v>1224</v>
      </c>
      <c r="M860" t="s">
        <v>2256</v>
      </c>
      <c r="N860" t="s">
        <v>1225</v>
      </c>
      <c r="O860">
        <v>5290</v>
      </c>
      <c r="P860">
        <v>800</v>
      </c>
      <c r="Q860">
        <v>800</v>
      </c>
      <c r="R860" t="s">
        <v>2146</v>
      </c>
    </row>
    <row r="861" spans="1:18" x14ac:dyDescent="0.25">
      <c r="A861">
        <v>1450</v>
      </c>
      <c r="B861" t="s">
        <v>402</v>
      </c>
      <c r="C861" t="s">
        <v>225</v>
      </c>
      <c r="D861" t="str">
        <f t="shared" si="39"/>
        <v>Dunlap Amira</v>
      </c>
      <c r="E861" t="s">
        <v>1249</v>
      </c>
      <c r="F861" s="1">
        <v>45611</v>
      </c>
      <c r="G861" s="32" t="str">
        <f t="shared" si="40"/>
        <v>Nov</v>
      </c>
      <c r="H861">
        <v>1</v>
      </c>
      <c r="I861" t="str">
        <f t="shared" si="41"/>
        <v>Bronze</v>
      </c>
      <c r="J861" t="s">
        <v>1243</v>
      </c>
      <c r="K861" s="17">
        <v>99364</v>
      </c>
      <c r="L861" s="17" t="s">
        <v>1233</v>
      </c>
      <c r="M861" t="s">
        <v>2252</v>
      </c>
      <c r="N861" t="s">
        <v>1234</v>
      </c>
      <c r="O861">
        <v>800</v>
      </c>
      <c r="P861">
        <v>1200</v>
      </c>
      <c r="Q861">
        <v>1200</v>
      </c>
      <c r="R861" t="s">
        <v>1466</v>
      </c>
    </row>
    <row r="862" spans="1:18" x14ac:dyDescent="0.25">
      <c r="A862">
        <v>1566</v>
      </c>
      <c r="B862" t="s">
        <v>561</v>
      </c>
      <c r="C862" t="s">
        <v>562</v>
      </c>
      <c r="D862" t="str">
        <f t="shared" si="39"/>
        <v>Harrell Esteban</v>
      </c>
      <c r="E862" t="s">
        <v>1248</v>
      </c>
      <c r="F862" s="1">
        <v>45611</v>
      </c>
      <c r="G862" s="32" t="str">
        <f t="shared" si="40"/>
        <v>Nov</v>
      </c>
      <c r="H862">
        <v>3</v>
      </c>
      <c r="I862" t="str">
        <f t="shared" si="41"/>
        <v>Gold</v>
      </c>
      <c r="J862" t="s">
        <v>14</v>
      </c>
      <c r="K862" s="17">
        <v>52533</v>
      </c>
      <c r="L862" s="17" t="s">
        <v>1220</v>
      </c>
      <c r="M862" t="s">
        <v>2256</v>
      </c>
      <c r="N862" t="s">
        <v>1221</v>
      </c>
      <c r="O862">
        <v>3350</v>
      </c>
      <c r="P862">
        <v>300</v>
      </c>
      <c r="Q862">
        <v>900</v>
      </c>
      <c r="R862" t="s">
        <v>1582</v>
      </c>
    </row>
    <row r="863" spans="1:18" x14ac:dyDescent="0.25">
      <c r="A863">
        <v>1626</v>
      </c>
      <c r="B863" t="s">
        <v>629</v>
      </c>
      <c r="C863" t="s">
        <v>630</v>
      </c>
      <c r="D863" t="str">
        <f t="shared" si="39"/>
        <v>Frost Judah</v>
      </c>
      <c r="E863" t="s">
        <v>1203</v>
      </c>
      <c r="F863" s="1">
        <v>45611</v>
      </c>
      <c r="G863" s="32" t="str">
        <f t="shared" si="40"/>
        <v>Nov</v>
      </c>
      <c r="H863">
        <v>1</v>
      </c>
      <c r="I863" t="str">
        <f t="shared" si="41"/>
        <v>Bronze</v>
      </c>
      <c r="J863" t="s">
        <v>1242</v>
      </c>
      <c r="K863" s="17">
        <v>55994</v>
      </c>
      <c r="L863" s="17" t="s">
        <v>1214</v>
      </c>
      <c r="M863" t="s">
        <v>2255</v>
      </c>
      <c r="N863" t="s">
        <v>1227</v>
      </c>
      <c r="O863">
        <v>6160</v>
      </c>
      <c r="P863">
        <v>600</v>
      </c>
      <c r="Q863">
        <v>600</v>
      </c>
      <c r="R863" t="s">
        <v>1643</v>
      </c>
    </row>
    <row r="864" spans="1:18" x14ac:dyDescent="0.25">
      <c r="A864">
        <v>1675</v>
      </c>
      <c r="B864" t="s">
        <v>691</v>
      </c>
      <c r="C864" t="s">
        <v>692</v>
      </c>
      <c r="D864" t="str">
        <f t="shared" si="39"/>
        <v>Porter Felix</v>
      </c>
      <c r="E864" t="s">
        <v>1249</v>
      </c>
      <c r="F864" s="1">
        <v>45611</v>
      </c>
      <c r="G864" s="32" t="str">
        <f t="shared" si="40"/>
        <v>Nov</v>
      </c>
      <c r="H864">
        <v>2</v>
      </c>
      <c r="I864" t="str">
        <f t="shared" si="41"/>
        <v>Silver</v>
      </c>
      <c r="J864" t="s">
        <v>14</v>
      </c>
      <c r="K864" s="17">
        <v>76258</v>
      </c>
      <c r="L864" s="17" t="s">
        <v>1220</v>
      </c>
      <c r="M864" t="s">
        <v>2256</v>
      </c>
      <c r="N864" t="s">
        <v>1221</v>
      </c>
      <c r="O864">
        <v>3350</v>
      </c>
      <c r="P864">
        <v>1200</v>
      </c>
      <c r="Q864">
        <v>2400</v>
      </c>
      <c r="R864" t="s">
        <v>1692</v>
      </c>
    </row>
    <row r="865" spans="1:18" x14ac:dyDescent="0.25">
      <c r="A865">
        <v>1757</v>
      </c>
      <c r="B865" t="s">
        <v>783</v>
      </c>
      <c r="C865" t="s">
        <v>728</v>
      </c>
      <c r="D865" t="str">
        <f t="shared" si="39"/>
        <v>Skinner William</v>
      </c>
      <c r="E865" t="s">
        <v>1248</v>
      </c>
      <c r="F865" s="1">
        <v>45611</v>
      </c>
      <c r="G865" s="32" t="str">
        <f t="shared" si="40"/>
        <v>Nov</v>
      </c>
      <c r="H865">
        <v>2</v>
      </c>
      <c r="I865" t="str">
        <f t="shared" si="41"/>
        <v>Silver</v>
      </c>
      <c r="J865" t="s">
        <v>14</v>
      </c>
      <c r="K865" s="17">
        <v>14754</v>
      </c>
      <c r="L865" s="17" t="s">
        <v>1214</v>
      </c>
      <c r="M865" t="s">
        <v>2256</v>
      </c>
      <c r="N865" t="s">
        <v>1215</v>
      </c>
      <c r="O865">
        <v>6725</v>
      </c>
      <c r="P865">
        <v>300</v>
      </c>
      <c r="Q865">
        <v>600</v>
      </c>
      <c r="R865" t="s">
        <v>1774</v>
      </c>
    </row>
    <row r="866" spans="1:18" x14ac:dyDescent="0.25">
      <c r="A866">
        <v>1900</v>
      </c>
      <c r="B866" t="s">
        <v>275</v>
      </c>
      <c r="C866" t="s">
        <v>932</v>
      </c>
      <c r="D866" t="str">
        <f t="shared" si="39"/>
        <v>Velazquez Georgia</v>
      </c>
      <c r="E866" t="s">
        <v>1208</v>
      </c>
      <c r="F866" s="1">
        <v>45611</v>
      </c>
      <c r="G866" s="32" t="str">
        <f t="shared" si="40"/>
        <v>Nov</v>
      </c>
      <c r="H866">
        <v>1</v>
      </c>
      <c r="I866" t="str">
        <f t="shared" si="41"/>
        <v>Bronze</v>
      </c>
      <c r="J866" t="s">
        <v>14</v>
      </c>
      <c r="K866" s="17">
        <v>40470</v>
      </c>
      <c r="L866" s="17" t="s">
        <v>1228</v>
      </c>
      <c r="M866" t="s">
        <v>2253</v>
      </c>
      <c r="N866" t="s">
        <v>1229</v>
      </c>
      <c r="O866">
        <v>7250</v>
      </c>
      <c r="P866">
        <v>800</v>
      </c>
      <c r="Q866">
        <v>800</v>
      </c>
      <c r="R866" t="s">
        <v>1917</v>
      </c>
    </row>
    <row r="867" spans="1:18" x14ac:dyDescent="0.25">
      <c r="A867">
        <v>1291</v>
      </c>
      <c r="B867" t="s">
        <v>137</v>
      </c>
      <c r="C867" t="s">
        <v>138</v>
      </c>
      <c r="D867" t="str">
        <f t="shared" si="39"/>
        <v>Trevino Demi</v>
      </c>
      <c r="E867" t="s">
        <v>1249</v>
      </c>
      <c r="F867" s="1">
        <v>45612</v>
      </c>
      <c r="G867" s="32" t="str">
        <f t="shared" si="40"/>
        <v>Nov</v>
      </c>
      <c r="H867">
        <v>1</v>
      </c>
      <c r="I867" t="str">
        <f t="shared" si="41"/>
        <v>Bronze</v>
      </c>
      <c r="J867" t="s">
        <v>1242</v>
      </c>
      <c r="K867" s="17">
        <v>12747</v>
      </c>
      <c r="L867" s="17" t="s">
        <v>1216</v>
      </c>
      <c r="M867" t="s">
        <v>2252</v>
      </c>
      <c r="N867" t="s">
        <v>1217</v>
      </c>
      <c r="O867">
        <v>2600</v>
      </c>
      <c r="P867">
        <v>1200</v>
      </c>
      <c r="Q867">
        <v>1200</v>
      </c>
      <c r="R867" t="s">
        <v>1307</v>
      </c>
    </row>
    <row r="868" spans="1:18" x14ac:dyDescent="0.25">
      <c r="A868">
        <v>1366</v>
      </c>
      <c r="B868" t="s">
        <v>267</v>
      </c>
      <c r="C868" t="s">
        <v>268</v>
      </c>
      <c r="D868" t="str">
        <f t="shared" si="39"/>
        <v>Schwartz Kylo</v>
      </c>
      <c r="E868" t="s">
        <v>1249</v>
      </c>
      <c r="F868" s="1">
        <v>45612</v>
      </c>
      <c r="G868" s="32" t="str">
        <f t="shared" si="40"/>
        <v>Nov</v>
      </c>
      <c r="H868">
        <v>3</v>
      </c>
      <c r="I868" t="str">
        <f t="shared" si="41"/>
        <v>Gold</v>
      </c>
      <c r="J868" t="s">
        <v>18</v>
      </c>
      <c r="K868" s="17">
        <v>78520</v>
      </c>
      <c r="L868" s="17" t="s">
        <v>1228</v>
      </c>
      <c r="M868" t="s">
        <v>2254</v>
      </c>
      <c r="N868" t="s">
        <v>1230</v>
      </c>
      <c r="O868">
        <v>7000</v>
      </c>
      <c r="P868">
        <v>1200</v>
      </c>
      <c r="Q868">
        <v>3600</v>
      </c>
      <c r="R868" t="s">
        <v>1382</v>
      </c>
    </row>
    <row r="869" spans="1:18" x14ac:dyDescent="0.25">
      <c r="A869">
        <v>1486</v>
      </c>
      <c r="B869" t="s">
        <v>456</v>
      </c>
      <c r="C869" t="s">
        <v>457</v>
      </c>
      <c r="D869" t="str">
        <f t="shared" si="39"/>
        <v>Mcpherson Tucker</v>
      </c>
      <c r="E869" t="s">
        <v>1203</v>
      </c>
      <c r="F869" s="1">
        <v>45612</v>
      </c>
      <c r="G869" s="32" t="str">
        <f t="shared" si="40"/>
        <v>Nov</v>
      </c>
      <c r="H869">
        <v>1</v>
      </c>
      <c r="I869" t="str">
        <f t="shared" si="41"/>
        <v>Bronze</v>
      </c>
      <c r="J869" t="s">
        <v>1242</v>
      </c>
      <c r="K869" s="17">
        <v>42868</v>
      </c>
      <c r="L869" s="17" t="s">
        <v>1214</v>
      </c>
      <c r="M869" t="s">
        <v>2256</v>
      </c>
      <c r="N869" t="s">
        <v>1236</v>
      </c>
      <c r="O869">
        <v>6000</v>
      </c>
      <c r="P869">
        <v>600</v>
      </c>
      <c r="Q869">
        <v>600</v>
      </c>
      <c r="R869" t="s">
        <v>1502</v>
      </c>
    </row>
    <row r="870" spans="1:18" x14ac:dyDescent="0.25">
      <c r="A870">
        <v>1718</v>
      </c>
      <c r="B870" t="s">
        <v>695</v>
      </c>
      <c r="C870" t="s">
        <v>276</v>
      </c>
      <c r="D870" t="str">
        <f t="shared" si="39"/>
        <v>Castro Nico</v>
      </c>
      <c r="E870" t="s">
        <v>1205</v>
      </c>
      <c r="F870" s="1">
        <v>45612</v>
      </c>
      <c r="G870" s="32" t="str">
        <f t="shared" si="40"/>
        <v>Nov</v>
      </c>
      <c r="H870">
        <v>2</v>
      </c>
      <c r="I870" t="str">
        <f t="shared" si="41"/>
        <v>Silver</v>
      </c>
      <c r="J870" t="s">
        <v>1242</v>
      </c>
      <c r="K870" s="17">
        <v>68214</v>
      </c>
      <c r="L870" s="17" t="s">
        <v>1214</v>
      </c>
      <c r="M870" t="s">
        <v>2253</v>
      </c>
      <c r="N870" t="s">
        <v>1227</v>
      </c>
      <c r="O870">
        <v>6160</v>
      </c>
      <c r="P870">
        <v>250</v>
      </c>
      <c r="Q870">
        <v>500</v>
      </c>
      <c r="R870" t="s">
        <v>1735</v>
      </c>
    </row>
    <row r="871" spans="1:18" x14ac:dyDescent="0.25">
      <c r="A871">
        <v>1727</v>
      </c>
      <c r="B871" t="s">
        <v>753</v>
      </c>
      <c r="C871" t="s">
        <v>754</v>
      </c>
      <c r="D871" t="str">
        <f t="shared" si="39"/>
        <v>Murray Kyson</v>
      </c>
      <c r="E871" t="s">
        <v>1203</v>
      </c>
      <c r="F871" s="1">
        <v>45612</v>
      </c>
      <c r="G871" s="32" t="str">
        <f t="shared" si="40"/>
        <v>Nov</v>
      </c>
      <c r="H871">
        <v>2</v>
      </c>
      <c r="I871" t="str">
        <f t="shared" si="41"/>
        <v>Silver</v>
      </c>
      <c r="J871" t="s">
        <v>1242</v>
      </c>
      <c r="K871" s="17">
        <v>28797</v>
      </c>
      <c r="L871" s="17" t="s">
        <v>1220</v>
      </c>
      <c r="M871" t="s">
        <v>2256</v>
      </c>
      <c r="N871" t="s">
        <v>1226</v>
      </c>
      <c r="O871">
        <v>3220</v>
      </c>
      <c r="P871">
        <v>600</v>
      </c>
      <c r="Q871">
        <v>1200</v>
      </c>
      <c r="R871" t="s">
        <v>1744</v>
      </c>
    </row>
    <row r="872" spans="1:18" x14ac:dyDescent="0.25">
      <c r="A872">
        <v>2025</v>
      </c>
      <c r="B872" t="s">
        <v>1033</v>
      </c>
      <c r="C872" t="s">
        <v>574</v>
      </c>
      <c r="D872" t="str">
        <f t="shared" si="39"/>
        <v>Browning Robert</v>
      </c>
      <c r="E872" t="s">
        <v>1249</v>
      </c>
      <c r="F872" s="1">
        <v>45612</v>
      </c>
      <c r="G872" s="32" t="str">
        <f t="shared" si="40"/>
        <v>Nov</v>
      </c>
      <c r="H872">
        <v>3</v>
      </c>
      <c r="I872" t="str">
        <f t="shared" si="41"/>
        <v>Gold</v>
      </c>
      <c r="J872" t="s">
        <v>14</v>
      </c>
      <c r="K872" s="17">
        <v>76521</v>
      </c>
      <c r="L872" s="17" t="s">
        <v>1220</v>
      </c>
      <c r="M872" t="s">
        <v>2256</v>
      </c>
      <c r="N872" t="s">
        <v>1221</v>
      </c>
      <c r="O872">
        <v>3350</v>
      </c>
      <c r="P872">
        <v>1200</v>
      </c>
      <c r="Q872">
        <v>3600</v>
      </c>
      <c r="R872" t="s">
        <v>2042</v>
      </c>
    </row>
    <row r="873" spans="1:18" x14ac:dyDescent="0.25">
      <c r="A873">
        <v>2141</v>
      </c>
      <c r="B873" t="s">
        <v>1140</v>
      </c>
      <c r="C873" t="s">
        <v>716</v>
      </c>
      <c r="D873" t="str">
        <f t="shared" si="39"/>
        <v>Marsh Aubrey</v>
      </c>
      <c r="E873" t="s">
        <v>1208</v>
      </c>
      <c r="F873" s="1">
        <v>45612</v>
      </c>
      <c r="G873" s="32" t="str">
        <f t="shared" si="40"/>
        <v>Nov</v>
      </c>
      <c r="H873">
        <v>3</v>
      </c>
      <c r="I873" t="str">
        <f t="shared" si="41"/>
        <v>Gold</v>
      </c>
      <c r="J873" t="s">
        <v>1242</v>
      </c>
      <c r="K873" s="17">
        <v>51748</v>
      </c>
      <c r="L873" s="17" t="s">
        <v>1233</v>
      </c>
      <c r="M873" t="s">
        <v>2256</v>
      </c>
      <c r="N873" t="s">
        <v>1234</v>
      </c>
      <c r="O873">
        <v>800</v>
      </c>
      <c r="P873">
        <v>800</v>
      </c>
      <c r="Q873">
        <v>2400</v>
      </c>
      <c r="R873" t="s">
        <v>2159</v>
      </c>
    </row>
    <row r="874" spans="1:18" x14ac:dyDescent="0.25">
      <c r="A874">
        <v>1525</v>
      </c>
      <c r="B874" t="s">
        <v>507</v>
      </c>
      <c r="C874" t="s">
        <v>199</v>
      </c>
      <c r="D874" t="str">
        <f t="shared" si="39"/>
        <v>Donovan Denver</v>
      </c>
      <c r="E874" t="s">
        <v>1249</v>
      </c>
      <c r="F874" s="1">
        <v>45613</v>
      </c>
      <c r="G874" s="32" t="str">
        <f t="shared" si="40"/>
        <v>Nov</v>
      </c>
      <c r="H874">
        <v>2</v>
      </c>
      <c r="I874" t="str">
        <f t="shared" si="41"/>
        <v>Silver</v>
      </c>
      <c r="J874" t="s">
        <v>18</v>
      </c>
      <c r="K874" s="17">
        <v>25255</v>
      </c>
      <c r="L874" s="17" t="s">
        <v>1216</v>
      </c>
      <c r="M874" t="s">
        <v>2254</v>
      </c>
      <c r="N874" t="s">
        <v>1217</v>
      </c>
      <c r="O874">
        <v>2600</v>
      </c>
      <c r="P874">
        <v>1200</v>
      </c>
      <c r="Q874">
        <v>2400</v>
      </c>
      <c r="R874" t="s">
        <v>1541</v>
      </c>
    </row>
    <row r="875" spans="1:18" x14ac:dyDescent="0.25">
      <c r="A875">
        <v>1569</v>
      </c>
      <c r="B875" t="s">
        <v>566</v>
      </c>
      <c r="C875" t="s">
        <v>567</v>
      </c>
      <c r="D875" t="str">
        <f t="shared" si="39"/>
        <v>Potter Niko</v>
      </c>
      <c r="E875" t="s">
        <v>1205</v>
      </c>
      <c r="F875" s="1">
        <v>45613</v>
      </c>
      <c r="G875" s="32" t="str">
        <f t="shared" si="40"/>
        <v>Nov</v>
      </c>
      <c r="H875">
        <v>2</v>
      </c>
      <c r="I875" t="str">
        <f t="shared" si="41"/>
        <v>Silver</v>
      </c>
      <c r="J875" t="s">
        <v>1242</v>
      </c>
      <c r="K875" s="17">
        <v>58287</v>
      </c>
      <c r="L875" s="17" t="s">
        <v>1216</v>
      </c>
      <c r="M875" t="s">
        <v>2256</v>
      </c>
      <c r="N875" t="s">
        <v>1217</v>
      </c>
      <c r="O875">
        <v>2600</v>
      </c>
      <c r="P875">
        <v>250</v>
      </c>
      <c r="Q875">
        <v>500</v>
      </c>
      <c r="R875" t="s">
        <v>1585</v>
      </c>
    </row>
    <row r="876" spans="1:18" x14ac:dyDescent="0.25">
      <c r="A876">
        <v>2138</v>
      </c>
      <c r="B876" t="s">
        <v>307</v>
      </c>
      <c r="C876" t="s">
        <v>1138</v>
      </c>
      <c r="D876" t="str">
        <f t="shared" si="39"/>
        <v>Thornton Luis</v>
      </c>
      <c r="E876" t="s">
        <v>1248</v>
      </c>
      <c r="F876" s="1">
        <v>45613</v>
      </c>
      <c r="G876" s="32" t="str">
        <f t="shared" si="40"/>
        <v>Nov</v>
      </c>
      <c r="H876">
        <v>3</v>
      </c>
      <c r="I876" t="str">
        <f t="shared" si="41"/>
        <v>Gold</v>
      </c>
      <c r="J876" t="s">
        <v>1243</v>
      </c>
      <c r="K876" s="17">
        <v>82462</v>
      </c>
      <c r="L876" s="17" t="s">
        <v>1233</v>
      </c>
      <c r="M876" t="s">
        <v>2253</v>
      </c>
      <c r="N876" t="s">
        <v>1234</v>
      </c>
      <c r="O876">
        <v>800</v>
      </c>
      <c r="P876">
        <v>300</v>
      </c>
      <c r="Q876">
        <v>900</v>
      </c>
      <c r="R876" t="s">
        <v>2156</v>
      </c>
    </row>
    <row r="877" spans="1:18" x14ac:dyDescent="0.25">
      <c r="A877">
        <v>1382</v>
      </c>
      <c r="B877" t="s">
        <v>295</v>
      </c>
      <c r="C877" t="s">
        <v>296</v>
      </c>
      <c r="D877" t="str">
        <f t="shared" si="39"/>
        <v>Blackwell Finley</v>
      </c>
      <c r="E877" t="s">
        <v>1249</v>
      </c>
      <c r="F877" s="1">
        <v>45614</v>
      </c>
      <c r="G877" s="32" t="str">
        <f t="shared" si="40"/>
        <v>Nov</v>
      </c>
      <c r="H877">
        <v>2</v>
      </c>
      <c r="I877" t="str">
        <f t="shared" si="41"/>
        <v>Silver</v>
      </c>
      <c r="J877" t="s">
        <v>1242</v>
      </c>
      <c r="K877" s="17">
        <v>44041</v>
      </c>
      <c r="L877" s="17" t="s">
        <v>1218</v>
      </c>
      <c r="M877" t="s">
        <v>2253</v>
      </c>
      <c r="N877" t="s">
        <v>836</v>
      </c>
      <c r="O877">
        <v>2000</v>
      </c>
      <c r="P877">
        <v>1200</v>
      </c>
      <c r="Q877">
        <v>2400</v>
      </c>
      <c r="R877" t="s">
        <v>1398</v>
      </c>
    </row>
    <row r="878" spans="1:18" x14ac:dyDescent="0.25">
      <c r="A878">
        <v>1501</v>
      </c>
      <c r="B878" t="s">
        <v>476</v>
      </c>
      <c r="C878" t="s">
        <v>477</v>
      </c>
      <c r="D878" t="str">
        <f t="shared" si="39"/>
        <v>Conley Elsie</v>
      </c>
      <c r="E878" t="s">
        <v>1249</v>
      </c>
      <c r="F878" s="1">
        <v>45614</v>
      </c>
      <c r="G878" s="32" t="str">
        <f t="shared" si="40"/>
        <v>Nov</v>
      </c>
      <c r="H878">
        <v>3</v>
      </c>
      <c r="I878" t="str">
        <f t="shared" si="41"/>
        <v>Gold</v>
      </c>
      <c r="J878" t="s">
        <v>14</v>
      </c>
      <c r="K878" s="17">
        <v>88262</v>
      </c>
      <c r="L878" s="17" t="s">
        <v>1222</v>
      </c>
      <c r="M878" t="s">
        <v>2254</v>
      </c>
      <c r="N878" t="s">
        <v>1223</v>
      </c>
      <c r="O878">
        <v>4217</v>
      </c>
      <c r="P878">
        <v>1200</v>
      </c>
      <c r="Q878">
        <v>3600</v>
      </c>
      <c r="R878" t="s">
        <v>1517</v>
      </c>
    </row>
    <row r="879" spans="1:18" x14ac:dyDescent="0.25">
      <c r="A879">
        <v>1549</v>
      </c>
      <c r="B879" t="s">
        <v>327</v>
      </c>
      <c r="C879" t="s">
        <v>535</v>
      </c>
      <c r="D879" t="str">
        <f t="shared" si="39"/>
        <v>Mccall Weston</v>
      </c>
      <c r="E879" t="s">
        <v>1207</v>
      </c>
      <c r="F879" s="1">
        <v>45614</v>
      </c>
      <c r="G879" s="32" t="str">
        <f t="shared" si="40"/>
        <v>Nov</v>
      </c>
      <c r="H879">
        <v>1</v>
      </c>
      <c r="I879" t="str">
        <f t="shared" si="41"/>
        <v>Bronze</v>
      </c>
      <c r="J879" t="s">
        <v>18</v>
      </c>
      <c r="K879" s="17">
        <v>59043</v>
      </c>
      <c r="L879" s="17" t="s">
        <v>1220</v>
      </c>
      <c r="M879" t="s">
        <v>2255</v>
      </c>
      <c r="N879" t="s">
        <v>1232</v>
      </c>
      <c r="O879">
        <v>3000</v>
      </c>
      <c r="P879">
        <v>250</v>
      </c>
      <c r="Q879">
        <v>250</v>
      </c>
      <c r="R879" t="s">
        <v>1565</v>
      </c>
    </row>
    <row r="880" spans="1:18" x14ac:dyDescent="0.25">
      <c r="A880">
        <v>1902</v>
      </c>
      <c r="B880" t="s">
        <v>167</v>
      </c>
      <c r="C880" t="s">
        <v>934</v>
      </c>
      <c r="D880" t="str">
        <f t="shared" si="39"/>
        <v>Wong Makayla</v>
      </c>
      <c r="E880" t="s">
        <v>1207</v>
      </c>
      <c r="F880" s="1">
        <v>45614</v>
      </c>
      <c r="G880" s="32" t="str">
        <f t="shared" si="40"/>
        <v>Nov</v>
      </c>
      <c r="H880">
        <v>1</v>
      </c>
      <c r="I880" t="str">
        <f t="shared" si="41"/>
        <v>Bronze</v>
      </c>
      <c r="J880" t="s">
        <v>1242</v>
      </c>
      <c r="K880" s="17">
        <v>60573</v>
      </c>
      <c r="L880" s="17" t="s">
        <v>1216</v>
      </c>
      <c r="M880" t="s">
        <v>2254</v>
      </c>
      <c r="N880" t="s">
        <v>1217</v>
      </c>
      <c r="O880">
        <v>2600</v>
      </c>
      <c r="P880">
        <v>250</v>
      </c>
      <c r="Q880">
        <v>250</v>
      </c>
      <c r="R880" t="s">
        <v>1919</v>
      </c>
    </row>
    <row r="881" spans="1:18" x14ac:dyDescent="0.25">
      <c r="A881">
        <v>2035</v>
      </c>
      <c r="B881" t="s">
        <v>595</v>
      </c>
      <c r="C881" t="s">
        <v>816</v>
      </c>
      <c r="D881" t="str">
        <f t="shared" si="39"/>
        <v>Piñeda Sullivan</v>
      </c>
      <c r="E881" t="s">
        <v>1249</v>
      </c>
      <c r="F881" s="1">
        <v>45614</v>
      </c>
      <c r="G881" s="32" t="str">
        <f t="shared" si="40"/>
        <v>Nov</v>
      </c>
      <c r="H881">
        <v>2</v>
      </c>
      <c r="I881" t="str">
        <f t="shared" si="41"/>
        <v>Silver</v>
      </c>
      <c r="J881" t="s">
        <v>14</v>
      </c>
      <c r="K881" s="17">
        <v>883</v>
      </c>
      <c r="L881" s="17" t="s">
        <v>1214</v>
      </c>
      <c r="M881" t="s">
        <v>2254</v>
      </c>
      <c r="N881" t="s">
        <v>1227</v>
      </c>
      <c r="O881">
        <v>6160</v>
      </c>
      <c r="P881">
        <v>1200</v>
      </c>
      <c r="Q881">
        <v>2400</v>
      </c>
      <c r="R881" t="s">
        <v>2052</v>
      </c>
    </row>
    <row r="882" spans="1:18" x14ac:dyDescent="0.25">
      <c r="A882">
        <v>2115</v>
      </c>
      <c r="B882" t="s">
        <v>474</v>
      </c>
      <c r="C882" t="s">
        <v>905</v>
      </c>
      <c r="D882" t="str">
        <f t="shared" si="39"/>
        <v>Kaur Martin</v>
      </c>
      <c r="E882" t="s">
        <v>1248</v>
      </c>
      <c r="F882" s="1">
        <v>45614</v>
      </c>
      <c r="G882" s="32" t="str">
        <f t="shared" si="40"/>
        <v>Nov</v>
      </c>
      <c r="H882">
        <v>2</v>
      </c>
      <c r="I882" t="str">
        <f t="shared" si="41"/>
        <v>Silver</v>
      </c>
      <c r="J882" t="s">
        <v>14</v>
      </c>
      <c r="K882" s="17">
        <v>83006</v>
      </c>
      <c r="L882" s="17" t="s">
        <v>1222</v>
      </c>
      <c r="M882" t="s">
        <v>2255</v>
      </c>
      <c r="N882" t="s">
        <v>1237</v>
      </c>
      <c r="O882">
        <v>4000</v>
      </c>
      <c r="P882">
        <v>300</v>
      </c>
      <c r="Q882">
        <v>600</v>
      </c>
      <c r="R882" t="s">
        <v>2133</v>
      </c>
    </row>
    <row r="883" spans="1:18" x14ac:dyDescent="0.25">
      <c r="A883">
        <v>1254</v>
      </c>
      <c r="B883" t="s">
        <v>66</v>
      </c>
      <c r="C883" t="s">
        <v>67</v>
      </c>
      <c r="D883" t="str">
        <f t="shared" si="39"/>
        <v>Weaver Cash</v>
      </c>
      <c r="E883" t="s">
        <v>1203</v>
      </c>
      <c r="F883" s="1">
        <v>45615</v>
      </c>
      <c r="G883" s="32" t="str">
        <f t="shared" si="40"/>
        <v>Nov</v>
      </c>
      <c r="H883">
        <v>3</v>
      </c>
      <c r="I883" t="str">
        <f t="shared" si="41"/>
        <v>Gold</v>
      </c>
      <c r="J883" t="s">
        <v>1242</v>
      </c>
      <c r="K883" s="17">
        <v>2111</v>
      </c>
      <c r="L883" s="17" t="s">
        <v>1216</v>
      </c>
      <c r="M883" t="s">
        <v>2253</v>
      </c>
      <c r="N883" t="s">
        <v>1217</v>
      </c>
      <c r="O883">
        <v>2600</v>
      </c>
      <c r="P883">
        <v>600</v>
      </c>
      <c r="Q883">
        <v>1800</v>
      </c>
      <c r="R883" t="s">
        <v>1270</v>
      </c>
    </row>
    <row r="884" spans="1:18" x14ac:dyDescent="0.25">
      <c r="A884">
        <v>1489</v>
      </c>
      <c r="B884" t="s">
        <v>461</v>
      </c>
      <c r="C884" t="s">
        <v>462</v>
      </c>
      <c r="D884" t="str">
        <f t="shared" si="39"/>
        <v>Bruce Adan</v>
      </c>
      <c r="E884" t="s">
        <v>1207</v>
      </c>
      <c r="F884" s="1">
        <v>45615</v>
      </c>
      <c r="G884" s="32" t="str">
        <f t="shared" si="40"/>
        <v>Nov</v>
      </c>
      <c r="H884">
        <v>2</v>
      </c>
      <c r="I884" t="str">
        <f t="shared" si="41"/>
        <v>Silver</v>
      </c>
      <c r="J884" t="s">
        <v>14</v>
      </c>
      <c r="K884" s="17">
        <v>25612</v>
      </c>
      <c r="L884" s="17" t="s">
        <v>1214</v>
      </c>
      <c r="M884" t="s">
        <v>2254</v>
      </c>
      <c r="N884" t="s">
        <v>1227</v>
      </c>
      <c r="O884">
        <v>6160</v>
      </c>
      <c r="P884">
        <v>250</v>
      </c>
      <c r="Q884">
        <v>500</v>
      </c>
      <c r="R884" t="s">
        <v>1505</v>
      </c>
    </row>
    <row r="885" spans="1:18" x14ac:dyDescent="0.25">
      <c r="A885">
        <v>1806</v>
      </c>
      <c r="B885" t="s">
        <v>832</v>
      </c>
      <c r="C885" t="s">
        <v>833</v>
      </c>
      <c r="D885" t="str">
        <f t="shared" si="39"/>
        <v>Mayer Steven</v>
      </c>
      <c r="E885" t="s">
        <v>1248</v>
      </c>
      <c r="F885" s="1">
        <v>45615</v>
      </c>
      <c r="G885" s="32" t="str">
        <f t="shared" si="40"/>
        <v>Nov</v>
      </c>
      <c r="H885">
        <v>3</v>
      </c>
      <c r="I885" t="str">
        <f t="shared" si="41"/>
        <v>Gold</v>
      </c>
      <c r="J885" t="s">
        <v>1242</v>
      </c>
      <c r="K885" s="17">
        <v>32220</v>
      </c>
      <c r="L885" s="17" t="s">
        <v>1216</v>
      </c>
      <c r="M885" t="s">
        <v>2255</v>
      </c>
      <c r="N885" t="s">
        <v>1217</v>
      </c>
      <c r="O885">
        <v>2600</v>
      </c>
      <c r="P885">
        <v>300</v>
      </c>
      <c r="Q885">
        <v>900</v>
      </c>
      <c r="R885" t="s">
        <v>1823</v>
      </c>
    </row>
    <row r="886" spans="1:18" x14ac:dyDescent="0.25">
      <c r="A886">
        <v>1956</v>
      </c>
      <c r="B886" t="s">
        <v>241</v>
      </c>
      <c r="C886" t="s">
        <v>458</v>
      </c>
      <c r="D886" t="str">
        <f t="shared" si="39"/>
        <v>Charles Jade</v>
      </c>
      <c r="E886" t="s">
        <v>1248</v>
      </c>
      <c r="F886" s="1">
        <v>45615</v>
      </c>
      <c r="G886" s="32" t="str">
        <f t="shared" si="40"/>
        <v>Nov</v>
      </c>
      <c r="H886">
        <v>2</v>
      </c>
      <c r="I886" t="str">
        <f t="shared" si="41"/>
        <v>Silver</v>
      </c>
      <c r="J886" t="s">
        <v>1242</v>
      </c>
      <c r="K886" s="17">
        <v>84056</v>
      </c>
      <c r="L886" s="17" t="s">
        <v>1228</v>
      </c>
      <c r="M886" t="s">
        <v>2256</v>
      </c>
      <c r="N886" t="s">
        <v>1240</v>
      </c>
      <c r="O886">
        <v>7310</v>
      </c>
      <c r="P886">
        <v>300</v>
      </c>
      <c r="Q886">
        <v>600</v>
      </c>
      <c r="R886" t="s">
        <v>1973</v>
      </c>
    </row>
    <row r="887" spans="1:18" x14ac:dyDescent="0.25">
      <c r="A887">
        <v>1982</v>
      </c>
      <c r="B887" t="s">
        <v>336</v>
      </c>
      <c r="C887" t="s">
        <v>1000</v>
      </c>
      <c r="D887" t="str">
        <f t="shared" si="39"/>
        <v>Horn Ivy</v>
      </c>
      <c r="E887" t="s">
        <v>1248</v>
      </c>
      <c r="F887" s="1">
        <v>45615</v>
      </c>
      <c r="G887" s="32" t="str">
        <f t="shared" si="40"/>
        <v>Nov</v>
      </c>
      <c r="H887">
        <v>2</v>
      </c>
      <c r="I887" t="str">
        <f t="shared" si="41"/>
        <v>Silver</v>
      </c>
      <c r="J887" t="s">
        <v>14</v>
      </c>
      <c r="K887" s="17">
        <v>11938</v>
      </c>
      <c r="L887" s="17" t="s">
        <v>1233</v>
      </c>
      <c r="M887" t="s">
        <v>2255</v>
      </c>
      <c r="N887" t="s">
        <v>1239</v>
      </c>
      <c r="O887">
        <v>870</v>
      </c>
      <c r="P887">
        <v>300</v>
      </c>
      <c r="Q887">
        <v>600</v>
      </c>
      <c r="R887" t="s">
        <v>1999</v>
      </c>
    </row>
    <row r="888" spans="1:18" x14ac:dyDescent="0.25">
      <c r="A888">
        <v>2052</v>
      </c>
      <c r="B888" t="s">
        <v>186</v>
      </c>
      <c r="C888" t="s">
        <v>1058</v>
      </c>
      <c r="D888" t="str">
        <f t="shared" si="39"/>
        <v>Truong Lia</v>
      </c>
      <c r="E888" t="s">
        <v>1207</v>
      </c>
      <c r="F888" s="1">
        <v>45615</v>
      </c>
      <c r="G888" s="32" t="str">
        <f t="shared" si="40"/>
        <v>Nov</v>
      </c>
      <c r="H888">
        <v>3</v>
      </c>
      <c r="I888" t="str">
        <f t="shared" si="41"/>
        <v>Gold</v>
      </c>
      <c r="J888" t="s">
        <v>14</v>
      </c>
      <c r="K888" s="17">
        <v>48199</v>
      </c>
      <c r="L888" s="17" t="s">
        <v>1224</v>
      </c>
      <c r="M888" t="s">
        <v>2253</v>
      </c>
      <c r="N888" t="s">
        <v>1064</v>
      </c>
      <c r="O888">
        <v>5000</v>
      </c>
      <c r="P888">
        <v>250</v>
      </c>
      <c r="Q888">
        <v>750</v>
      </c>
      <c r="R888" t="s">
        <v>2069</v>
      </c>
    </row>
    <row r="889" spans="1:18" x14ac:dyDescent="0.25">
      <c r="A889">
        <v>1333</v>
      </c>
      <c r="B889" t="s">
        <v>212</v>
      </c>
      <c r="C889" t="s">
        <v>213</v>
      </c>
      <c r="D889" t="str">
        <f t="shared" si="39"/>
        <v>Mcbride Ellis</v>
      </c>
      <c r="E889" t="s">
        <v>1248</v>
      </c>
      <c r="F889" s="1">
        <v>45616</v>
      </c>
      <c r="G889" s="32" t="str">
        <f t="shared" si="40"/>
        <v>Nov</v>
      </c>
      <c r="H889">
        <v>2</v>
      </c>
      <c r="I889" t="str">
        <f t="shared" si="41"/>
        <v>Silver</v>
      </c>
      <c r="J889" t="s">
        <v>1242</v>
      </c>
      <c r="K889" s="17">
        <v>25494</v>
      </c>
      <c r="L889" s="17" t="s">
        <v>1224</v>
      </c>
      <c r="M889" t="s">
        <v>2253</v>
      </c>
      <c r="N889" t="s">
        <v>1225</v>
      </c>
      <c r="O889">
        <v>5290</v>
      </c>
      <c r="P889">
        <v>300</v>
      </c>
      <c r="Q889">
        <v>600</v>
      </c>
      <c r="R889" t="s">
        <v>1349</v>
      </c>
    </row>
    <row r="890" spans="1:18" x14ac:dyDescent="0.25">
      <c r="A890">
        <v>2151</v>
      </c>
      <c r="B890" t="s">
        <v>1147</v>
      </c>
      <c r="C890" t="s">
        <v>1148</v>
      </c>
      <c r="D890" t="str">
        <f t="shared" si="39"/>
        <v>Mueller Poppy</v>
      </c>
      <c r="E890" t="s">
        <v>1248</v>
      </c>
      <c r="F890" s="1">
        <v>45616</v>
      </c>
      <c r="G890" s="32" t="str">
        <f t="shared" si="40"/>
        <v>Nov</v>
      </c>
      <c r="H890">
        <v>3</v>
      </c>
      <c r="I890" t="str">
        <f t="shared" si="41"/>
        <v>Gold</v>
      </c>
      <c r="J890" t="s">
        <v>14</v>
      </c>
      <c r="K890" s="17">
        <v>96730</v>
      </c>
      <c r="L890" s="17" t="s">
        <v>1218</v>
      </c>
      <c r="M890" t="s">
        <v>2256</v>
      </c>
      <c r="N890" t="s">
        <v>1235</v>
      </c>
      <c r="O890">
        <v>2500</v>
      </c>
      <c r="P890">
        <v>300</v>
      </c>
      <c r="Q890">
        <v>900</v>
      </c>
      <c r="R890" t="s">
        <v>2169</v>
      </c>
    </row>
    <row r="891" spans="1:18" x14ac:dyDescent="0.25">
      <c r="A891">
        <v>1717</v>
      </c>
      <c r="B891" t="s">
        <v>743</v>
      </c>
      <c r="C891" t="s">
        <v>632</v>
      </c>
      <c r="D891" t="str">
        <f t="shared" si="39"/>
        <v>Kent Kaia</v>
      </c>
      <c r="E891" t="s">
        <v>1203</v>
      </c>
      <c r="F891" s="1">
        <v>45617</v>
      </c>
      <c r="G891" s="32" t="str">
        <f t="shared" si="40"/>
        <v>Nov</v>
      </c>
      <c r="H891">
        <v>1</v>
      </c>
      <c r="I891" t="str">
        <f t="shared" si="41"/>
        <v>Bronze</v>
      </c>
      <c r="J891" t="s">
        <v>1242</v>
      </c>
      <c r="K891" s="17">
        <v>44916</v>
      </c>
      <c r="L891" s="17" t="s">
        <v>1233</v>
      </c>
      <c r="M891" t="s">
        <v>2254</v>
      </c>
      <c r="N891" t="s">
        <v>1239</v>
      </c>
      <c r="O891">
        <v>870</v>
      </c>
      <c r="P891">
        <v>600</v>
      </c>
      <c r="Q891">
        <v>600</v>
      </c>
      <c r="R891" t="s">
        <v>1734</v>
      </c>
    </row>
    <row r="892" spans="1:18" x14ac:dyDescent="0.25">
      <c r="A892">
        <v>1770</v>
      </c>
      <c r="B892" t="s">
        <v>795</v>
      </c>
      <c r="C892" t="s">
        <v>796</v>
      </c>
      <c r="D892" t="str">
        <f t="shared" si="39"/>
        <v>Chang Esmeralda</v>
      </c>
      <c r="E892" t="s">
        <v>1203</v>
      </c>
      <c r="F892" s="1">
        <v>45617</v>
      </c>
      <c r="G892" s="32" t="str">
        <f t="shared" si="40"/>
        <v>Nov</v>
      </c>
      <c r="H892">
        <v>2</v>
      </c>
      <c r="I892" t="str">
        <f t="shared" si="41"/>
        <v>Silver</v>
      </c>
      <c r="J892" t="s">
        <v>1242</v>
      </c>
      <c r="K892" s="17">
        <v>66209</v>
      </c>
      <c r="L892" s="17" t="s">
        <v>1216</v>
      </c>
      <c r="M892" t="s">
        <v>2256</v>
      </c>
      <c r="N892" t="s">
        <v>1217</v>
      </c>
      <c r="O892">
        <v>2600</v>
      </c>
      <c r="P892">
        <v>600</v>
      </c>
      <c r="Q892">
        <v>1200</v>
      </c>
      <c r="R892" t="s">
        <v>1787</v>
      </c>
    </row>
    <row r="893" spans="1:18" x14ac:dyDescent="0.25">
      <c r="A893">
        <v>1879</v>
      </c>
      <c r="B893" t="s">
        <v>715</v>
      </c>
      <c r="C893" t="s">
        <v>909</v>
      </c>
      <c r="D893" t="str">
        <f t="shared" si="39"/>
        <v>Best Kaylee</v>
      </c>
      <c r="E893" t="s">
        <v>1208</v>
      </c>
      <c r="F893" s="1">
        <v>45617</v>
      </c>
      <c r="G893" s="32" t="str">
        <f t="shared" si="40"/>
        <v>Nov</v>
      </c>
      <c r="H893">
        <v>3</v>
      </c>
      <c r="I893" t="str">
        <f t="shared" si="41"/>
        <v>Gold</v>
      </c>
      <c r="J893" t="s">
        <v>1243</v>
      </c>
      <c r="K893" s="17">
        <v>94318</v>
      </c>
      <c r="L893" s="17" t="s">
        <v>1233</v>
      </c>
      <c r="M893" t="s">
        <v>2252</v>
      </c>
      <c r="N893" t="s">
        <v>1234</v>
      </c>
      <c r="O893">
        <v>800</v>
      </c>
      <c r="P893">
        <v>800</v>
      </c>
      <c r="Q893">
        <v>2400</v>
      </c>
      <c r="R893" t="s">
        <v>1896</v>
      </c>
    </row>
    <row r="894" spans="1:18" x14ac:dyDescent="0.25">
      <c r="A894">
        <v>2008</v>
      </c>
      <c r="B894" t="s">
        <v>538</v>
      </c>
      <c r="C894" t="s">
        <v>43</v>
      </c>
      <c r="D894" t="str">
        <f t="shared" si="39"/>
        <v>Castillo Rosalie</v>
      </c>
      <c r="E894" t="s">
        <v>1208</v>
      </c>
      <c r="F894" s="1">
        <v>45617</v>
      </c>
      <c r="G894" s="32" t="str">
        <f t="shared" si="40"/>
        <v>Nov</v>
      </c>
      <c r="H894">
        <v>1</v>
      </c>
      <c r="I894" t="str">
        <f t="shared" si="41"/>
        <v>Bronze</v>
      </c>
      <c r="J894" t="s">
        <v>1242</v>
      </c>
      <c r="K894" s="17">
        <v>37200</v>
      </c>
      <c r="L894" s="17" t="s">
        <v>1214</v>
      </c>
      <c r="M894" t="s">
        <v>2256</v>
      </c>
      <c r="N894" t="s">
        <v>1215</v>
      </c>
      <c r="O894">
        <v>6725</v>
      </c>
      <c r="P894">
        <v>800</v>
      </c>
      <c r="Q894">
        <v>800</v>
      </c>
      <c r="R894" t="s">
        <v>2025</v>
      </c>
    </row>
    <row r="895" spans="1:18" x14ac:dyDescent="0.25">
      <c r="A895">
        <v>1591</v>
      </c>
      <c r="B895" t="s">
        <v>112</v>
      </c>
      <c r="C895" t="s">
        <v>191</v>
      </c>
      <c r="D895" t="str">
        <f t="shared" si="39"/>
        <v>Francis Amir</v>
      </c>
      <c r="E895" t="s">
        <v>1248</v>
      </c>
      <c r="F895" s="1">
        <v>45618</v>
      </c>
      <c r="G895" s="32" t="str">
        <f t="shared" si="40"/>
        <v>Nov</v>
      </c>
      <c r="H895">
        <v>2</v>
      </c>
      <c r="I895" t="str">
        <f t="shared" si="41"/>
        <v>Silver</v>
      </c>
      <c r="J895" t="s">
        <v>14</v>
      </c>
      <c r="K895" s="17">
        <v>68985</v>
      </c>
      <c r="L895" s="17" t="s">
        <v>1216</v>
      </c>
      <c r="M895" t="s">
        <v>2253</v>
      </c>
      <c r="N895" t="s">
        <v>1217</v>
      </c>
      <c r="O895">
        <v>2600</v>
      </c>
      <c r="P895">
        <v>300</v>
      </c>
      <c r="Q895">
        <v>600</v>
      </c>
      <c r="R895" t="s">
        <v>1607</v>
      </c>
    </row>
    <row r="896" spans="1:18" x14ac:dyDescent="0.25">
      <c r="A896">
        <v>1926</v>
      </c>
      <c r="B896" t="s">
        <v>392</v>
      </c>
      <c r="C896" t="s">
        <v>956</v>
      </c>
      <c r="D896" t="str">
        <f t="shared" si="39"/>
        <v>Stewart Rhett</v>
      </c>
      <c r="E896" t="s">
        <v>1203</v>
      </c>
      <c r="F896" s="1">
        <v>45618</v>
      </c>
      <c r="G896" s="32" t="str">
        <f t="shared" si="40"/>
        <v>Nov</v>
      </c>
      <c r="H896">
        <v>2</v>
      </c>
      <c r="I896" t="str">
        <f t="shared" si="41"/>
        <v>Silver</v>
      </c>
      <c r="J896" t="s">
        <v>14</v>
      </c>
      <c r="K896" s="17">
        <v>19981</v>
      </c>
      <c r="L896" s="17" t="s">
        <v>1216</v>
      </c>
      <c r="M896" t="s">
        <v>2254</v>
      </c>
      <c r="N896" t="s">
        <v>1217</v>
      </c>
      <c r="O896">
        <v>2600</v>
      </c>
      <c r="P896">
        <v>600</v>
      </c>
      <c r="Q896">
        <v>1200</v>
      </c>
      <c r="R896" t="s">
        <v>1943</v>
      </c>
    </row>
    <row r="897" spans="1:18" x14ac:dyDescent="0.25">
      <c r="A897">
        <v>2033</v>
      </c>
      <c r="B897" t="s">
        <v>1016</v>
      </c>
      <c r="C897" t="s">
        <v>816</v>
      </c>
      <c r="D897" t="str">
        <f t="shared" si="39"/>
        <v>Bonilla Sullivan</v>
      </c>
      <c r="E897" t="s">
        <v>1248</v>
      </c>
      <c r="F897" s="1">
        <v>45618</v>
      </c>
      <c r="G897" s="32" t="str">
        <f t="shared" si="40"/>
        <v>Nov</v>
      </c>
      <c r="H897">
        <v>2</v>
      </c>
      <c r="I897" t="str">
        <f t="shared" si="41"/>
        <v>Silver</v>
      </c>
      <c r="J897" t="s">
        <v>1242</v>
      </c>
      <c r="K897" s="17">
        <v>11248</v>
      </c>
      <c r="L897" s="17" t="s">
        <v>1220</v>
      </c>
      <c r="M897" t="s">
        <v>2255</v>
      </c>
      <c r="N897" t="s">
        <v>1232</v>
      </c>
      <c r="O897">
        <v>3000</v>
      </c>
      <c r="P897">
        <v>300</v>
      </c>
      <c r="Q897">
        <v>600</v>
      </c>
      <c r="R897" t="s">
        <v>2050</v>
      </c>
    </row>
    <row r="898" spans="1:18" x14ac:dyDescent="0.25">
      <c r="A898">
        <v>1331</v>
      </c>
      <c r="B898" t="s">
        <v>208</v>
      </c>
      <c r="C898" t="s">
        <v>209</v>
      </c>
      <c r="D898" t="str">
        <f t="shared" ref="D898:D961" si="42">CONCATENATE(B898, " ", C898)</f>
        <v>Cardenas Myles</v>
      </c>
      <c r="E898" t="s">
        <v>1249</v>
      </c>
      <c r="F898" s="1">
        <v>45619</v>
      </c>
      <c r="G898" s="32" t="str">
        <f t="shared" ref="G898:G961" si="43">TEXT(F898, "MMM")</f>
        <v>Nov</v>
      </c>
      <c r="H898">
        <v>2</v>
      </c>
      <c r="I898" t="str">
        <f t="shared" ref="I898:I961" si="44">IF(H898=1,"Bronze",IF(H898=2,"Silver",IF(H898=3,"Gold")))</f>
        <v>Silver</v>
      </c>
      <c r="J898" t="s">
        <v>1242</v>
      </c>
      <c r="K898" s="17">
        <v>30861</v>
      </c>
      <c r="L898" s="17" t="s">
        <v>1222</v>
      </c>
      <c r="M898" t="s">
        <v>2252</v>
      </c>
      <c r="N898" t="s">
        <v>1231</v>
      </c>
      <c r="O898">
        <v>4870</v>
      </c>
      <c r="P898">
        <v>1200</v>
      </c>
      <c r="Q898">
        <v>2400</v>
      </c>
      <c r="R898" t="s">
        <v>1347</v>
      </c>
    </row>
    <row r="899" spans="1:18" x14ac:dyDescent="0.25">
      <c r="A899">
        <v>1482</v>
      </c>
      <c r="B899" t="s">
        <v>451</v>
      </c>
      <c r="C899" t="s">
        <v>326</v>
      </c>
      <c r="D899" t="str">
        <f t="shared" si="42"/>
        <v>Sparks Christian</v>
      </c>
      <c r="E899" t="s">
        <v>1207</v>
      </c>
      <c r="F899" s="1">
        <v>45619</v>
      </c>
      <c r="G899" s="32" t="str">
        <f t="shared" si="43"/>
        <v>Nov</v>
      </c>
      <c r="H899">
        <v>2</v>
      </c>
      <c r="I899" t="str">
        <f t="shared" si="44"/>
        <v>Silver</v>
      </c>
      <c r="J899" t="s">
        <v>14</v>
      </c>
      <c r="K899" s="17">
        <v>69165</v>
      </c>
      <c r="L899" s="17" t="s">
        <v>1220</v>
      </c>
      <c r="M899" t="s">
        <v>2253</v>
      </c>
      <c r="N899" t="s">
        <v>1226</v>
      </c>
      <c r="O899">
        <v>3220</v>
      </c>
      <c r="P899">
        <v>250</v>
      </c>
      <c r="Q899">
        <v>500</v>
      </c>
      <c r="R899" t="s">
        <v>1498</v>
      </c>
    </row>
    <row r="900" spans="1:18" x14ac:dyDescent="0.25">
      <c r="A900">
        <v>2073</v>
      </c>
      <c r="B900" t="s">
        <v>627</v>
      </c>
      <c r="C900" t="s">
        <v>1076</v>
      </c>
      <c r="D900" t="str">
        <f t="shared" si="42"/>
        <v>Burgess Everleigh</v>
      </c>
      <c r="E900" t="s">
        <v>1205</v>
      </c>
      <c r="F900" s="1">
        <v>45619</v>
      </c>
      <c r="G900" s="32" t="str">
        <f t="shared" si="43"/>
        <v>Nov</v>
      </c>
      <c r="H900">
        <v>3</v>
      </c>
      <c r="I900" t="str">
        <f t="shared" si="44"/>
        <v>Gold</v>
      </c>
      <c r="J900" t="s">
        <v>14</v>
      </c>
      <c r="K900" s="17">
        <v>86566</v>
      </c>
      <c r="L900" s="17" t="s">
        <v>1218</v>
      </c>
      <c r="M900" t="s">
        <v>2253</v>
      </c>
      <c r="N900" t="s">
        <v>836</v>
      </c>
      <c r="O900">
        <v>2000</v>
      </c>
      <c r="P900">
        <v>250</v>
      </c>
      <c r="Q900">
        <v>750</v>
      </c>
      <c r="R900" t="s">
        <v>2090</v>
      </c>
    </row>
    <row r="901" spans="1:18" x14ac:dyDescent="0.25">
      <c r="A901">
        <v>2125</v>
      </c>
      <c r="B901" t="s">
        <v>1124</v>
      </c>
      <c r="C901" t="s">
        <v>1125</v>
      </c>
      <c r="D901" t="str">
        <f t="shared" si="42"/>
        <v>Mcdonald Adrian</v>
      </c>
      <c r="E901" t="s">
        <v>1207</v>
      </c>
      <c r="F901" s="1">
        <v>45619</v>
      </c>
      <c r="G901" s="32" t="str">
        <f t="shared" si="43"/>
        <v>Nov</v>
      </c>
      <c r="H901">
        <v>1</v>
      </c>
      <c r="I901" t="str">
        <f t="shared" si="44"/>
        <v>Bronze</v>
      </c>
      <c r="J901" t="s">
        <v>14</v>
      </c>
      <c r="K901" s="17">
        <v>3725</v>
      </c>
      <c r="L901" s="17" t="s">
        <v>1218</v>
      </c>
      <c r="M901" t="s">
        <v>2252</v>
      </c>
      <c r="N901" t="s">
        <v>1235</v>
      </c>
      <c r="O901">
        <v>2500</v>
      </c>
      <c r="P901">
        <v>250</v>
      </c>
      <c r="Q901">
        <v>250</v>
      </c>
      <c r="R901" t="s">
        <v>2143</v>
      </c>
    </row>
    <row r="902" spans="1:18" x14ac:dyDescent="0.25">
      <c r="A902">
        <v>1393</v>
      </c>
      <c r="B902" t="s">
        <v>309</v>
      </c>
      <c r="C902" t="s">
        <v>310</v>
      </c>
      <c r="D902" t="str">
        <f t="shared" si="42"/>
        <v>Ross Delilah</v>
      </c>
      <c r="E902" t="s">
        <v>1248</v>
      </c>
      <c r="F902" s="1">
        <v>45620</v>
      </c>
      <c r="G902" s="32" t="str">
        <f t="shared" si="43"/>
        <v>Nov</v>
      </c>
      <c r="H902">
        <v>3</v>
      </c>
      <c r="I902" t="str">
        <f t="shared" si="44"/>
        <v>Gold</v>
      </c>
      <c r="J902" t="s">
        <v>1242</v>
      </c>
      <c r="K902" s="17">
        <v>13468</v>
      </c>
      <c r="L902" s="17" t="s">
        <v>1220</v>
      </c>
      <c r="M902" t="s">
        <v>2252</v>
      </c>
      <c r="N902" t="s">
        <v>1221</v>
      </c>
      <c r="O902">
        <v>3350</v>
      </c>
      <c r="P902">
        <v>300</v>
      </c>
      <c r="Q902">
        <v>900</v>
      </c>
      <c r="R902" t="s">
        <v>1409</v>
      </c>
    </row>
    <row r="903" spans="1:18" x14ac:dyDescent="0.25">
      <c r="A903">
        <v>1883</v>
      </c>
      <c r="B903" t="s">
        <v>638</v>
      </c>
      <c r="C903" t="s">
        <v>913</v>
      </c>
      <c r="D903" t="str">
        <f t="shared" si="42"/>
        <v>Haley Sonny</v>
      </c>
      <c r="E903" t="s">
        <v>1248</v>
      </c>
      <c r="F903" s="1">
        <v>45620</v>
      </c>
      <c r="G903" s="32" t="str">
        <f t="shared" si="43"/>
        <v>Nov</v>
      </c>
      <c r="H903">
        <v>2</v>
      </c>
      <c r="I903" t="str">
        <f t="shared" si="44"/>
        <v>Silver</v>
      </c>
      <c r="J903" t="s">
        <v>18</v>
      </c>
      <c r="K903" s="17">
        <v>86435</v>
      </c>
      <c r="L903" s="17" t="s">
        <v>1214</v>
      </c>
      <c r="M903" t="s">
        <v>2254</v>
      </c>
      <c r="N903" t="s">
        <v>1215</v>
      </c>
      <c r="O903">
        <v>6725</v>
      </c>
      <c r="P903">
        <v>300</v>
      </c>
      <c r="Q903">
        <v>600</v>
      </c>
      <c r="R903" t="s">
        <v>1900</v>
      </c>
    </row>
    <row r="904" spans="1:18" x14ac:dyDescent="0.25">
      <c r="A904">
        <v>2096</v>
      </c>
      <c r="B904" t="s">
        <v>606</v>
      </c>
      <c r="C904" t="s">
        <v>296</v>
      </c>
      <c r="D904" t="str">
        <f t="shared" si="42"/>
        <v>Bernal Finley</v>
      </c>
      <c r="E904" t="s">
        <v>1205</v>
      </c>
      <c r="F904" s="1">
        <v>45620</v>
      </c>
      <c r="G904" s="32" t="str">
        <f t="shared" si="43"/>
        <v>Nov</v>
      </c>
      <c r="H904">
        <v>1</v>
      </c>
      <c r="I904" t="str">
        <f t="shared" si="44"/>
        <v>Bronze</v>
      </c>
      <c r="J904" t="s">
        <v>14</v>
      </c>
      <c r="K904" s="17">
        <v>38559</v>
      </c>
      <c r="L904" s="17" t="s">
        <v>1228</v>
      </c>
      <c r="M904" t="s">
        <v>2254</v>
      </c>
      <c r="N904" t="s">
        <v>1230</v>
      </c>
      <c r="O904">
        <v>7000</v>
      </c>
      <c r="P904">
        <v>250</v>
      </c>
      <c r="Q904">
        <v>250</v>
      </c>
      <c r="R904" t="s">
        <v>2114</v>
      </c>
    </row>
    <row r="905" spans="1:18" x14ac:dyDescent="0.25">
      <c r="A905">
        <v>2158</v>
      </c>
      <c r="B905" t="s">
        <v>176</v>
      </c>
      <c r="C905" t="s">
        <v>1153</v>
      </c>
      <c r="D905" t="str">
        <f t="shared" si="42"/>
        <v>Cooper Tristan</v>
      </c>
      <c r="E905" t="s">
        <v>1249</v>
      </c>
      <c r="F905" s="1">
        <v>45620</v>
      </c>
      <c r="G905" s="32" t="str">
        <f t="shared" si="43"/>
        <v>Nov</v>
      </c>
      <c r="H905">
        <v>3</v>
      </c>
      <c r="I905" t="str">
        <f t="shared" si="44"/>
        <v>Gold</v>
      </c>
      <c r="J905" t="s">
        <v>1243</v>
      </c>
      <c r="K905" s="17">
        <v>14344</v>
      </c>
      <c r="L905" s="17" t="s">
        <v>1233</v>
      </c>
      <c r="M905" t="s">
        <v>2255</v>
      </c>
      <c r="N905" t="s">
        <v>1239</v>
      </c>
      <c r="O905">
        <v>870</v>
      </c>
      <c r="P905">
        <v>1200</v>
      </c>
      <c r="Q905">
        <v>3600</v>
      </c>
      <c r="R905" t="s">
        <v>2176</v>
      </c>
    </row>
    <row r="906" spans="1:18" x14ac:dyDescent="0.25">
      <c r="A906">
        <v>1352</v>
      </c>
      <c r="B906" t="s">
        <v>242</v>
      </c>
      <c r="C906" t="s">
        <v>243</v>
      </c>
      <c r="D906" t="str">
        <f t="shared" si="42"/>
        <v>Pollard Rory</v>
      </c>
      <c r="E906" t="s">
        <v>1248</v>
      </c>
      <c r="F906" s="1">
        <v>45621</v>
      </c>
      <c r="G906" s="32" t="str">
        <f t="shared" si="43"/>
        <v>Nov</v>
      </c>
      <c r="H906">
        <v>3</v>
      </c>
      <c r="I906" t="str">
        <f t="shared" si="44"/>
        <v>Gold</v>
      </c>
      <c r="J906" t="s">
        <v>1243</v>
      </c>
      <c r="K906" s="17">
        <v>92297</v>
      </c>
      <c r="L906" s="17" t="s">
        <v>1224</v>
      </c>
      <c r="M906" t="s">
        <v>2255</v>
      </c>
      <c r="N906" t="s">
        <v>1064</v>
      </c>
      <c r="O906">
        <v>5000</v>
      </c>
      <c r="P906">
        <v>300</v>
      </c>
      <c r="Q906">
        <v>900</v>
      </c>
      <c r="R906" t="s">
        <v>1368</v>
      </c>
    </row>
    <row r="907" spans="1:18" x14ac:dyDescent="0.25">
      <c r="A907">
        <v>1386</v>
      </c>
      <c r="B907" t="s">
        <v>301</v>
      </c>
      <c r="C907" t="s">
        <v>27</v>
      </c>
      <c r="D907" t="str">
        <f t="shared" si="42"/>
        <v>Acevedo Lewis</v>
      </c>
      <c r="E907" t="s">
        <v>1248</v>
      </c>
      <c r="F907" s="1">
        <v>45621</v>
      </c>
      <c r="G907" s="32" t="str">
        <f t="shared" si="43"/>
        <v>Nov</v>
      </c>
      <c r="H907">
        <v>2</v>
      </c>
      <c r="I907" t="str">
        <f t="shared" si="44"/>
        <v>Silver</v>
      </c>
      <c r="J907" t="s">
        <v>14</v>
      </c>
      <c r="K907" s="17">
        <v>63867</v>
      </c>
      <c r="L907" s="17" t="s">
        <v>1216</v>
      </c>
      <c r="M907" t="s">
        <v>2255</v>
      </c>
      <c r="N907" t="s">
        <v>1217</v>
      </c>
      <c r="O907">
        <v>2600</v>
      </c>
      <c r="P907">
        <v>300</v>
      </c>
      <c r="Q907">
        <v>600</v>
      </c>
      <c r="R907" t="s">
        <v>1402</v>
      </c>
    </row>
    <row r="908" spans="1:18" x14ac:dyDescent="0.25">
      <c r="A908">
        <v>1479</v>
      </c>
      <c r="B908" t="s">
        <v>91</v>
      </c>
      <c r="C908" t="s">
        <v>447</v>
      </c>
      <c r="D908" t="str">
        <f t="shared" si="42"/>
        <v>Foster Joy</v>
      </c>
      <c r="E908" t="s">
        <v>1205</v>
      </c>
      <c r="F908" s="1">
        <v>45622</v>
      </c>
      <c r="G908" s="32" t="str">
        <f t="shared" si="43"/>
        <v>Nov</v>
      </c>
      <c r="H908">
        <v>2</v>
      </c>
      <c r="I908" t="str">
        <f t="shared" si="44"/>
        <v>Silver</v>
      </c>
      <c r="J908" t="s">
        <v>1243</v>
      </c>
      <c r="K908" s="17">
        <v>24866</v>
      </c>
      <c r="L908" s="17" t="s">
        <v>1222</v>
      </c>
      <c r="M908" t="s">
        <v>2256</v>
      </c>
      <c r="N908" t="s">
        <v>1237</v>
      </c>
      <c r="O908">
        <v>4000</v>
      </c>
      <c r="P908">
        <v>250</v>
      </c>
      <c r="Q908">
        <v>500</v>
      </c>
      <c r="R908" t="s">
        <v>1495</v>
      </c>
    </row>
    <row r="909" spans="1:18" x14ac:dyDescent="0.25">
      <c r="A909">
        <v>1925</v>
      </c>
      <c r="B909" t="s">
        <v>954</v>
      </c>
      <c r="C909" t="s">
        <v>955</v>
      </c>
      <c r="D909" t="str">
        <f t="shared" si="42"/>
        <v>Quinn George</v>
      </c>
      <c r="E909" t="s">
        <v>1207</v>
      </c>
      <c r="F909" s="1">
        <v>45622</v>
      </c>
      <c r="G909" s="32" t="str">
        <f t="shared" si="43"/>
        <v>Nov</v>
      </c>
      <c r="H909">
        <v>2</v>
      </c>
      <c r="I909" t="str">
        <f t="shared" si="44"/>
        <v>Silver</v>
      </c>
      <c r="J909" t="s">
        <v>1242</v>
      </c>
      <c r="K909" s="17">
        <v>333</v>
      </c>
      <c r="L909" s="17" t="s">
        <v>1228</v>
      </c>
      <c r="M909" t="s">
        <v>2255</v>
      </c>
      <c r="N909" t="s">
        <v>1229</v>
      </c>
      <c r="O909">
        <v>7250</v>
      </c>
      <c r="P909">
        <v>250</v>
      </c>
      <c r="Q909">
        <v>500</v>
      </c>
      <c r="R909" t="s">
        <v>1942</v>
      </c>
    </row>
    <row r="910" spans="1:18" x14ac:dyDescent="0.25">
      <c r="A910">
        <v>2004</v>
      </c>
      <c r="B910" t="s">
        <v>631</v>
      </c>
      <c r="C910" t="s">
        <v>943</v>
      </c>
      <c r="D910" t="str">
        <f t="shared" si="42"/>
        <v>Krueger Aisha</v>
      </c>
      <c r="E910" t="s">
        <v>1205</v>
      </c>
      <c r="F910" s="1">
        <v>45622</v>
      </c>
      <c r="G910" s="32" t="str">
        <f t="shared" si="43"/>
        <v>Nov</v>
      </c>
      <c r="H910">
        <v>1</v>
      </c>
      <c r="I910" t="str">
        <f t="shared" si="44"/>
        <v>Bronze</v>
      </c>
      <c r="J910" t="s">
        <v>1242</v>
      </c>
      <c r="K910" s="17">
        <v>39163</v>
      </c>
      <c r="L910" s="17" t="s">
        <v>1218</v>
      </c>
      <c r="M910" t="s">
        <v>2255</v>
      </c>
      <c r="N910" t="s">
        <v>1235</v>
      </c>
      <c r="O910">
        <v>2500</v>
      </c>
      <c r="P910">
        <v>250</v>
      </c>
      <c r="Q910">
        <v>250</v>
      </c>
      <c r="R910" t="s">
        <v>2021</v>
      </c>
    </row>
    <row r="911" spans="1:18" x14ac:dyDescent="0.25">
      <c r="A911">
        <v>2034</v>
      </c>
      <c r="B911" t="s">
        <v>869</v>
      </c>
      <c r="C911" t="s">
        <v>292</v>
      </c>
      <c r="D911" t="str">
        <f t="shared" si="42"/>
        <v>Gonzalez Callie</v>
      </c>
      <c r="E911" t="s">
        <v>1208</v>
      </c>
      <c r="F911" s="1">
        <v>45622</v>
      </c>
      <c r="G911" s="32" t="str">
        <f t="shared" si="43"/>
        <v>Nov</v>
      </c>
      <c r="H911">
        <v>2</v>
      </c>
      <c r="I911" t="str">
        <f t="shared" si="44"/>
        <v>Silver</v>
      </c>
      <c r="J911" t="s">
        <v>1242</v>
      </c>
      <c r="K911" s="17">
        <v>95351</v>
      </c>
      <c r="L911" s="17" t="s">
        <v>1214</v>
      </c>
      <c r="M911" t="s">
        <v>2256</v>
      </c>
      <c r="N911" t="s">
        <v>1236</v>
      </c>
      <c r="O911">
        <v>6000</v>
      </c>
      <c r="P911">
        <v>800</v>
      </c>
      <c r="Q911">
        <v>1600</v>
      </c>
      <c r="R911" t="s">
        <v>2051</v>
      </c>
    </row>
    <row r="912" spans="1:18" x14ac:dyDescent="0.25">
      <c r="A912">
        <v>2197</v>
      </c>
      <c r="B912" t="s">
        <v>1176</v>
      </c>
      <c r="C912" t="s">
        <v>1067</v>
      </c>
      <c r="D912" t="str">
        <f t="shared" si="42"/>
        <v>Kelley Aurora</v>
      </c>
      <c r="E912" t="s">
        <v>1248</v>
      </c>
      <c r="F912" s="1">
        <v>45622</v>
      </c>
      <c r="G912" s="32" t="str">
        <f t="shared" si="43"/>
        <v>Nov</v>
      </c>
      <c r="H912">
        <v>2</v>
      </c>
      <c r="I912" t="str">
        <f t="shared" si="44"/>
        <v>Silver</v>
      </c>
      <c r="J912" t="s">
        <v>1242</v>
      </c>
      <c r="K912" s="17">
        <v>21920</v>
      </c>
      <c r="L912" s="17" t="s">
        <v>1222</v>
      </c>
      <c r="M912" t="s">
        <v>2252</v>
      </c>
      <c r="N912" t="s">
        <v>1237</v>
      </c>
      <c r="O912">
        <v>4000</v>
      </c>
      <c r="P912">
        <v>300</v>
      </c>
      <c r="Q912">
        <v>600</v>
      </c>
      <c r="R912" t="s">
        <v>2215</v>
      </c>
    </row>
    <row r="913" spans="1:18" x14ac:dyDescent="0.25">
      <c r="A913">
        <v>2027</v>
      </c>
      <c r="B913" t="s">
        <v>1034</v>
      </c>
      <c r="C913" t="s">
        <v>1035</v>
      </c>
      <c r="D913" t="str">
        <f t="shared" si="42"/>
        <v>Curtis Claire</v>
      </c>
      <c r="E913" t="s">
        <v>1249</v>
      </c>
      <c r="F913" s="1">
        <v>45623</v>
      </c>
      <c r="G913" s="32" t="str">
        <f t="shared" si="43"/>
        <v>Nov</v>
      </c>
      <c r="H913">
        <v>3</v>
      </c>
      <c r="I913" t="str">
        <f t="shared" si="44"/>
        <v>Gold</v>
      </c>
      <c r="J913" t="s">
        <v>14</v>
      </c>
      <c r="K913" s="17">
        <v>44477</v>
      </c>
      <c r="L913" s="17" t="s">
        <v>1233</v>
      </c>
      <c r="M913" t="s">
        <v>2254</v>
      </c>
      <c r="N913" t="s">
        <v>1239</v>
      </c>
      <c r="O913">
        <v>870</v>
      </c>
      <c r="P913">
        <v>1200</v>
      </c>
      <c r="Q913">
        <v>3600</v>
      </c>
      <c r="R913" t="s">
        <v>2044</v>
      </c>
    </row>
    <row r="914" spans="1:18" x14ac:dyDescent="0.25">
      <c r="A914">
        <v>1238</v>
      </c>
      <c r="B914" t="s">
        <v>34</v>
      </c>
      <c r="C914" t="s">
        <v>35</v>
      </c>
      <c r="D914" t="str">
        <f t="shared" si="42"/>
        <v>Preston Leonidas</v>
      </c>
      <c r="E914" t="s">
        <v>1207</v>
      </c>
      <c r="F914" s="1">
        <v>45624</v>
      </c>
      <c r="G914" s="32" t="str">
        <f t="shared" si="43"/>
        <v>Nov</v>
      </c>
      <c r="H914">
        <v>2</v>
      </c>
      <c r="I914" t="str">
        <f t="shared" si="44"/>
        <v>Silver</v>
      </c>
      <c r="J914" t="s">
        <v>1242</v>
      </c>
      <c r="K914" s="17">
        <v>78361</v>
      </c>
      <c r="L914" s="17" t="s">
        <v>1222</v>
      </c>
      <c r="M914" t="s">
        <v>2255</v>
      </c>
      <c r="N914" t="s">
        <v>1223</v>
      </c>
      <c r="O914">
        <v>4217</v>
      </c>
      <c r="P914">
        <v>250</v>
      </c>
      <c r="Q914">
        <v>500</v>
      </c>
      <c r="R914" t="s">
        <v>1254</v>
      </c>
    </row>
    <row r="915" spans="1:18" x14ac:dyDescent="0.25">
      <c r="A915">
        <v>1840</v>
      </c>
      <c r="B915" t="s">
        <v>869</v>
      </c>
      <c r="C915" t="s">
        <v>332</v>
      </c>
      <c r="D915" t="str">
        <f t="shared" si="42"/>
        <v>Gonzalez Camilla</v>
      </c>
      <c r="E915" t="s">
        <v>1208</v>
      </c>
      <c r="F915" s="1">
        <v>45625</v>
      </c>
      <c r="G915" s="32" t="str">
        <f t="shared" si="43"/>
        <v>Nov</v>
      </c>
      <c r="H915">
        <v>1</v>
      </c>
      <c r="I915" t="str">
        <f t="shared" si="44"/>
        <v>Bronze</v>
      </c>
      <c r="J915" t="s">
        <v>1242</v>
      </c>
      <c r="K915" s="17">
        <v>21011</v>
      </c>
      <c r="L915" s="17" t="s">
        <v>1216</v>
      </c>
      <c r="M915" t="s">
        <v>2252</v>
      </c>
      <c r="N915" t="s">
        <v>1217</v>
      </c>
      <c r="O915">
        <v>2600</v>
      </c>
      <c r="P915">
        <v>800</v>
      </c>
      <c r="Q915">
        <v>800</v>
      </c>
      <c r="R915" t="s">
        <v>1857</v>
      </c>
    </row>
    <row r="916" spans="1:18" x14ac:dyDescent="0.25">
      <c r="A916">
        <v>1968</v>
      </c>
      <c r="B916" t="s">
        <v>334</v>
      </c>
      <c r="C916" t="s">
        <v>990</v>
      </c>
      <c r="D916" t="str">
        <f t="shared" si="42"/>
        <v>Hoffman Nicolas</v>
      </c>
      <c r="E916" t="s">
        <v>1205</v>
      </c>
      <c r="F916" s="1">
        <v>45625</v>
      </c>
      <c r="G916" s="32" t="str">
        <f t="shared" si="43"/>
        <v>Nov</v>
      </c>
      <c r="H916">
        <v>2</v>
      </c>
      <c r="I916" t="str">
        <f t="shared" si="44"/>
        <v>Silver</v>
      </c>
      <c r="J916" t="s">
        <v>18</v>
      </c>
      <c r="K916" s="17">
        <v>81266</v>
      </c>
      <c r="L916" s="17" t="s">
        <v>1233</v>
      </c>
      <c r="M916" t="s">
        <v>2253</v>
      </c>
      <c r="N916" t="s">
        <v>1234</v>
      </c>
      <c r="O916">
        <v>800</v>
      </c>
      <c r="P916">
        <v>250</v>
      </c>
      <c r="Q916">
        <v>500</v>
      </c>
      <c r="R916" t="s">
        <v>1985</v>
      </c>
    </row>
    <row r="917" spans="1:18" x14ac:dyDescent="0.25">
      <c r="A917">
        <v>2164</v>
      </c>
      <c r="B917" t="s">
        <v>1156</v>
      </c>
      <c r="C917" t="s">
        <v>571</v>
      </c>
      <c r="D917" t="str">
        <f t="shared" si="42"/>
        <v>Caldwell Aylin</v>
      </c>
      <c r="E917" t="s">
        <v>1249</v>
      </c>
      <c r="F917" s="1">
        <v>45625</v>
      </c>
      <c r="G917" s="32" t="str">
        <f t="shared" si="43"/>
        <v>Nov</v>
      </c>
      <c r="H917">
        <v>2</v>
      </c>
      <c r="I917" t="str">
        <f t="shared" si="44"/>
        <v>Silver</v>
      </c>
      <c r="J917" t="s">
        <v>1243</v>
      </c>
      <c r="K917" s="17">
        <v>66602</v>
      </c>
      <c r="L917" s="17" t="s">
        <v>1214</v>
      </c>
      <c r="M917" t="s">
        <v>2256</v>
      </c>
      <c r="N917" t="s">
        <v>1227</v>
      </c>
      <c r="O917">
        <v>6160</v>
      </c>
      <c r="P917">
        <v>1200</v>
      </c>
      <c r="Q917">
        <v>2400</v>
      </c>
      <c r="R917" t="s">
        <v>2182</v>
      </c>
    </row>
    <row r="918" spans="1:18" x14ac:dyDescent="0.25">
      <c r="A918">
        <v>1316</v>
      </c>
      <c r="B918" t="s">
        <v>180</v>
      </c>
      <c r="C918" t="s">
        <v>181</v>
      </c>
      <c r="D918" t="str">
        <f t="shared" si="42"/>
        <v>Watson Alessandra</v>
      </c>
      <c r="E918" t="s">
        <v>1205</v>
      </c>
      <c r="F918" s="1">
        <v>45626</v>
      </c>
      <c r="G918" s="32" t="str">
        <f t="shared" si="43"/>
        <v>Nov</v>
      </c>
      <c r="H918">
        <v>1</v>
      </c>
      <c r="I918" t="str">
        <f t="shared" si="44"/>
        <v>Bronze</v>
      </c>
      <c r="J918" t="s">
        <v>1242</v>
      </c>
      <c r="K918" s="17">
        <v>15346</v>
      </c>
      <c r="L918" s="17" t="s">
        <v>1220</v>
      </c>
      <c r="M918" t="s">
        <v>2252</v>
      </c>
      <c r="N918" t="s">
        <v>1221</v>
      </c>
      <c r="O918">
        <v>3350</v>
      </c>
      <c r="P918">
        <v>250</v>
      </c>
      <c r="Q918">
        <v>250</v>
      </c>
      <c r="R918" t="s">
        <v>1332</v>
      </c>
    </row>
    <row r="919" spans="1:18" x14ac:dyDescent="0.25">
      <c r="A919">
        <v>1664</v>
      </c>
      <c r="B919" t="s">
        <v>500</v>
      </c>
      <c r="C919" t="s">
        <v>676</v>
      </c>
      <c r="D919" t="str">
        <f t="shared" si="42"/>
        <v>Beil Jasper</v>
      </c>
      <c r="E919" t="s">
        <v>1248</v>
      </c>
      <c r="F919" s="1">
        <v>45626</v>
      </c>
      <c r="G919" s="32" t="str">
        <f t="shared" si="43"/>
        <v>Nov</v>
      </c>
      <c r="H919">
        <v>1</v>
      </c>
      <c r="I919" t="str">
        <f t="shared" si="44"/>
        <v>Bronze</v>
      </c>
      <c r="J919" t="s">
        <v>14</v>
      </c>
      <c r="K919" s="17">
        <v>6340</v>
      </c>
      <c r="L919" s="17" t="s">
        <v>1214</v>
      </c>
      <c r="M919" t="s">
        <v>2252</v>
      </c>
      <c r="N919" t="s">
        <v>1227</v>
      </c>
      <c r="O919">
        <v>6160</v>
      </c>
      <c r="P919">
        <v>300</v>
      </c>
      <c r="Q919">
        <v>300</v>
      </c>
      <c r="R919" t="s">
        <v>1681</v>
      </c>
    </row>
    <row r="920" spans="1:18" x14ac:dyDescent="0.25">
      <c r="A920">
        <v>1660</v>
      </c>
      <c r="B920" t="s">
        <v>672</v>
      </c>
      <c r="C920" t="s">
        <v>673</v>
      </c>
      <c r="D920" t="str">
        <f t="shared" si="42"/>
        <v>Goodwin Brody</v>
      </c>
      <c r="E920" t="s">
        <v>1248</v>
      </c>
      <c r="F920" s="1">
        <v>45627</v>
      </c>
      <c r="G920" s="32" t="str">
        <f t="shared" si="43"/>
        <v>Dec</v>
      </c>
      <c r="H920">
        <v>2</v>
      </c>
      <c r="I920" t="str">
        <f t="shared" si="44"/>
        <v>Silver</v>
      </c>
      <c r="J920" t="s">
        <v>1242</v>
      </c>
      <c r="K920" s="17">
        <v>63475</v>
      </c>
      <c r="L920" s="17" t="s">
        <v>1228</v>
      </c>
      <c r="M920" t="s">
        <v>2254</v>
      </c>
      <c r="N920" t="s">
        <v>1230</v>
      </c>
      <c r="O920">
        <v>7000</v>
      </c>
      <c r="P920">
        <v>300</v>
      </c>
      <c r="Q920">
        <v>600</v>
      </c>
      <c r="R920" t="s">
        <v>1677</v>
      </c>
    </row>
    <row r="921" spans="1:18" x14ac:dyDescent="0.25">
      <c r="A921">
        <v>1564</v>
      </c>
      <c r="B921" t="s">
        <v>558</v>
      </c>
      <c r="C921" t="s">
        <v>244</v>
      </c>
      <c r="D921" t="str">
        <f t="shared" si="42"/>
        <v>Santana Clark</v>
      </c>
      <c r="E921" t="s">
        <v>1203</v>
      </c>
      <c r="F921" s="1">
        <v>45628</v>
      </c>
      <c r="G921" s="32" t="str">
        <f t="shared" si="43"/>
        <v>Dec</v>
      </c>
      <c r="H921">
        <v>2</v>
      </c>
      <c r="I921" t="str">
        <f t="shared" si="44"/>
        <v>Silver</v>
      </c>
      <c r="J921" t="s">
        <v>14</v>
      </c>
      <c r="K921" s="17">
        <v>26056</v>
      </c>
      <c r="L921" s="17" t="s">
        <v>1214</v>
      </c>
      <c r="M921" t="s">
        <v>2253</v>
      </c>
      <c r="N921" t="s">
        <v>1227</v>
      </c>
      <c r="O921">
        <v>6160</v>
      </c>
      <c r="P921">
        <v>600</v>
      </c>
      <c r="Q921">
        <v>1200</v>
      </c>
      <c r="R921" t="s">
        <v>1580</v>
      </c>
    </row>
    <row r="922" spans="1:18" x14ac:dyDescent="0.25">
      <c r="A922">
        <v>1604</v>
      </c>
      <c r="B922" t="s">
        <v>605</v>
      </c>
      <c r="C922" t="s">
        <v>579</v>
      </c>
      <c r="D922" t="str">
        <f t="shared" si="42"/>
        <v>Whitehead Ayla</v>
      </c>
      <c r="E922" t="s">
        <v>1249</v>
      </c>
      <c r="F922" s="1">
        <v>45628</v>
      </c>
      <c r="G922" s="32" t="str">
        <f t="shared" si="43"/>
        <v>Dec</v>
      </c>
      <c r="H922">
        <v>3</v>
      </c>
      <c r="I922" t="str">
        <f t="shared" si="44"/>
        <v>Gold</v>
      </c>
      <c r="J922" t="s">
        <v>1242</v>
      </c>
      <c r="K922" s="17">
        <v>80263</v>
      </c>
      <c r="L922" s="17" t="s">
        <v>1214</v>
      </c>
      <c r="M922" t="s">
        <v>2256</v>
      </c>
      <c r="N922" t="s">
        <v>1227</v>
      </c>
      <c r="O922">
        <v>6160</v>
      </c>
      <c r="P922">
        <v>1200</v>
      </c>
      <c r="Q922">
        <v>3600</v>
      </c>
      <c r="R922" t="s">
        <v>1620</v>
      </c>
    </row>
    <row r="923" spans="1:18" x14ac:dyDescent="0.25">
      <c r="A923">
        <v>1387</v>
      </c>
      <c r="B923" t="s">
        <v>231</v>
      </c>
      <c r="C923" t="s">
        <v>302</v>
      </c>
      <c r="D923" t="str">
        <f t="shared" si="42"/>
        <v>Keller Annalise</v>
      </c>
      <c r="E923" t="s">
        <v>1205</v>
      </c>
      <c r="F923" s="1">
        <v>45629</v>
      </c>
      <c r="G923" s="32" t="str">
        <f t="shared" si="43"/>
        <v>Dec</v>
      </c>
      <c r="H923">
        <v>2</v>
      </c>
      <c r="I923" t="str">
        <f t="shared" si="44"/>
        <v>Silver</v>
      </c>
      <c r="J923" t="s">
        <v>1242</v>
      </c>
      <c r="K923" s="17">
        <v>18895</v>
      </c>
      <c r="L923" s="17" t="s">
        <v>1220</v>
      </c>
      <c r="M923" t="s">
        <v>2256</v>
      </c>
      <c r="N923" t="s">
        <v>1226</v>
      </c>
      <c r="O923">
        <v>3220</v>
      </c>
      <c r="P923">
        <v>250</v>
      </c>
      <c r="Q923">
        <v>500</v>
      </c>
      <c r="R923" t="s">
        <v>1403</v>
      </c>
    </row>
    <row r="924" spans="1:18" x14ac:dyDescent="0.25">
      <c r="A924">
        <v>1317</v>
      </c>
      <c r="B924" t="s">
        <v>182</v>
      </c>
      <c r="C924" t="s">
        <v>183</v>
      </c>
      <c r="D924" t="str">
        <f t="shared" si="42"/>
        <v>Coleman Callen</v>
      </c>
      <c r="E924" t="s">
        <v>1249</v>
      </c>
      <c r="F924" s="1">
        <v>45630</v>
      </c>
      <c r="G924" s="32" t="str">
        <f t="shared" si="43"/>
        <v>Dec</v>
      </c>
      <c r="H924">
        <v>3</v>
      </c>
      <c r="I924" t="str">
        <f t="shared" si="44"/>
        <v>Gold</v>
      </c>
      <c r="J924" t="s">
        <v>14</v>
      </c>
      <c r="K924" s="17">
        <v>56751</v>
      </c>
      <c r="L924" s="17" t="s">
        <v>1216</v>
      </c>
      <c r="M924" t="s">
        <v>2256</v>
      </c>
      <c r="N924" t="s">
        <v>1217</v>
      </c>
      <c r="O924">
        <v>2600</v>
      </c>
      <c r="P924">
        <v>1200</v>
      </c>
      <c r="Q924">
        <v>3600</v>
      </c>
      <c r="R924" t="s">
        <v>1333</v>
      </c>
    </row>
    <row r="925" spans="1:18" x14ac:dyDescent="0.25">
      <c r="A925">
        <v>1835</v>
      </c>
      <c r="B925" t="s">
        <v>865</v>
      </c>
      <c r="C925" t="s">
        <v>866</v>
      </c>
      <c r="D925" t="str">
        <f t="shared" si="42"/>
        <v>Gill Phoenix</v>
      </c>
      <c r="E925" t="s">
        <v>1203</v>
      </c>
      <c r="F925" s="1">
        <v>45630</v>
      </c>
      <c r="G925" s="32" t="str">
        <f t="shared" si="43"/>
        <v>Dec</v>
      </c>
      <c r="H925">
        <v>1</v>
      </c>
      <c r="I925" t="str">
        <f t="shared" si="44"/>
        <v>Bronze</v>
      </c>
      <c r="J925" t="s">
        <v>1242</v>
      </c>
      <c r="K925" s="17">
        <v>34157</v>
      </c>
      <c r="L925" s="17" t="s">
        <v>1216</v>
      </c>
      <c r="M925" t="s">
        <v>2256</v>
      </c>
      <c r="N925" t="s">
        <v>1217</v>
      </c>
      <c r="O925">
        <v>2600</v>
      </c>
      <c r="P925">
        <v>600</v>
      </c>
      <c r="Q925">
        <v>600</v>
      </c>
      <c r="R925" t="s">
        <v>1852</v>
      </c>
    </row>
    <row r="926" spans="1:18" x14ac:dyDescent="0.25">
      <c r="A926">
        <v>1452</v>
      </c>
      <c r="B926" t="s">
        <v>404</v>
      </c>
      <c r="C926" t="s">
        <v>405</v>
      </c>
      <c r="D926" t="str">
        <f t="shared" si="42"/>
        <v>Baker King</v>
      </c>
      <c r="E926" t="s">
        <v>1248</v>
      </c>
      <c r="F926" s="1">
        <v>45631</v>
      </c>
      <c r="G926" s="32" t="str">
        <f t="shared" si="43"/>
        <v>Dec</v>
      </c>
      <c r="H926">
        <v>2</v>
      </c>
      <c r="I926" t="str">
        <f t="shared" si="44"/>
        <v>Silver</v>
      </c>
      <c r="J926" t="s">
        <v>14</v>
      </c>
      <c r="K926" s="17">
        <v>95350</v>
      </c>
      <c r="L926" s="17" t="s">
        <v>1220</v>
      </c>
      <c r="M926" t="s">
        <v>2255</v>
      </c>
      <c r="N926" t="s">
        <v>1221</v>
      </c>
      <c r="O926">
        <v>3350</v>
      </c>
      <c r="P926">
        <v>300</v>
      </c>
      <c r="Q926">
        <v>600</v>
      </c>
      <c r="R926" t="s">
        <v>1468</v>
      </c>
    </row>
    <row r="927" spans="1:18" x14ac:dyDescent="0.25">
      <c r="A927">
        <v>1601</v>
      </c>
      <c r="B927" t="s">
        <v>600</v>
      </c>
      <c r="C927" t="s">
        <v>601</v>
      </c>
      <c r="D927" t="str">
        <f t="shared" si="42"/>
        <v>Hancock Norah</v>
      </c>
      <c r="E927" t="s">
        <v>1208</v>
      </c>
      <c r="F927" s="1">
        <v>45631</v>
      </c>
      <c r="G927" s="32" t="str">
        <f t="shared" si="43"/>
        <v>Dec</v>
      </c>
      <c r="H927">
        <v>1</v>
      </c>
      <c r="I927" t="str">
        <f t="shared" si="44"/>
        <v>Bronze</v>
      </c>
      <c r="J927" t="s">
        <v>1242</v>
      </c>
      <c r="K927" s="17">
        <v>10856</v>
      </c>
      <c r="L927" s="17" t="s">
        <v>1222</v>
      </c>
      <c r="M927" t="s">
        <v>2256</v>
      </c>
      <c r="N927" t="s">
        <v>1223</v>
      </c>
      <c r="O927">
        <v>4217</v>
      </c>
      <c r="P927">
        <v>800</v>
      </c>
      <c r="Q927">
        <v>800</v>
      </c>
      <c r="R927" t="s">
        <v>1617</v>
      </c>
    </row>
    <row r="928" spans="1:18" x14ac:dyDescent="0.25">
      <c r="A928">
        <v>1788</v>
      </c>
      <c r="B928" t="s">
        <v>813</v>
      </c>
      <c r="C928" t="s">
        <v>814</v>
      </c>
      <c r="D928" t="str">
        <f t="shared" si="42"/>
        <v>Rowland Gavin</v>
      </c>
      <c r="E928" t="s">
        <v>1249</v>
      </c>
      <c r="F928" s="1">
        <v>45631</v>
      </c>
      <c r="G928" s="32" t="str">
        <f t="shared" si="43"/>
        <v>Dec</v>
      </c>
      <c r="H928">
        <v>2</v>
      </c>
      <c r="I928" t="str">
        <f t="shared" si="44"/>
        <v>Silver</v>
      </c>
      <c r="J928" t="s">
        <v>14</v>
      </c>
      <c r="K928" s="17">
        <v>48283</v>
      </c>
      <c r="L928" s="17" t="s">
        <v>1214</v>
      </c>
      <c r="M928" t="s">
        <v>2253</v>
      </c>
      <c r="N928" t="s">
        <v>1236</v>
      </c>
      <c r="O928">
        <v>6000</v>
      </c>
      <c r="P928">
        <v>1200</v>
      </c>
      <c r="Q928">
        <v>2400</v>
      </c>
      <c r="R928" t="s">
        <v>1805</v>
      </c>
    </row>
    <row r="929" spans="1:18" x14ac:dyDescent="0.25">
      <c r="A929">
        <v>2060</v>
      </c>
      <c r="B929" t="s">
        <v>519</v>
      </c>
      <c r="C929" t="s">
        <v>367</v>
      </c>
      <c r="D929" t="str">
        <f t="shared" si="42"/>
        <v>Nash Hallie</v>
      </c>
      <c r="E929" t="s">
        <v>1207</v>
      </c>
      <c r="F929" s="1">
        <v>45631</v>
      </c>
      <c r="G929" s="32" t="str">
        <f t="shared" si="43"/>
        <v>Dec</v>
      </c>
      <c r="H929">
        <v>1</v>
      </c>
      <c r="I929" t="str">
        <f t="shared" si="44"/>
        <v>Bronze</v>
      </c>
      <c r="J929" t="s">
        <v>18</v>
      </c>
      <c r="K929" s="17">
        <v>50616</v>
      </c>
      <c r="L929" s="17" t="s">
        <v>1220</v>
      </c>
      <c r="M929" t="s">
        <v>2252</v>
      </c>
      <c r="N929" t="s">
        <v>1221</v>
      </c>
      <c r="O929">
        <v>3350</v>
      </c>
      <c r="P929">
        <v>250</v>
      </c>
      <c r="Q929">
        <v>250</v>
      </c>
      <c r="R929" t="s">
        <v>2077</v>
      </c>
    </row>
    <row r="930" spans="1:18" x14ac:dyDescent="0.25">
      <c r="A930">
        <v>1496</v>
      </c>
      <c r="B930" t="s">
        <v>469</v>
      </c>
      <c r="C930" t="s">
        <v>470</v>
      </c>
      <c r="D930" t="str">
        <f t="shared" si="42"/>
        <v>Huang Amanda</v>
      </c>
      <c r="E930" t="s">
        <v>1248</v>
      </c>
      <c r="F930" s="1">
        <v>45632</v>
      </c>
      <c r="G930" s="32" t="str">
        <f t="shared" si="43"/>
        <v>Dec</v>
      </c>
      <c r="H930">
        <v>1</v>
      </c>
      <c r="I930" t="str">
        <f t="shared" si="44"/>
        <v>Bronze</v>
      </c>
      <c r="J930" t="s">
        <v>1242</v>
      </c>
      <c r="K930" s="17">
        <v>86465</v>
      </c>
      <c r="L930" s="17" t="s">
        <v>1216</v>
      </c>
      <c r="M930" t="s">
        <v>2253</v>
      </c>
      <c r="N930" t="s">
        <v>1217</v>
      </c>
      <c r="O930">
        <v>2600</v>
      </c>
      <c r="P930">
        <v>300</v>
      </c>
      <c r="Q930">
        <v>300</v>
      </c>
      <c r="R930" t="s">
        <v>1512</v>
      </c>
    </row>
    <row r="931" spans="1:18" x14ac:dyDescent="0.25">
      <c r="A931">
        <v>1269</v>
      </c>
      <c r="B931" t="s">
        <v>95</v>
      </c>
      <c r="C931" t="s">
        <v>96</v>
      </c>
      <c r="D931" t="str">
        <f t="shared" si="42"/>
        <v>Morris Kason</v>
      </c>
      <c r="E931" t="s">
        <v>1203</v>
      </c>
      <c r="F931" s="1">
        <v>45633</v>
      </c>
      <c r="G931" s="32" t="str">
        <f t="shared" si="43"/>
        <v>Dec</v>
      </c>
      <c r="H931">
        <v>1</v>
      </c>
      <c r="I931" t="str">
        <f t="shared" si="44"/>
        <v>Bronze</v>
      </c>
      <c r="J931" t="s">
        <v>14</v>
      </c>
      <c r="K931" s="17">
        <v>32286</v>
      </c>
      <c r="L931" s="17" t="s">
        <v>1220</v>
      </c>
      <c r="M931" t="s">
        <v>2254</v>
      </c>
      <c r="N931" t="s">
        <v>1221</v>
      </c>
      <c r="O931">
        <v>3350</v>
      </c>
      <c r="P931">
        <v>600</v>
      </c>
      <c r="Q931">
        <v>600</v>
      </c>
      <c r="R931" t="s">
        <v>1285</v>
      </c>
    </row>
    <row r="932" spans="1:18" x14ac:dyDescent="0.25">
      <c r="A932">
        <v>1734</v>
      </c>
      <c r="B932" t="s">
        <v>761</v>
      </c>
      <c r="C932" t="s">
        <v>762</v>
      </c>
      <c r="D932" t="str">
        <f t="shared" si="42"/>
        <v>Huynh Sarah</v>
      </c>
      <c r="E932" t="s">
        <v>1208</v>
      </c>
      <c r="F932" s="1">
        <v>45633</v>
      </c>
      <c r="G932" s="32" t="str">
        <f t="shared" si="43"/>
        <v>Dec</v>
      </c>
      <c r="H932">
        <v>3</v>
      </c>
      <c r="I932" t="str">
        <f t="shared" si="44"/>
        <v>Gold</v>
      </c>
      <c r="J932" t="s">
        <v>1243</v>
      </c>
      <c r="K932" s="17">
        <v>78647</v>
      </c>
      <c r="L932" s="17" t="s">
        <v>1220</v>
      </c>
      <c r="M932" t="s">
        <v>2255</v>
      </c>
      <c r="N932" t="s">
        <v>1232</v>
      </c>
      <c r="O932">
        <v>3000</v>
      </c>
      <c r="P932">
        <v>800</v>
      </c>
      <c r="Q932">
        <v>2400</v>
      </c>
      <c r="R932" t="s">
        <v>1751</v>
      </c>
    </row>
    <row r="933" spans="1:18" x14ac:dyDescent="0.25">
      <c r="A933">
        <v>1981</v>
      </c>
      <c r="B933" t="s">
        <v>999</v>
      </c>
      <c r="C933" t="s">
        <v>255</v>
      </c>
      <c r="D933" t="str">
        <f t="shared" si="42"/>
        <v>Hunt Bryce</v>
      </c>
      <c r="E933" t="s">
        <v>1249</v>
      </c>
      <c r="F933" s="1">
        <v>45633</v>
      </c>
      <c r="G933" s="32" t="str">
        <f t="shared" si="43"/>
        <v>Dec</v>
      </c>
      <c r="H933">
        <v>1</v>
      </c>
      <c r="I933" t="str">
        <f t="shared" si="44"/>
        <v>Bronze</v>
      </c>
      <c r="J933" t="s">
        <v>1242</v>
      </c>
      <c r="K933" s="17">
        <v>98000</v>
      </c>
      <c r="L933" s="17" t="s">
        <v>1233</v>
      </c>
      <c r="M933" t="s">
        <v>2254</v>
      </c>
      <c r="N933" t="s">
        <v>1239</v>
      </c>
      <c r="O933">
        <v>870</v>
      </c>
      <c r="P933">
        <v>1200</v>
      </c>
      <c r="Q933">
        <v>1200</v>
      </c>
      <c r="R933" t="s">
        <v>1998</v>
      </c>
    </row>
    <row r="934" spans="1:18" x14ac:dyDescent="0.25">
      <c r="A934">
        <v>2051</v>
      </c>
      <c r="B934" t="s">
        <v>1057</v>
      </c>
      <c r="C934" t="s">
        <v>961</v>
      </c>
      <c r="D934" t="str">
        <f t="shared" si="42"/>
        <v>Lamb Gracie</v>
      </c>
      <c r="E934" t="s">
        <v>1205</v>
      </c>
      <c r="F934" s="1">
        <v>45633</v>
      </c>
      <c r="G934" s="32" t="str">
        <f t="shared" si="43"/>
        <v>Dec</v>
      </c>
      <c r="H934">
        <v>1</v>
      </c>
      <c r="I934" t="str">
        <f t="shared" si="44"/>
        <v>Bronze</v>
      </c>
      <c r="J934" t="s">
        <v>14</v>
      </c>
      <c r="K934" s="17">
        <v>31112</v>
      </c>
      <c r="L934" s="17" t="s">
        <v>1216</v>
      </c>
      <c r="M934" t="s">
        <v>2254</v>
      </c>
      <c r="N934" t="s">
        <v>1217</v>
      </c>
      <c r="O934">
        <v>2600</v>
      </c>
      <c r="P934">
        <v>250</v>
      </c>
      <c r="Q934">
        <v>250</v>
      </c>
      <c r="R934" t="s">
        <v>2068</v>
      </c>
    </row>
    <row r="935" spans="1:18" x14ac:dyDescent="0.25">
      <c r="A935">
        <v>1391</v>
      </c>
      <c r="B935" t="s">
        <v>307</v>
      </c>
      <c r="C935" t="s">
        <v>308</v>
      </c>
      <c r="D935" t="str">
        <f t="shared" si="42"/>
        <v>Thornton Bodie</v>
      </c>
      <c r="E935" t="s">
        <v>1249</v>
      </c>
      <c r="F935" s="1">
        <v>45634</v>
      </c>
      <c r="G935" s="32" t="str">
        <f t="shared" si="43"/>
        <v>Dec</v>
      </c>
      <c r="H935">
        <v>2</v>
      </c>
      <c r="I935" t="str">
        <f t="shared" si="44"/>
        <v>Silver</v>
      </c>
      <c r="J935" t="s">
        <v>14</v>
      </c>
      <c r="K935" s="17">
        <v>51229</v>
      </c>
      <c r="L935" s="17" t="s">
        <v>1228</v>
      </c>
      <c r="M935" t="s">
        <v>2252</v>
      </c>
      <c r="N935" t="s">
        <v>1229</v>
      </c>
      <c r="O935">
        <v>7250</v>
      </c>
      <c r="P935">
        <v>1200</v>
      </c>
      <c r="Q935">
        <v>2400</v>
      </c>
      <c r="R935" t="s">
        <v>1407</v>
      </c>
    </row>
    <row r="936" spans="1:18" x14ac:dyDescent="0.25">
      <c r="A936">
        <v>1243</v>
      </c>
      <c r="B936" t="s">
        <v>44</v>
      </c>
      <c r="C936" t="s">
        <v>45</v>
      </c>
      <c r="D936" t="str">
        <f t="shared" si="42"/>
        <v>Pierce Andre</v>
      </c>
      <c r="E936" t="s">
        <v>1208</v>
      </c>
      <c r="F936" s="1">
        <v>45635</v>
      </c>
      <c r="G936" s="32" t="str">
        <f t="shared" si="43"/>
        <v>Dec</v>
      </c>
      <c r="H936">
        <v>2</v>
      </c>
      <c r="I936" t="str">
        <f t="shared" si="44"/>
        <v>Silver</v>
      </c>
      <c r="J936" t="s">
        <v>1242</v>
      </c>
      <c r="K936" s="17">
        <v>36501</v>
      </c>
      <c r="L936" s="17" t="s">
        <v>1228</v>
      </c>
      <c r="M936" t="s">
        <v>2252</v>
      </c>
      <c r="N936" t="s">
        <v>1230</v>
      </c>
      <c r="O936">
        <v>7000</v>
      </c>
      <c r="P936">
        <v>800</v>
      </c>
      <c r="Q936">
        <v>1600</v>
      </c>
      <c r="R936" t="s">
        <v>1259</v>
      </c>
    </row>
    <row r="937" spans="1:18" x14ac:dyDescent="0.25">
      <c r="A937">
        <v>1299</v>
      </c>
      <c r="B937" t="s">
        <v>37</v>
      </c>
      <c r="C937" t="s">
        <v>151</v>
      </c>
      <c r="D937" t="str">
        <f t="shared" si="42"/>
        <v>Hayden Manuel</v>
      </c>
      <c r="E937" t="s">
        <v>1249</v>
      </c>
      <c r="F937" s="1">
        <v>45636</v>
      </c>
      <c r="G937" s="32" t="str">
        <f t="shared" si="43"/>
        <v>Dec</v>
      </c>
      <c r="H937">
        <v>3</v>
      </c>
      <c r="I937" t="str">
        <f t="shared" si="44"/>
        <v>Gold</v>
      </c>
      <c r="J937" t="s">
        <v>1242</v>
      </c>
      <c r="K937" s="17">
        <v>9679</v>
      </c>
      <c r="L937" s="17" t="s">
        <v>1233</v>
      </c>
      <c r="M937" t="s">
        <v>2255</v>
      </c>
      <c r="N937" t="s">
        <v>1239</v>
      </c>
      <c r="O937">
        <v>870</v>
      </c>
      <c r="P937">
        <v>1200</v>
      </c>
      <c r="Q937">
        <v>3600</v>
      </c>
      <c r="R937" t="s">
        <v>1315</v>
      </c>
    </row>
    <row r="938" spans="1:18" x14ac:dyDescent="0.25">
      <c r="A938">
        <v>1670</v>
      </c>
      <c r="B938" t="s">
        <v>684</v>
      </c>
      <c r="C938" t="s">
        <v>366</v>
      </c>
      <c r="D938" t="str">
        <f t="shared" si="42"/>
        <v>Rush Heidi</v>
      </c>
      <c r="E938" t="s">
        <v>1207</v>
      </c>
      <c r="F938" s="1">
        <v>45636</v>
      </c>
      <c r="G938" s="32" t="str">
        <f t="shared" si="43"/>
        <v>Dec</v>
      </c>
      <c r="H938">
        <v>2</v>
      </c>
      <c r="I938" t="str">
        <f t="shared" si="44"/>
        <v>Silver</v>
      </c>
      <c r="J938" t="s">
        <v>1243</v>
      </c>
      <c r="K938" s="17">
        <v>84197</v>
      </c>
      <c r="L938" s="17" t="s">
        <v>1214</v>
      </c>
      <c r="M938" t="s">
        <v>2256</v>
      </c>
      <c r="N938" t="s">
        <v>1215</v>
      </c>
      <c r="O938">
        <v>6725</v>
      </c>
      <c r="P938">
        <v>250</v>
      </c>
      <c r="Q938">
        <v>500</v>
      </c>
      <c r="R938" t="s">
        <v>1687</v>
      </c>
    </row>
    <row r="939" spans="1:18" x14ac:dyDescent="0.25">
      <c r="A939">
        <v>1709</v>
      </c>
      <c r="B939" t="s">
        <v>736</v>
      </c>
      <c r="C939" t="s">
        <v>174</v>
      </c>
      <c r="D939" t="str">
        <f t="shared" si="42"/>
        <v>Sweeney Willa</v>
      </c>
      <c r="E939" t="s">
        <v>1205</v>
      </c>
      <c r="F939" s="1">
        <v>45636</v>
      </c>
      <c r="G939" s="32" t="str">
        <f t="shared" si="43"/>
        <v>Dec</v>
      </c>
      <c r="H939">
        <v>1</v>
      </c>
      <c r="I939" t="str">
        <f t="shared" si="44"/>
        <v>Bronze</v>
      </c>
      <c r="J939" t="s">
        <v>14</v>
      </c>
      <c r="K939" s="17">
        <v>45792</v>
      </c>
      <c r="L939" s="17" t="s">
        <v>1222</v>
      </c>
      <c r="M939" t="s">
        <v>2253</v>
      </c>
      <c r="N939" t="s">
        <v>1231</v>
      </c>
      <c r="O939">
        <v>4870</v>
      </c>
      <c r="P939">
        <v>250</v>
      </c>
      <c r="Q939">
        <v>250</v>
      </c>
      <c r="R939" t="s">
        <v>1726</v>
      </c>
    </row>
    <row r="940" spans="1:18" x14ac:dyDescent="0.25">
      <c r="A940">
        <v>1378</v>
      </c>
      <c r="B940" t="s">
        <v>288</v>
      </c>
      <c r="C940" t="s">
        <v>289</v>
      </c>
      <c r="D940" t="str">
        <f t="shared" si="42"/>
        <v>Rose Annabelle</v>
      </c>
      <c r="E940" t="s">
        <v>1249</v>
      </c>
      <c r="F940" s="1">
        <v>45637</v>
      </c>
      <c r="G940" s="32" t="str">
        <f t="shared" si="43"/>
        <v>Dec</v>
      </c>
      <c r="H940">
        <v>3</v>
      </c>
      <c r="I940" t="str">
        <f t="shared" si="44"/>
        <v>Gold</v>
      </c>
      <c r="J940" t="s">
        <v>14</v>
      </c>
      <c r="K940" s="17">
        <v>28331</v>
      </c>
      <c r="L940" s="17" t="s">
        <v>1224</v>
      </c>
      <c r="M940" t="s">
        <v>2255</v>
      </c>
      <c r="N940" t="s">
        <v>1238</v>
      </c>
      <c r="O940">
        <v>5600</v>
      </c>
      <c r="P940">
        <v>1200</v>
      </c>
      <c r="Q940">
        <v>3600</v>
      </c>
      <c r="R940" t="s">
        <v>1394</v>
      </c>
    </row>
    <row r="941" spans="1:18" x14ac:dyDescent="0.25">
      <c r="A941">
        <v>1411</v>
      </c>
      <c r="B941" t="s">
        <v>336</v>
      </c>
      <c r="C941" t="s">
        <v>337</v>
      </c>
      <c r="D941" t="str">
        <f t="shared" si="42"/>
        <v>Horn Mabel</v>
      </c>
      <c r="E941" t="s">
        <v>1207</v>
      </c>
      <c r="F941" s="1">
        <v>45637</v>
      </c>
      <c r="G941" s="32" t="str">
        <f t="shared" si="43"/>
        <v>Dec</v>
      </c>
      <c r="H941">
        <v>2</v>
      </c>
      <c r="I941" t="str">
        <f t="shared" si="44"/>
        <v>Silver</v>
      </c>
      <c r="J941" t="s">
        <v>1243</v>
      </c>
      <c r="K941" s="17">
        <v>81591</v>
      </c>
      <c r="L941" s="17" t="s">
        <v>1224</v>
      </c>
      <c r="M941" t="s">
        <v>2252</v>
      </c>
      <c r="N941" t="s">
        <v>1064</v>
      </c>
      <c r="O941">
        <v>5000</v>
      </c>
      <c r="P941">
        <v>250</v>
      </c>
      <c r="Q941">
        <v>500</v>
      </c>
      <c r="R941" t="s">
        <v>1427</v>
      </c>
    </row>
    <row r="942" spans="1:18" x14ac:dyDescent="0.25">
      <c r="A942">
        <v>1763</v>
      </c>
      <c r="B942" t="s">
        <v>536</v>
      </c>
      <c r="C942" t="s">
        <v>700</v>
      </c>
      <c r="D942" t="str">
        <f t="shared" si="42"/>
        <v>Case Jeremiah</v>
      </c>
      <c r="E942" t="s">
        <v>1249</v>
      </c>
      <c r="F942" s="1">
        <v>45637</v>
      </c>
      <c r="G942" s="32" t="str">
        <f t="shared" si="43"/>
        <v>Dec</v>
      </c>
      <c r="H942">
        <v>3</v>
      </c>
      <c r="I942" t="str">
        <f t="shared" si="44"/>
        <v>Gold</v>
      </c>
      <c r="J942" t="s">
        <v>1242</v>
      </c>
      <c r="K942" s="17">
        <v>97324</v>
      </c>
      <c r="L942" s="17" t="s">
        <v>1228</v>
      </c>
      <c r="M942" t="s">
        <v>2253</v>
      </c>
      <c r="N942" t="s">
        <v>1240</v>
      </c>
      <c r="O942">
        <v>7310</v>
      </c>
      <c r="P942">
        <v>1200</v>
      </c>
      <c r="Q942">
        <v>3600</v>
      </c>
      <c r="R942" t="s">
        <v>1780</v>
      </c>
    </row>
    <row r="943" spans="1:18" x14ac:dyDescent="0.25">
      <c r="A943">
        <v>2081</v>
      </c>
      <c r="B943" t="s">
        <v>1083</v>
      </c>
      <c r="C943" t="s">
        <v>127</v>
      </c>
      <c r="D943" t="str">
        <f t="shared" si="42"/>
        <v>Harris Greyson</v>
      </c>
      <c r="E943" t="s">
        <v>1207</v>
      </c>
      <c r="F943" s="1">
        <v>45637</v>
      </c>
      <c r="G943" s="32" t="str">
        <f t="shared" si="43"/>
        <v>Dec</v>
      </c>
      <c r="H943">
        <v>1</v>
      </c>
      <c r="I943" t="str">
        <f t="shared" si="44"/>
        <v>Bronze</v>
      </c>
      <c r="J943" t="s">
        <v>1243</v>
      </c>
      <c r="K943" s="17">
        <v>65790</v>
      </c>
      <c r="L943" s="17" t="s">
        <v>1214</v>
      </c>
      <c r="M943" t="s">
        <v>2255</v>
      </c>
      <c r="N943" t="s">
        <v>1215</v>
      </c>
      <c r="O943">
        <v>6725</v>
      </c>
      <c r="P943">
        <v>250</v>
      </c>
      <c r="Q943">
        <v>250</v>
      </c>
      <c r="R943" t="s">
        <v>2098</v>
      </c>
    </row>
    <row r="944" spans="1:18" x14ac:dyDescent="0.25">
      <c r="A944">
        <v>1362</v>
      </c>
      <c r="B944" t="s">
        <v>259</v>
      </c>
      <c r="C944" t="s">
        <v>260</v>
      </c>
      <c r="D944" t="str">
        <f t="shared" si="42"/>
        <v>Costa Charlie</v>
      </c>
      <c r="E944" t="s">
        <v>1249</v>
      </c>
      <c r="F944" s="1">
        <v>45639</v>
      </c>
      <c r="G944" s="32" t="str">
        <f t="shared" si="43"/>
        <v>Dec</v>
      </c>
      <c r="H944">
        <v>2</v>
      </c>
      <c r="I944" t="str">
        <f t="shared" si="44"/>
        <v>Silver</v>
      </c>
      <c r="J944" t="s">
        <v>1242</v>
      </c>
      <c r="K944" s="17">
        <v>81659</v>
      </c>
      <c r="L944" s="17" t="s">
        <v>1214</v>
      </c>
      <c r="M944" t="s">
        <v>2253</v>
      </c>
      <c r="N944" t="s">
        <v>1227</v>
      </c>
      <c r="O944">
        <v>6160</v>
      </c>
      <c r="P944">
        <v>1200</v>
      </c>
      <c r="Q944">
        <v>2400</v>
      </c>
      <c r="R944" t="s">
        <v>1378</v>
      </c>
    </row>
    <row r="945" spans="1:18" x14ac:dyDescent="0.25">
      <c r="A945">
        <v>1402</v>
      </c>
      <c r="B945" t="s">
        <v>324</v>
      </c>
      <c r="C945" t="s">
        <v>179</v>
      </c>
      <c r="D945" t="str">
        <f t="shared" si="42"/>
        <v>Barrera Ari</v>
      </c>
      <c r="E945" t="s">
        <v>1203</v>
      </c>
      <c r="F945" s="1">
        <v>45639</v>
      </c>
      <c r="G945" s="32" t="str">
        <f t="shared" si="43"/>
        <v>Dec</v>
      </c>
      <c r="H945">
        <v>2</v>
      </c>
      <c r="I945" t="str">
        <f t="shared" si="44"/>
        <v>Silver</v>
      </c>
      <c r="J945" t="s">
        <v>1242</v>
      </c>
      <c r="K945" s="17">
        <v>6981</v>
      </c>
      <c r="L945" s="17" t="s">
        <v>1233</v>
      </c>
      <c r="M945" t="s">
        <v>2252</v>
      </c>
      <c r="N945" t="s">
        <v>1234</v>
      </c>
      <c r="O945">
        <v>800</v>
      </c>
      <c r="P945">
        <v>600</v>
      </c>
      <c r="Q945">
        <v>1200</v>
      </c>
      <c r="R945" t="s">
        <v>1418</v>
      </c>
    </row>
    <row r="946" spans="1:18" x14ac:dyDescent="0.25">
      <c r="A946">
        <v>1420</v>
      </c>
      <c r="B946" t="s">
        <v>353</v>
      </c>
      <c r="C946" t="s">
        <v>354</v>
      </c>
      <c r="D946" t="str">
        <f t="shared" si="42"/>
        <v>Escobar Declan</v>
      </c>
      <c r="E946" t="s">
        <v>1248</v>
      </c>
      <c r="F946" s="1">
        <v>45639</v>
      </c>
      <c r="G946" s="32" t="str">
        <f t="shared" si="43"/>
        <v>Dec</v>
      </c>
      <c r="H946">
        <v>3</v>
      </c>
      <c r="I946" t="str">
        <f t="shared" si="44"/>
        <v>Gold</v>
      </c>
      <c r="J946" t="s">
        <v>1242</v>
      </c>
      <c r="K946" s="17">
        <v>76917</v>
      </c>
      <c r="L946" s="17" t="s">
        <v>1222</v>
      </c>
      <c r="M946" t="s">
        <v>2254</v>
      </c>
      <c r="N946" t="s">
        <v>1237</v>
      </c>
      <c r="O946">
        <v>4000</v>
      </c>
      <c r="P946">
        <v>300</v>
      </c>
      <c r="Q946">
        <v>900</v>
      </c>
      <c r="R946" t="s">
        <v>1436</v>
      </c>
    </row>
    <row r="947" spans="1:18" x14ac:dyDescent="0.25">
      <c r="A947">
        <v>2123</v>
      </c>
      <c r="B947" t="s">
        <v>1121</v>
      </c>
      <c r="C947" t="s">
        <v>1122</v>
      </c>
      <c r="D947" t="str">
        <f t="shared" si="42"/>
        <v>Vargas Zayden</v>
      </c>
      <c r="E947" t="s">
        <v>1249</v>
      </c>
      <c r="F947" s="1">
        <v>45639</v>
      </c>
      <c r="G947" s="32" t="str">
        <f t="shared" si="43"/>
        <v>Dec</v>
      </c>
      <c r="H947">
        <v>3</v>
      </c>
      <c r="I947" t="str">
        <f t="shared" si="44"/>
        <v>Gold</v>
      </c>
      <c r="J947" t="s">
        <v>14</v>
      </c>
      <c r="K947" s="17">
        <v>51227</v>
      </c>
      <c r="L947" s="17" t="s">
        <v>1216</v>
      </c>
      <c r="M947" t="s">
        <v>2256</v>
      </c>
      <c r="N947" t="s">
        <v>1217</v>
      </c>
      <c r="O947">
        <v>2600</v>
      </c>
      <c r="P947">
        <v>1200</v>
      </c>
      <c r="Q947">
        <v>3600</v>
      </c>
      <c r="R947" t="s">
        <v>2141</v>
      </c>
    </row>
    <row r="948" spans="1:18" x14ac:dyDescent="0.25">
      <c r="A948">
        <v>1266</v>
      </c>
      <c r="B948" t="s">
        <v>89</v>
      </c>
      <c r="C948" t="s">
        <v>90</v>
      </c>
      <c r="D948" t="str">
        <f t="shared" si="42"/>
        <v>Chan Shiloh</v>
      </c>
      <c r="E948" t="s">
        <v>1248</v>
      </c>
      <c r="F948" s="1">
        <v>45640</v>
      </c>
      <c r="G948" s="32" t="str">
        <f t="shared" si="43"/>
        <v>Dec</v>
      </c>
      <c r="H948">
        <v>2</v>
      </c>
      <c r="I948" t="str">
        <f t="shared" si="44"/>
        <v>Silver</v>
      </c>
      <c r="J948" t="s">
        <v>1243</v>
      </c>
      <c r="K948" s="17">
        <v>47390</v>
      </c>
      <c r="L948" s="17" t="s">
        <v>1220</v>
      </c>
      <c r="M948" t="s">
        <v>2256</v>
      </c>
      <c r="N948" t="s">
        <v>1226</v>
      </c>
      <c r="O948">
        <v>3220</v>
      </c>
      <c r="P948">
        <v>300</v>
      </c>
      <c r="Q948">
        <v>600</v>
      </c>
      <c r="R948" t="s">
        <v>1282</v>
      </c>
    </row>
    <row r="949" spans="1:18" x14ac:dyDescent="0.25">
      <c r="A949">
        <v>1713</v>
      </c>
      <c r="B949" t="s">
        <v>738</v>
      </c>
      <c r="C949" t="s">
        <v>739</v>
      </c>
      <c r="D949" t="str">
        <f t="shared" si="42"/>
        <v>Enriquez Asa</v>
      </c>
      <c r="E949" t="s">
        <v>1203</v>
      </c>
      <c r="F949" s="1">
        <v>45640</v>
      </c>
      <c r="G949" s="32" t="str">
        <f t="shared" si="43"/>
        <v>Dec</v>
      </c>
      <c r="H949">
        <v>3</v>
      </c>
      <c r="I949" t="str">
        <f t="shared" si="44"/>
        <v>Gold</v>
      </c>
      <c r="J949" t="s">
        <v>1242</v>
      </c>
      <c r="K949" s="17">
        <v>57395</v>
      </c>
      <c r="L949" s="17" t="s">
        <v>1224</v>
      </c>
      <c r="M949" t="s">
        <v>2256</v>
      </c>
      <c r="N949" t="s">
        <v>1225</v>
      </c>
      <c r="O949">
        <v>5290</v>
      </c>
      <c r="P949">
        <v>600</v>
      </c>
      <c r="Q949">
        <v>1800</v>
      </c>
      <c r="R949" t="s">
        <v>1730</v>
      </c>
    </row>
    <row r="950" spans="1:18" x14ac:dyDescent="0.25">
      <c r="A950">
        <v>1975</v>
      </c>
      <c r="B950" t="s">
        <v>609</v>
      </c>
      <c r="C950" t="s">
        <v>318</v>
      </c>
      <c r="D950" t="str">
        <f t="shared" si="42"/>
        <v>Portillo Reed</v>
      </c>
      <c r="E950" t="s">
        <v>1249</v>
      </c>
      <c r="F950" s="1">
        <v>45640</v>
      </c>
      <c r="G950" s="32" t="str">
        <f t="shared" si="43"/>
        <v>Dec</v>
      </c>
      <c r="H950">
        <v>3</v>
      </c>
      <c r="I950" t="str">
        <f t="shared" si="44"/>
        <v>Gold</v>
      </c>
      <c r="J950" t="s">
        <v>1242</v>
      </c>
      <c r="K950" s="17">
        <v>46735</v>
      </c>
      <c r="L950" s="17" t="s">
        <v>1218</v>
      </c>
      <c r="M950" t="s">
        <v>2252</v>
      </c>
      <c r="N950" t="s">
        <v>836</v>
      </c>
      <c r="O950">
        <v>2000</v>
      </c>
      <c r="P950">
        <v>1200</v>
      </c>
      <c r="Q950">
        <v>3600</v>
      </c>
      <c r="R950" t="s">
        <v>1992</v>
      </c>
    </row>
    <row r="951" spans="1:18" x14ac:dyDescent="0.25">
      <c r="A951">
        <v>2117</v>
      </c>
      <c r="B951" t="s">
        <v>1116</v>
      </c>
      <c r="C951" t="s">
        <v>1022</v>
      </c>
      <c r="D951" t="str">
        <f t="shared" si="42"/>
        <v>Knapp Kendrick</v>
      </c>
      <c r="E951" t="s">
        <v>1205</v>
      </c>
      <c r="F951" s="1">
        <v>45640</v>
      </c>
      <c r="G951" s="32" t="str">
        <f t="shared" si="43"/>
        <v>Dec</v>
      </c>
      <c r="H951">
        <v>2</v>
      </c>
      <c r="I951" t="str">
        <f t="shared" si="44"/>
        <v>Silver</v>
      </c>
      <c r="J951" t="s">
        <v>18</v>
      </c>
      <c r="K951" s="17">
        <v>4447</v>
      </c>
      <c r="L951" s="17" t="s">
        <v>1220</v>
      </c>
      <c r="M951" t="s">
        <v>2256</v>
      </c>
      <c r="N951" t="s">
        <v>1232</v>
      </c>
      <c r="O951">
        <v>3000</v>
      </c>
      <c r="P951">
        <v>250</v>
      </c>
      <c r="Q951">
        <v>500</v>
      </c>
      <c r="R951" t="s">
        <v>2135</v>
      </c>
    </row>
    <row r="952" spans="1:18" x14ac:dyDescent="0.25">
      <c r="A952">
        <v>2200</v>
      </c>
      <c r="B952" t="s">
        <v>1178</v>
      </c>
      <c r="C952" t="s">
        <v>541</v>
      </c>
      <c r="D952" t="str">
        <f t="shared" si="42"/>
        <v>Gardner Karson</v>
      </c>
      <c r="E952" t="s">
        <v>1207</v>
      </c>
      <c r="F952" s="1">
        <v>45640</v>
      </c>
      <c r="G952" s="32" t="str">
        <f t="shared" si="43"/>
        <v>Dec</v>
      </c>
      <c r="H952">
        <v>2</v>
      </c>
      <c r="I952" t="str">
        <f t="shared" si="44"/>
        <v>Silver</v>
      </c>
      <c r="J952" t="s">
        <v>1242</v>
      </c>
      <c r="K952" s="17">
        <v>92135</v>
      </c>
      <c r="L952" s="17" t="s">
        <v>1216</v>
      </c>
      <c r="M952" t="s">
        <v>2254</v>
      </c>
      <c r="N952" t="s">
        <v>1217</v>
      </c>
      <c r="O952">
        <v>2600</v>
      </c>
      <c r="P952">
        <v>250</v>
      </c>
      <c r="Q952">
        <v>500</v>
      </c>
      <c r="R952" t="s">
        <v>2218</v>
      </c>
    </row>
    <row r="953" spans="1:18" x14ac:dyDescent="0.25">
      <c r="A953">
        <v>2227</v>
      </c>
      <c r="B953" t="s">
        <v>437</v>
      </c>
      <c r="C953" t="s">
        <v>1196</v>
      </c>
      <c r="D953" t="str">
        <f t="shared" si="42"/>
        <v>Robbins Crew</v>
      </c>
      <c r="E953" t="s">
        <v>1249</v>
      </c>
      <c r="F953" s="1">
        <v>45640</v>
      </c>
      <c r="G953" s="32" t="str">
        <f t="shared" si="43"/>
        <v>Dec</v>
      </c>
      <c r="H953">
        <v>3</v>
      </c>
      <c r="I953" t="str">
        <f t="shared" si="44"/>
        <v>Gold</v>
      </c>
      <c r="J953" t="s">
        <v>1242</v>
      </c>
      <c r="K953" s="17">
        <v>41150</v>
      </c>
      <c r="L953" s="17" t="s">
        <v>1222</v>
      </c>
      <c r="M953" t="s">
        <v>2252</v>
      </c>
      <c r="N953" t="s">
        <v>1231</v>
      </c>
      <c r="O953">
        <v>4870</v>
      </c>
      <c r="P953">
        <v>1200</v>
      </c>
      <c r="Q953">
        <v>3600</v>
      </c>
      <c r="R953" t="s">
        <v>2245</v>
      </c>
    </row>
    <row r="954" spans="1:18" x14ac:dyDescent="0.25">
      <c r="A954">
        <v>1994</v>
      </c>
      <c r="B954" t="s">
        <v>783</v>
      </c>
      <c r="C954" t="s">
        <v>464</v>
      </c>
      <c r="D954" t="str">
        <f t="shared" si="42"/>
        <v>Skinner Gideon</v>
      </c>
      <c r="E954" t="s">
        <v>1249</v>
      </c>
      <c r="F954" s="1">
        <v>45641</v>
      </c>
      <c r="G954" s="32" t="str">
        <f t="shared" si="43"/>
        <v>Dec</v>
      </c>
      <c r="H954">
        <v>2</v>
      </c>
      <c r="I954" t="str">
        <f t="shared" si="44"/>
        <v>Silver</v>
      </c>
      <c r="J954" t="s">
        <v>14</v>
      </c>
      <c r="K954" s="17">
        <v>12825</v>
      </c>
      <c r="L954" s="17" t="s">
        <v>1228</v>
      </c>
      <c r="M954" t="s">
        <v>2253</v>
      </c>
      <c r="N954" t="s">
        <v>1230</v>
      </c>
      <c r="O954">
        <v>7000</v>
      </c>
      <c r="P954">
        <v>1200</v>
      </c>
      <c r="Q954">
        <v>2400</v>
      </c>
      <c r="R954" t="s">
        <v>2011</v>
      </c>
    </row>
    <row r="955" spans="1:18" x14ac:dyDescent="0.25">
      <c r="A955">
        <v>1312</v>
      </c>
      <c r="B955" t="s">
        <v>173</v>
      </c>
      <c r="C955" t="s">
        <v>174</v>
      </c>
      <c r="D955" t="str">
        <f t="shared" si="42"/>
        <v>Pham Willa</v>
      </c>
      <c r="E955" t="s">
        <v>1207</v>
      </c>
      <c r="F955" s="1">
        <v>45642</v>
      </c>
      <c r="G955" s="32" t="str">
        <f t="shared" si="43"/>
        <v>Dec</v>
      </c>
      <c r="H955">
        <v>2</v>
      </c>
      <c r="I955" t="str">
        <f t="shared" si="44"/>
        <v>Silver</v>
      </c>
      <c r="J955" t="s">
        <v>1242</v>
      </c>
      <c r="K955" s="17">
        <v>73120</v>
      </c>
      <c r="L955" s="17" t="s">
        <v>1220</v>
      </c>
      <c r="M955" t="s">
        <v>2252</v>
      </c>
      <c r="N955" t="s">
        <v>1232</v>
      </c>
      <c r="O955">
        <v>3000</v>
      </c>
      <c r="P955">
        <v>250</v>
      </c>
      <c r="Q955">
        <v>500</v>
      </c>
      <c r="R955" t="s">
        <v>1328</v>
      </c>
    </row>
    <row r="956" spans="1:18" x14ac:dyDescent="0.25">
      <c r="A956">
        <v>1565</v>
      </c>
      <c r="B956" t="s">
        <v>559</v>
      </c>
      <c r="C956" t="s">
        <v>560</v>
      </c>
      <c r="D956" t="str">
        <f t="shared" si="42"/>
        <v>Deleon Daleyza</v>
      </c>
      <c r="E956" t="s">
        <v>1208</v>
      </c>
      <c r="F956" s="1">
        <v>45642</v>
      </c>
      <c r="G956" s="32" t="str">
        <f t="shared" si="43"/>
        <v>Dec</v>
      </c>
      <c r="H956">
        <v>2</v>
      </c>
      <c r="I956" t="str">
        <f t="shared" si="44"/>
        <v>Silver</v>
      </c>
      <c r="J956" t="s">
        <v>14</v>
      </c>
      <c r="K956" s="17">
        <v>11867</v>
      </c>
      <c r="L956" s="17" t="s">
        <v>1224</v>
      </c>
      <c r="M956" t="s">
        <v>2253</v>
      </c>
      <c r="N956" t="s">
        <v>1225</v>
      </c>
      <c r="O956">
        <v>5290</v>
      </c>
      <c r="P956">
        <v>800</v>
      </c>
      <c r="Q956">
        <v>1600</v>
      </c>
      <c r="R956" t="s">
        <v>1581</v>
      </c>
    </row>
    <row r="957" spans="1:18" x14ac:dyDescent="0.25">
      <c r="A957">
        <v>1742</v>
      </c>
      <c r="B957" t="s">
        <v>71</v>
      </c>
      <c r="C957" t="s">
        <v>768</v>
      </c>
      <c r="D957" t="str">
        <f t="shared" si="42"/>
        <v>Frank Camilo</v>
      </c>
      <c r="E957" t="s">
        <v>1203</v>
      </c>
      <c r="F957" s="1">
        <v>45642</v>
      </c>
      <c r="G957" s="32" t="str">
        <f t="shared" si="43"/>
        <v>Dec</v>
      </c>
      <c r="H957">
        <v>2</v>
      </c>
      <c r="I957" t="str">
        <f t="shared" si="44"/>
        <v>Silver</v>
      </c>
      <c r="J957" t="s">
        <v>1242</v>
      </c>
      <c r="K957" s="17">
        <v>29470</v>
      </c>
      <c r="L957" s="17" t="s">
        <v>1216</v>
      </c>
      <c r="M957" t="s">
        <v>2255</v>
      </c>
      <c r="N957" t="s">
        <v>1217</v>
      </c>
      <c r="O957">
        <v>2600</v>
      </c>
      <c r="P957">
        <v>600</v>
      </c>
      <c r="Q957">
        <v>1200</v>
      </c>
      <c r="R957" t="s">
        <v>1759</v>
      </c>
    </row>
    <row r="958" spans="1:18" x14ac:dyDescent="0.25">
      <c r="A958">
        <v>1858</v>
      </c>
      <c r="B958" t="s">
        <v>885</v>
      </c>
      <c r="C958" t="s">
        <v>886</v>
      </c>
      <c r="D958" t="str">
        <f t="shared" si="42"/>
        <v>Barber Marcus</v>
      </c>
      <c r="E958" t="s">
        <v>1249</v>
      </c>
      <c r="F958" s="1">
        <v>45642</v>
      </c>
      <c r="G958" s="32" t="str">
        <f t="shared" si="43"/>
        <v>Dec</v>
      </c>
      <c r="H958">
        <v>3</v>
      </c>
      <c r="I958" t="str">
        <f t="shared" si="44"/>
        <v>Gold</v>
      </c>
      <c r="J958" t="s">
        <v>14</v>
      </c>
      <c r="K958" s="17">
        <v>10702</v>
      </c>
      <c r="L958" s="17" t="s">
        <v>1233</v>
      </c>
      <c r="M958" t="s">
        <v>2253</v>
      </c>
      <c r="N958" t="s">
        <v>1234</v>
      </c>
      <c r="O958">
        <v>800</v>
      </c>
      <c r="P958">
        <v>1200</v>
      </c>
      <c r="Q958">
        <v>3600</v>
      </c>
      <c r="R958" t="s">
        <v>1875</v>
      </c>
    </row>
    <row r="959" spans="1:18" x14ac:dyDescent="0.25">
      <c r="A959">
        <v>2017</v>
      </c>
      <c r="B959" t="s">
        <v>1027</v>
      </c>
      <c r="C959" t="s">
        <v>1028</v>
      </c>
      <c r="D959" t="str">
        <f t="shared" si="42"/>
        <v>Parks Leonardo</v>
      </c>
      <c r="E959" t="s">
        <v>1203</v>
      </c>
      <c r="F959" s="1">
        <v>45642</v>
      </c>
      <c r="G959" s="32" t="str">
        <f t="shared" si="43"/>
        <v>Dec</v>
      </c>
      <c r="H959">
        <v>2</v>
      </c>
      <c r="I959" t="str">
        <f t="shared" si="44"/>
        <v>Silver</v>
      </c>
      <c r="J959" t="s">
        <v>14</v>
      </c>
      <c r="K959" s="17">
        <v>75362</v>
      </c>
      <c r="L959" s="17" t="s">
        <v>1220</v>
      </c>
      <c r="M959" t="s">
        <v>2256</v>
      </c>
      <c r="N959" t="s">
        <v>1232</v>
      </c>
      <c r="O959">
        <v>3000</v>
      </c>
      <c r="P959">
        <v>600</v>
      </c>
      <c r="Q959">
        <v>1200</v>
      </c>
      <c r="R959" t="s">
        <v>2034</v>
      </c>
    </row>
    <row r="960" spans="1:18" x14ac:dyDescent="0.25">
      <c r="A960">
        <v>2053</v>
      </c>
      <c r="B960" t="s">
        <v>1059</v>
      </c>
      <c r="C960" t="s">
        <v>21</v>
      </c>
      <c r="D960" t="str">
        <f t="shared" si="42"/>
        <v>Walters Franklin</v>
      </c>
      <c r="E960" t="s">
        <v>1208</v>
      </c>
      <c r="F960" s="1">
        <v>45642</v>
      </c>
      <c r="G960" s="32" t="str">
        <f t="shared" si="43"/>
        <v>Dec</v>
      </c>
      <c r="H960">
        <v>1</v>
      </c>
      <c r="I960" t="str">
        <f t="shared" si="44"/>
        <v>Bronze</v>
      </c>
      <c r="J960" t="s">
        <v>1243</v>
      </c>
      <c r="K960" s="17">
        <v>43095</v>
      </c>
      <c r="L960" s="17" t="s">
        <v>1222</v>
      </c>
      <c r="M960" t="s">
        <v>2255</v>
      </c>
      <c r="N960" t="s">
        <v>1223</v>
      </c>
      <c r="O960">
        <v>4217</v>
      </c>
      <c r="P960">
        <v>800</v>
      </c>
      <c r="Q960">
        <v>800</v>
      </c>
      <c r="R960" t="s">
        <v>2070</v>
      </c>
    </row>
    <row r="961" spans="1:18" x14ac:dyDescent="0.25">
      <c r="A961">
        <v>2135</v>
      </c>
      <c r="B961" t="s">
        <v>71</v>
      </c>
      <c r="C961" t="s">
        <v>77</v>
      </c>
      <c r="D961" t="str">
        <f t="shared" si="42"/>
        <v>Frank Collin</v>
      </c>
      <c r="E961" t="s">
        <v>1205</v>
      </c>
      <c r="F961" s="1">
        <v>45642</v>
      </c>
      <c r="G961" s="32" t="str">
        <f t="shared" si="43"/>
        <v>Dec</v>
      </c>
      <c r="H961">
        <v>3</v>
      </c>
      <c r="I961" t="str">
        <f t="shared" si="44"/>
        <v>Gold</v>
      </c>
      <c r="J961" t="s">
        <v>1242</v>
      </c>
      <c r="K961" s="17">
        <v>90489</v>
      </c>
      <c r="L961" s="17" t="s">
        <v>1218</v>
      </c>
      <c r="M961" t="s">
        <v>2255</v>
      </c>
      <c r="N961" t="s">
        <v>1219</v>
      </c>
      <c r="O961">
        <v>2300</v>
      </c>
      <c r="P961">
        <v>250</v>
      </c>
      <c r="Q961">
        <v>750</v>
      </c>
      <c r="R961" t="s">
        <v>2153</v>
      </c>
    </row>
    <row r="962" spans="1:18" x14ac:dyDescent="0.25">
      <c r="A962">
        <v>2169</v>
      </c>
      <c r="B962" t="s">
        <v>1161</v>
      </c>
      <c r="C962" t="s">
        <v>554</v>
      </c>
      <c r="D962" t="str">
        <f t="shared" ref="D962:D1001" si="45">CONCATENATE(B962, " ", C962)</f>
        <v>Hampton Angelina</v>
      </c>
      <c r="E962" t="s">
        <v>1207</v>
      </c>
      <c r="F962" s="1">
        <v>45642</v>
      </c>
      <c r="G962" s="32" t="str">
        <f t="shared" ref="G962:G1001" si="46">TEXT(F962, "MMM")</f>
        <v>Dec</v>
      </c>
      <c r="H962">
        <v>2</v>
      </c>
      <c r="I962" t="str">
        <f t="shared" ref="I962:I1001" si="47">IF(H962=1,"Bronze",IF(H962=2,"Silver",IF(H962=3,"Gold")))</f>
        <v>Silver</v>
      </c>
      <c r="J962" t="s">
        <v>14</v>
      </c>
      <c r="K962" s="17">
        <v>41356</v>
      </c>
      <c r="L962" s="17" t="s">
        <v>1218</v>
      </c>
      <c r="M962" t="s">
        <v>2252</v>
      </c>
      <c r="N962" t="s">
        <v>1219</v>
      </c>
      <c r="O962">
        <v>2300</v>
      </c>
      <c r="P962">
        <v>250</v>
      </c>
      <c r="Q962">
        <v>500</v>
      </c>
      <c r="R962" t="s">
        <v>2187</v>
      </c>
    </row>
    <row r="963" spans="1:18" x14ac:dyDescent="0.25">
      <c r="A963">
        <v>2174</v>
      </c>
      <c r="B963" t="s">
        <v>683</v>
      </c>
      <c r="C963" t="s">
        <v>892</v>
      </c>
      <c r="D963" t="str">
        <f t="shared" si="45"/>
        <v>Molina Cole</v>
      </c>
      <c r="E963" t="s">
        <v>1203</v>
      </c>
      <c r="F963" s="1">
        <v>45643</v>
      </c>
      <c r="G963" s="32" t="str">
        <f t="shared" si="46"/>
        <v>Dec</v>
      </c>
      <c r="H963">
        <v>2</v>
      </c>
      <c r="I963" t="str">
        <f t="shared" si="47"/>
        <v>Silver</v>
      </c>
      <c r="J963" t="s">
        <v>18</v>
      </c>
      <c r="K963" s="17">
        <v>29627</v>
      </c>
      <c r="L963" s="17" t="s">
        <v>1222</v>
      </c>
      <c r="M963" t="s">
        <v>2254</v>
      </c>
      <c r="N963" t="s">
        <v>1231</v>
      </c>
      <c r="O963">
        <v>4870</v>
      </c>
      <c r="P963">
        <v>600</v>
      </c>
      <c r="Q963">
        <v>1200</v>
      </c>
      <c r="R963" t="s">
        <v>2192</v>
      </c>
    </row>
    <row r="964" spans="1:18" x14ac:dyDescent="0.25">
      <c r="A964">
        <v>1421</v>
      </c>
      <c r="B964" t="s">
        <v>355</v>
      </c>
      <c r="C964" t="s">
        <v>356</v>
      </c>
      <c r="D964" t="str">
        <f t="shared" si="45"/>
        <v>Fisher Zara</v>
      </c>
      <c r="E964" t="s">
        <v>1249</v>
      </c>
      <c r="F964" s="1">
        <v>45644</v>
      </c>
      <c r="G964" s="32" t="str">
        <f t="shared" si="46"/>
        <v>Dec</v>
      </c>
      <c r="H964">
        <v>3</v>
      </c>
      <c r="I964" t="str">
        <f t="shared" si="47"/>
        <v>Gold</v>
      </c>
      <c r="J964" t="s">
        <v>1243</v>
      </c>
      <c r="K964" s="17">
        <v>79066</v>
      </c>
      <c r="L964" s="17" t="s">
        <v>1224</v>
      </c>
      <c r="M964" t="s">
        <v>2256</v>
      </c>
      <c r="N964" t="s">
        <v>1238</v>
      </c>
      <c r="O964">
        <v>5600</v>
      </c>
      <c r="P964">
        <v>1200</v>
      </c>
      <c r="Q964">
        <v>3600</v>
      </c>
      <c r="R964" t="s">
        <v>1437</v>
      </c>
    </row>
    <row r="965" spans="1:18" x14ac:dyDescent="0.25">
      <c r="A965">
        <v>2129</v>
      </c>
      <c r="B965" t="s">
        <v>50</v>
      </c>
      <c r="C965" t="s">
        <v>98</v>
      </c>
      <c r="D965" t="str">
        <f t="shared" si="45"/>
        <v>Holt Aspen</v>
      </c>
      <c r="E965" t="s">
        <v>1207</v>
      </c>
      <c r="F965" s="1">
        <v>45644</v>
      </c>
      <c r="G965" s="32" t="str">
        <f t="shared" si="46"/>
        <v>Dec</v>
      </c>
      <c r="H965">
        <v>3</v>
      </c>
      <c r="I965" t="str">
        <f t="shared" si="47"/>
        <v>Gold</v>
      </c>
      <c r="J965" t="s">
        <v>14</v>
      </c>
      <c r="K965" s="17">
        <v>30338</v>
      </c>
      <c r="L965" s="17" t="s">
        <v>1224</v>
      </c>
      <c r="M965" t="s">
        <v>2255</v>
      </c>
      <c r="N965" t="s">
        <v>1238</v>
      </c>
      <c r="O965">
        <v>5600</v>
      </c>
      <c r="P965">
        <v>250</v>
      </c>
      <c r="Q965">
        <v>750</v>
      </c>
      <c r="R965" t="s">
        <v>2147</v>
      </c>
    </row>
    <row r="966" spans="1:18" x14ac:dyDescent="0.25">
      <c r="A966">
        <v>1250</v>
      </c>
      <c r="B966" t="s">
        <v>58</v>
      </c>
      <c r="C966" t="s">
        <v>59</v>
      </c>
      <c r="D966" t="str">
        <f t="shared" si="45"/>
        <v>Shaffer Luka</v>
      </c>
      <c r="E966" t="s">
        <v>1205</v>
      </c>
      <c r="F966" s="1">
        <v>45645</v>
      </c>
      <c r="G966" s="32" t="str">
        <f t="shared" si="46"/>
        <v>Dec</v>
      </c>
      <c r="H966">
        <v>1</v>
      </c>
      <c r="I966" t="str">
        <f t="shared" si="47"/>
        <v>Bronze</v>
      </c>
      <c r="J966" t="s">
        <v>14</v>
      </c>
      <c r="K966" s="17">
        <v>69927</v>
      </c>
      <c r="L966" s="17" t="s">
        <v>1218</v>
      </c>
      <c r="M966" t="s">
        <v>2255</v>
      </c>
      <c r="N966" t="s">
        <v>1219</v>
      </c>
      <c r="O966">
        <v>2300</v>
      </c>
      <c r="P966">
        <v>250</v>
      </c>
      <c r="Q966">
        <v>250</v>
      </c>
      <c r="R966" t="s">
        <v>1266</v>
      </c>
    </row>
    <row r="967" spans="1:18" x14ac:dyDescent="0.25">
      <c r="A967">
        <v>1350</v>
      </c>
      <c r="B967" t="s">
        <v>135</v>
      </c>
      <c r="C967" t="s">
        <v>239</v>
      </c>
      <c r="D967" t="str">
        <f t="shared" si="45"/>
        <v>Maldonado Elise</v>
      </c>
      <c r="E967" t="s">
        <v>1249</v>
      </c>
      <c r="F967" s="1">
        <v>45645</v>
      </c>
      <c r="G967" s="32" t="str">
        <f t="shared" si="46"/>
        <v>Dec</v>
      </c>
      <c r="H967">
        <v>2</v>
      </c>
      <c r="I967" t="str">
        <f t="shared" si="47"/>
        <v>Silver</v>
      </c>
      <c r="J967" t="s">
        <v>1242</v>
      </c>
      <c r="K967" s="17">
        <v>15337</v>
      </c>
      <c r="L967" s="17" t="s">
        <v>1218</v>
      </c>
      <c r="M967" t="s">
        <v>2255</v>
      </c>
      <c r="N967" t="s">
        <v>1235</v>
      </c>
      <c r="O967">
        <v>2500</v>
      </c>
      <c r="P967">
        <v>1200</v>
      </c>
      <c r="Q967">
        <v>2400</v>
      </c>
      <c r="R967" t="s">
        <v>1366</v>
      </c>
    </row>
    <row r="968" spans="1:18" x14ac:dyDescent="0.25">
      <c r="A968">
        <v>2216</v>
      </c>
      <c r="B968" t="s">
        <v>731</v>
      </c>
      <c r="C968" t="s">
        <v>1188</v>
      </c>
      <c r="D968" t="str">
        <f t="shared" si="45"/>
        <v>Lucas Ruth</v>
      </c>
      <c r="E968" t="s">
        <v>1248</v>
      </c>
      <c r="F968" s="1">
        <v>45645</v>
      </c>
      <c r="G968" s="32" t="str">
        <f t="shared" si="46"/>
        <v>Dec</v>
      </c>
      <c r="H968">
        <v>3</v>
      </c>
      <c r="I968" t="str">
        <f t="shared" si="47"/>
        <v>Gold</v>
      </c>
      <c r="J968" t="s">
        <v>1242</v>
      </c>
      <c r="K968" s="17">
        <v>23943</v>
      </c>
      <c r="L968" s="17" t="s">
        <v>1214</v>
      </c>
      <c r="M968" t="s">
        <v>2254</v>
      </c>
      <c r="N968" t="s">
        <v>1227</v>
      </c>
      <c r="O968">
        <v>6160</v>
      </c>
      <c r="P968">
        <v>300</v>
      </c>
      <c r="Q968">
        <v>900</v>
      </c>
      <c r="R968" t="s">
        <v>2234</v>
      </c>
    </row>
    <row r="969" spans="1:18" x14ac:dyDescent="0.25">
      <c r="A969">
        <v>1264</v>
      </c>
      <c r="B969" t="s">
        <v>85</v>
      </c>
      <c r="C969" t="s">
        <v>86</v>
      </c>
      <c r="D969" t="str">
        <f t="shared" si="45"/>
        <v>Quintana Raya</v>
      </c>
      <c r="E969" t="s">
        <v>1208</v>
      </c>
      <c r="F969" s="1">
        <v>45646</v>
      </c>
      <c r="G969" s="32" t="str">
        <f t="shared" si="46"/>
        <v>Dec</v>
      </c>
      <c r="H969">
        <v>2</v>
      </c>
      <c r="I969" t="str">
        <f t="shared" si="47"/>
        <v>Silver</v>
      </c>
      <c r="J969" t="s">
        <v>1242</v>
      </c>
      <c r="K969" s="17">
        <v>79218</v>
      </c>
      <c r="L969" s="17" t="s">
        <v>1222</v>
      </c>
      <c r="M969" t="s">
        <v>2254</v>
      </c>
      <c r="N969" t="s">
        <v>1223</v>
      </c>
      <c r="O969">
        <v>4217</v>
      </c>
      <c r="P969">
        <v>800</v>
      </c>
      <c r="Q969">
        <v>1600</v>
      </c>
      <c r="R969" t="s">
        <v>1280</v>
      </c>
    </row>
    <row r="970" spans="1:18" x14ac:dyDescent="0.25">
      <c r="A970">
        <v>2094</v>
      </c>
      <c r="B970" t="s">
        <v>298</v>
      </c>
      <c r="C970" t="s">
        <v>888</v>
      </c>
      <c r="D970" t="str">
        <f t="shared" si="45"/>
        <v>Solis Catalina</v>
      </c>
      <c r="E970" t="s">
        <v>1248</v>
      </c>
      <c r="F970" s="1">
        <v>45646</v>
      </c>
      <c r="G970" s="32" t="str">
        <f t="shared" si="46"/>
        <v>Dec</v>
      </c>
      <c r="H970">
        <v>1</v>
      </c>
      <c r="I970" t="str">
        <f t="shared" si="47"/>
        <v>Bronze</v>
      </c>
      <c r="J970" t="s">
        <v>14</v>
      </c>
      <c r="K970" s="17">
        <v>20265</v>
      </c>
      <c r="L970" s="17" t="s">
        <v>1224</v>
      </c>
      <c r="M970" t="s">
        <v>2252</v>
      </c>
      <c r="N970" t="s">
        <v>1225</v>
      </c>
      <c r="O970">
        <v>5290</v>
      </c>
      <c r="P970">
        <v>300</v>
      </c>
      <c r="Q970">
        <v>300</v>
      </c>
      <c r="R970" t="s">
        <v>2112</v>
      </c>
    </row>
    <row r="971" spans="1:18" x14ac:dyDescent="0.25">
      <c r="A971">
        <v>2103</v>
      </c>
      <c r="B971" t="s">
        <v>133</v>
      </c>
      <c r="C971" t="s">
        <v>1101</v>
      </c>
      <c r="D971" t="str">
        <f t="shared" si="45"/>
        <v>Atkins Joel</v>
      </c>
      <c r="E971" t="s">
        <v>1249</v>
      </c>
      <c r="F971" s="1">
        <v>45646</v>
      </c>
      <c r="G971" s="32" t="str">
        <f t="shared" si="46"/>
        <v>Dec</v>
      </c>
      <c r="H971">
        <v>1</v>
      </c>
      <c r="I971" t="str">
        <f t="shared" si="47"/>
        <v>Bronze</v>
      </c>
      <c r="J971" t="s">
        <v>1242</v>
      </c>
      <c r="K971" s="17">
        <v>97965</v>
      </c>
      <c r="L971" s="17" t="s">
        <v>1228</v>
      </c>
      <c r="M971" t="s">
        <v>2253</v>
      </c>
      <c r="N971" t="s">
        <v>1229</v>
      </c>
      <c r="O971">
        <v>7250</v>
      </c>
      <c r="P971">
        <v>1200</v>
      </c>
      <c r="Q971">
        <v>1200</v>
      </c>
      <c r="R971" t="s">
        <v>2121</v>
      </c>
    </row>
    <row r="972" spans="1:18" x14ac:dyDescent="0.25">
      <c r="A972">
        <v>2217</v>
      </c>
      <c r="B972" t="s">
        <v>40</v>
      </c>
      <c r="C972" t="s">
        <v>802</v>
      </c>
      <c r="D972" t="str">
        <f t="shared" si="45"/>
        <v>Rice Zayne</v>
      </c>
      <c r="E972" t="s">
        <v>1249</v>
      </c>
      <c r="F972" s="1">
        <v>45646</v>
      </c>
      <c r="G972" s="32" t="str">
        <f t="shared" si="46"/>
        <v>Dec</v>
      </c>
      <c r="H972">
        <v>2</v>
      </c>
      <c r="I972" t="str">
        <f t="shared" si="47"/>
        <v>Silver</v>
      </c>
      <c r="J972" t="s">
        <v>1242</v>
      </c>
      <c r="K972" s="17">
        <v>24211</v>
      </c>
      <c r="L972" s="17" t="s">
        <v>1216</v>
      </c>
      <c r="M972" t="s">
        <v>2253</v>
      </c>
      <c r="N972" t="s">
        <v>1217</v>
      </c>
      <c r="O972">
        <v>2600</v>
      </c>
      <c r="P972">
        <v>1200</v>
      </c>
      <c r="Q972">
        <v>2400</v>
      </c>
      <c r="R972" t="s">
        <v>2235</v>
      </c>
    </row>
    <row r="973" spans="1:18" x14ac:dyDescent="0.25">
      <c r="A973">
        <v>1842</v>
      </c>
      <c r="B973" t="s">
        <v>517</v>
      </c>
      <c r="C973" t="s">
        <v>870</v>
      </c>
      <c r="D973" t="str">
        <f t="shared" si="45"/>
        <v>Henry Maria</v>
      </c>
      <c r="E973" t="s">
        <v>1248</v>
      </c>
      <c r="F973" s="1">
        <v>45647</v>
      </c>
      <c r="G973" s="32" t="str">
        <f t="shared" si="46"/>
        <v>Dec</v>
      </c>
      <c r="H973">
        <v>3</v>
      </c>
      <c r="I973" t="str">
        <f t="shared" si="47"/>
        <v>Gold</v>
      </c>
      <c r="J973" t="s">
        <v>14</v>
      </c>
      <c r="K973" s="17">
        <v>48262</v>
      </c>
      <c r="L973" s="17" t="s">
        <v>1220</v>
      </c>
      <c r="M973" t="s">
        <v>2256</v>
      </c>
      <c r="N973" t="s">
        <v>1232</v>
      </c>
      <c r="O973">
        <v>3000</v>
      </c>
      <c r="P973">
        <v>300</v>
      </c>
      <c r="Q973">
        <v>900</v>
      </c>
      <c r="R973" t="s">
        <v>1859</v>
      </c>
    </row>
    <row r="974" spans="1:18" x14ac:dyDescent="0.25">
      <c r="A974">
        <v>1989</v>
      </c>
      <c r="B974" t="s">
        <v>384</v>
      </c>
      <c r="C974" t="s">
        <v>1005</v>
      </c>
      <c r="D974" t="str">
        <f t="shared" si="45"/>
        <v>Allen Alan</v>
      </c>
      <c r="E974" t="s">
        <v>1203</v>
      </c>
      <c r="F974" s="1">
        <v>45647</v>
      </c>
      <c r="G974" s="32" t="str">
        <f t="shared" si="46"/>
        <v>Dec</v>
      </c>
      <c r="H974">
        <v>3</v>
      </c>
      <c r="I974" t="str">
        <f t="shared" si="47"/>
        <v>Gold</v>
      </c>
      <c r="J974" t="s">
        <v>1242</v>
      </c>
      <c r="K974" s="17">
        <v>66702</v>
      </c>
      <c r="L974" s="17" t="s">
        <v>1218</v>
      </c>
      <c r="M974" t="s">
        <v>2253</v>
      </c>
      <c r="N974" t="s">
        <v>1235</v>
      </c>
      <c r="O974">
        <v>2500</v>
      </c>
      <c r="P974">
        <v>600</v>
      </c>
      <c r="Q974">
        <v>1800</v>
      </c>
      <c r="R974" t="s">
        <v>2006</v>
      </c>
    </row>
    <row r="975" spans="1:18" x14ac:dyDescent="0.25">
      <c r="A975">
        <v>2147</v>
      </c>
      <c r="B975" t="s">
        <v>213</v>
      </c>
      <c r="C975" t="s">
        <v>1144</v>
      </c>
      <c r="D975" t="str">
        <f t="shared" si="45"/>
        <v>Ellis Callan</v>
      </c>
      <c r="E975" t="s">
        <v>1205</v>
      </c>
      <c r="F975" s="1">
        <v>45647</v>
      </c>
      <c r="G975" s="32" t="str">
        <f t="shared" si="46"/>
        <v>Dec</v>
      </c>
      <c r="H975">
        <v>3</v>
      </c>
      <c r="I975" t="str">
        <f t="shared" si="47"/>
        <v>Gold</v>
      </c>
      <c r="J975" t="s">
        <v>1242</v>
      </c>
      <c r="K975" s="17">
        <v>69964</v>
      </c>
      <c r="L975" s="17" t="s">
        <v>1222</v>
      </c>
      <c r="M975" t="s">
        <v>2256</v>
      </c>
      <c r="N975" t="s">
        <v>1231</v>
      </c>
      <c r="O975">
        <v>4870</v>
      </c>
      <c r="P975">
        <v>250</v>
      </c>
      <c r="Q975">
        <v>750</v>
      </c>
      <c r="R975" t="s">
        <v>2165</v>
      </c>
    </row>
    <row r="976" spans="1:18" x14ac:dyDescent="0.25">
      <c r="A976">
        <v>1277</v>
      </c>
      <c r="B976" t="s">
        <v>111</v>
      </c>
      <c r="C976" t="s">
        <v>112</v>
      </c>
      <c r="D976" t="str">
        <f t="shared" si="45"/>
        <v>Winters Francis</v>
      </c>
      <c r="E976" t="s">
        <v>1249</v>
      </c>
      <c r="F976" s="1">
        <v>45648</v>
      </c>
      <c r="G976" s="32" t="str">
        <f t="shared" si="46"/>
        <v>Dec</v>
      </c>
      <c r="H976">
        <v>1</v>
      </c>
      <c r="I976" t="str">
        <f t="shared" si="47"/>
        <v>Bronze</v>
      </c>
      <c r="J976" t="s">
        <v>1243</v>
      </c>
      <c r="K976" s="17">
        <v>36211</v>
      </c>
      <c r="L976" s="17" t="s">
        <v>1224</v>
      </c>
      <c r="M976" t="s">
        <v>2256</v>
      </c>
      <c r="N976" t="s">
        <v>1225</v>
      </c>
      <c r="O976">
        <v>5290</v>
      </c>
      <c r="P976">
        <v>1200</v>
      </c>
      <c r="Q976">
        <v>1200</v>
      </c>
      <c r="R976" t="s">
        <v>1293</v>
      </c>
    </row>
    <row r="977" spans="1:18" x14ac:dyDescent="0.25">
      <c r="A977">
        <v>1476</v>
      </c>
      <c r="B977" t="s">
        <v>441</v>
      </c>
      <c r="C977" t="s">
        <v>442</v>
      </c>
      <c r="D977" t="str">
        <f t="shared" si="45"/>
        <v>Ponce Lucille</v>
      </c>
      <c r="E977" t="s">
        <v>1248</v>
      </c>
      <c r="F977" s="1">
        <v>45648</v>
      </c>
      <c r="G977" s="32" t="str">
        <f t="shared" si="46"/>
        <v>Dec</v>
      </c>
      <c r="H977">
        <v>1</v>
      </c>
      <c r="I977" t="str">
        <f t="shared" si="47"/>
        <v>Bronze</v>
      </c>
      <c r="J977" t="s">
        <v>14</v>
      </c>
      <c r="K977" s="17">
        <v>14043</v>
      </c>
      <c r="L977" s="17" t="s">
        <v>1222</v>
      </c>
      <c r="M977" t="s">
        <v>2253</v>
      </c>
      <c r="N977" t="s">
        <v>1223</v>
      </c>
      <c r="O977">
        <v>4217</v>
      </c>
      <c r="P977">
        <v>300</v>
      </c>
      <c r="Q977">
        <v>300</v>
      </c>
      <c r="R977" t="s">
        <v>1492</v>
      </c>
    </row>
    <row r="978" spans="1:18" x14ac:dyDescent="0.25">
      <c r="A978">
        <v>1553</v>
      </c>
      <c r="B978" t="s">
        <v>400</v>
      </c>
      <c r="C978" t="s">
        <v>347</v>
      </c>
      <c r="D978" t="str">
        <f t="shared" si="45"/>
        <v>Mitchell Everett</v>
      </c>
      <c r="E978" t="s">
        <v>1249</v>
      </c>
      <c r="F978" s="1">
        <v>45648</v>
      </c>
      <c r="G978" s="32" t="str">
        <f t="shared" si="46"/>
        <v>Dec</v>
      </c>
      <c r="H978">
        <v>3</v>
      </c>
      <c r="I978" t="str">
        <f t="shared" si="47"/>
        <v>Gold</v>
      </c>
      <c r="J978" t="s">
        <v>14</v>
      </c>
      <c r="K978" s="17">
        <v>12482</v>
      </c>
      <c r="L978" s="17" t="s">
        <v>1224</v>
      </c>
      <c r="M978" t="s">
        <v>2253</v>
      </c>
      <c r="N978" t="s">
        <v>1064</v>
      </c>
      <c r="O978">
        <v>5000</v>
      </c>
      <c r="P978">
        <v>1200</v>
      </c>
      <c r="Q978">
        <v>3600</v>
      </c>
      <c r="R978" t="s">
        <v>1569</v>
      </c>
    </row>
    <row r="979" spans="1:18" x14ac:dyDescent="0.25">
      <c r="A979">
        <v>1563</v>
      </c>
      <c r="B979" t="s">
        <v>557</v>
      </c>
      <c r="C979" t="s">
        <v>98</v>
      </c>
      <c r="D979" t="str">
        <f t="shared" si="45"/>
        <v>Levy Aspen</v>
      </c>
      <c r="E979" t="s">
        <v>1208</v>
      </c>
      <c r="F979" s="1">
        <v>45648</v>
      </c>
      <c r="G979" s="32" t="str">
        <f t="shared" si="46"/>
        <v>Dec</v>
      </c>
      <c r="H979">
        <v>1</v>
      </c>
      <c r="I979" t="str">
        <f t="shared" si="47"/>
        <v>Bronze</v>
      </c>
      <c r="J979" t="s">
        <v>14</v>
      </c>
      <c r="K979" s="17">
        <v>20808</v>
      </c>
      <c r="L979" s="17" t="s">
        <v>1233</v>
      </c>
      <c r="M979" t="s">
        <v>2255</v>
      </c>
      <c r="N979" t="s">
        <v>1239</v>
      </c>
      <c r="O979">
        <v>870</v>
      </c>
      <c r="P979">
        <v>800</v>
      </c>
      <c r="Q979">
        <v>800</v>
      </c>
      <c r="R979" t="s">
        <v>1579</v>
      </c>
    </row>
    <row r="980" spans="1:18" x14ac:dyDescent="0.25">
      <c r="A980">
        <v>2074</v>
      </c>
      <c r="B980" t="s">
        <v>561</v>
      </c>
      <c r="C980" t="s">
        <v>692</v>
      </c>
      <c r="D980" t="str">
        <f t="shared" si="45"/>
        <v>Harrell Felix</v>
      </c>
      <c r="E980" t="s">
        <v>1205</v>
      </c>
      <c r="F980" s="1">
        <v>45648</v>
      </c>
      <c r="G980" s="32" t="str">
        <f t="shared" si="46"/>
        <v>Dec</v>
      </c>
      <c r="H980">
        <v>2</v>
      </c>
      <c r="I980" t="str">
        <f t="shared" si="47"/>
        <v>Silver</v>
      </c>
      <c r="J980" t="s">
        <v>1243</v>
      </c>
      <c r="K980" s="17">
        <v>62804</v>
      </c>
      <c r="L980" s="17" t="s">
        <v>1220</v>
      </c>
      <c r="M980" t="s">
        <v>2254</v>
      </c>
      <c r="N980" t="s">
        <v>1221</v>
      </c>
      <c r="O980">
        <v>3350</v>
      </c>
      <c r="P980">
        <v>250</v>
      </c>
      <c r="Q980">
        <v>500</v>
      </c>
      <c r="R980" t="s">
        <v>2091</v>
      </c>
    </row>
    <row r="981" spans="1:18" x14ac:dyDescent="0.25">
      <c r="A981">
        <v>1570</v>
      </c>
      <c r="B981" t="s">
        <v>568</v>
      </c>
      <c r="C981" t="s">
        <v>362</v>
      </c>
      <c r="D981" t="str">
        <f t="shared" si="45"/>
        <v>Wilkins Maximus</v>
      </c>
      <c r="E981" t="s">
        <v>1203</v>
      </c>
      <c r="F981" s="1">
        <v>45649</v>
      </c>
      <c r="G981" s="32" t="str">
        <f t="shared" si="46"/>
        <v>Dec</v>
      </c>
      <c r="H981">
        <v>2</v>
      </c>
      <c r="I981" t="str">
        <f t="shared" si="47"/>
        <v>Silver</v>
      </c>
      <c r="J981" t="s">
        <v>1242</v>
      </c>
      <c r="K981" s="17">
        <v>1150</v>
      </c>
      <c r="L981" s="17" t="s">
        <v>1214</v>
      </c>
      <c r="M981" t="s">
        <v>2254</v>
      </c>
      <c r="N981" t="s">
        <v>1227</v>
      </c>
      <c r="O981">
        <v>6160</v>
      </c>
      <c r="P981">
        <v>600</v>
      </c>
      <c r="Q981">
        <v>1200</v>
      </c>
      <c r="R981" t="s">
        <v>1586</v>
      </c>
    </row>
    <row r="982" spans="1:18" x14ac:dyDescent="0.25">
      <c r="A982">
        <v>1377</v>
      </c>
      <c r="B982" t="s">
        <v>286</v>
      </c>
      <c r="C982" t="s">
        <v>287</v>
      </c>
      <c r="D982" t="str">
        <f t="shared" si="45"/>
        <v>Guzman Emery</v>
      </c>
      <c r="E982" t="s">
        <v>1203</v>
      </c>
      <c r="F982" s="1">
        <v>45650</v>
      </c>
      <c r="G982" s="32" t="str">
        <f t="shared" si="46"/>
        <v>Dec</v>
      </c>
      <c r="H982">
        <v>3</v>
      </c>
      <c r="I982" t="str">
        <f t="shared" si="47"/>
        <v>Gold</v>
      </c>
      <c r="J982" t="s">
        <v>1242</v>
      </c>
      <c r="K982" s="17">
        <v>35500</v>
      </c>
      <c r="L982" s="17" t="s">
        <v>1233</v>
      </c>
      <c r="M982" t="s">
        <v>2253</v>
      </c>
      <c r="N982" t="s">
        <v>1234</v>
      </c>
      <c r="O982">
        <v>800</v>
      </c>
      <c r="P982">
        <v>600</v>
      </c>
      <c r="Q982">
        <v>1800</v>
      </c>
      <c r="R982" t="s">
        <v>1393</v>
      </c>
    </row>
    <row r="983" spans="1:18" x14ac:dyDescent="0.25">
      <c r="A983">
        <v>1755</v>
      </c>
      <c r="B983" t="s">
        <v>246</v>
      </c>
      <c r="C983" t="s">
        <v>781</v>
      </c>
      <c r="D983" t="str">
        <f t="shared" si="45"/>
        <v>Randolph Pablo</v>
      </c>
      <c r="E983" t="s">
        <v>1249</v>
      </c>
      <c r="F983" s="1">
        <v>45650</v>
      </c>
      <c r="G983" s="32" t="str">
        <f t="shared" si="46"/>
        <v>Dec</v>
      </c>
      <c r="H983">
        <v>3</v>
      </c>
      <c r="I983" t="str">
        <f t="shared" si="47"/>
        <v>Gold</v>
      </c>
      <c r="J983" t="s">
        <v>1242</v>
      </c>
      <c r="K983" s="17">
        <v>9090</v>
      </c>
      <c r="L983" s="17" t="s">
        <v>1214</v>
      </c>
      <c r="M983" t="s">
        <v>2252</v>
      </c>
      <c r="N983" t="s">
        <v>1215</v>
      </c>
      <c r="O983">
        <v>6725</v>
      </c>
      <c r="P983">
        <v>1200</v>
      </c>
      <c r="Q983">
        <v>3600</v>
      </c>
      <c r="R983" t="s">
        <v>1772</v>
      </c>
    </row>
    <row r="984" spans="1:18" x14ac:dyDescent="0.25">
      <c r="A984">
        <v>1336</v>
      </c>
      <c r="B984" t="s">
        <v>217</v>
      </c>
      <c r="C984" t="s">
        <v>218</v>
      </c>
      <c r="D984" t="str">
        <f t="shared" si="45"/>
        <v>Garcia Dakota</v>
      </c>
      <c r="E984" t="s">
        <v>1203</v>
      </c>
      <c r="F984" s="1">
        <v>45651</v>
      </c>
      <c r="G984" s="32" t="str">
        <f t="shared" si="46"/>
        <v>Dec</v>
      </c>
      <c r="H984">
        <v>1</v>
      </c>
      <c r="I984" t="str">
        <f t="shared" si="47"/>
        <v>Bronze</v>
      </c>
      <c r="J984" t="s">
        <v>1242</v>
      </c>
      <c r="K984" s="17">
        <v>42884</v>
      </c>
      <c r="L984" s="17" t="s">
        <v>1224</v>
      </c>
      <c r="M984" t="s">
        <v>2256</v>
      </c>
      <c r="N984" t="s">
        <v>1238</v>
      </c>
      <c r="O984">
        <v>5600</v>
      </c>
      <c r="P984">
        <v>600</v>
      </c>
      <c r="Q984">
        <v>600</v>
      </c>
      <c r="R984" t="s">
        <v>1352</v>
      </c>
    </row>
    <row r="985" spans="1:18" x14ac:dyDescent="0.25">
      <c r="A985">
        <v>1536</v>
      </c>
      <c r="B985" t="s">
        <v>520</v>
      </c>
      <c r="C985" t="s">
        <v>168</v>
      </c>
      <c r="D985" t="str">
        <f t="shared" si="45"/>
        <v>Waller Emerson</v>
      </c>
      <c r="E985" t="s">
        <v>1207</v>
      </c>
      <c r="F985" s="1">
        <v>45651</v>
      </c>
      <c r="G985" s="32" t="str">
        <f t="shared" si="46"/>
        <v>Dec</v>
      </c>
      <c r="H985">
        <v>3</v>
      </c>
      <c r="I985" t="str">
        <f t="shared" si="47"/>
        <v>Gold</v>
      </c>
      <c r="J985" t="s">
        <v>1243</v>
      </c>
      <c r="K985" s="17">
        <v>76403</v>
      </c>
      <c r="L985" s="17" t="s">
        <v>1222</v>
      </c>
      <c r="M985" t="s">
        <v>2256</v>
      </c>
      <c r="N985" t="s">
        <v>1223</v>
      </c>
      <c r="O985">
        <v>4217</v>
      </c>
      <c r="P985">
        <v>250</v>
      </c>
      <c r="Q985">
        <v>750</v>
      </c>
      <c r="R985" t="s">
        <v>1552</v>
      </c>
    </row>
    <row r="986" spans="1:18" x14ac:dyDescent="0.25">
      <c r="A986">
        <v>1791</v>
      </c>
      <c r="B986" t="s">
        <v>818</v>
      </c>
      <c r="C986" t="s">
        <v>380</v>
      </c>
      <c r="D986" t="str">
        <f t="shared" si="45"/>
        <v>Padilla Raymond</v>
      </c>
      <c r="E986" t="s">
        <v>1207</v>
      </c>
      <c r="F986" s="1">
        <v>45651</v>
      </c>
      <c r="G986" s="32" t="str">
        <f t="shared" si="46"/>
        <v>Dec</v>
      </c>
      <c r="H986">
        <v>3</v>
      </c>
      <c r="I986" t="str">
        <f t="shared" si="47"/>
        <v>Gold</v>
      </c>
      <c r="J986" t="s">
        <v>1242</v>
      </c>
      <c r="K986" s="17">
        <v>87439</v>
      </c>
      <c r="L986" s="17" t="s">
        <v>1233</v>
      </c>
      <c r="M986" t="s">
        <v>2253</v>
      </c>
      <c r="N986" t="s">
        <v>1234</v>
      </c>
      <c r="O986">
        <v>800</v>
      </c>
      <c r="P986">
        <v>250</v>
      </c>
      <c r="Q986">
        <v>750</v>
      </c>
      <c r="R986" t="s">
        <v>1808</v>
      </c>
    </row>
    <row r="987" spans="1:18" x14ac:dyDescent="0.25">
      <c r="A987">
        <v>2003</v>
      </c>
      <c r="B987" t="s">
        <v>242</v>
      </c>
      <c r="C987" t="s">
        <v>1017</v>
      </c>
      <c r="D987" t="str">
        <f t="shared" si="45"/>
        <v>Pollard Zander</v>
      </c>
      <c r="E987" t="s">
        <v>1208</v>
      </c>
      <c r="F987" s="1">
        <v>45651</v>
      </c>
      <c r="G987" s="32" t="str">
        <f t="shared" si="46"/>
        <v>Dec</v>
      </c>
      <c r="H987">
        <v>2</v>
      </c>
      <c r="I987" t="str">
        <f t="shared" si="47"/>
        <v>Silver</v>
      </c>
      <c r="J987" t="s">
        <v>1242</v>
      </c>
      <c r="K987" s="17">
        <v>27804</v>
      </c>
      <c r="L987" s="17" t="s">
        <v>1218</v>
      </c>
      <c r="M987" t="s">
        <v>2254</v>
      </c>
      <c r="N987" t="s">
        <v>1235</v>
      </c>
      <c r="O987">
        <v>2500</v>
      </c>
      <c r="P987">
        <v>800</v>
      </c>
      <c r="Q987">
        <v>1600</v>
      </c>
      <c r="R987" t="s">
        <v>2020</v>
      </c>
    </row>
    <row r="988" spans="1:18" x14ac:dyDescent="0.25">
      <c r="A988">
        <v>2178</v>
      </c>
      <c r="B988" t="s">
        <v>1165</v>
      </c>
      <c r="C988" t="s">
        <v>235</v>
      </c>
      <c r="D988" t="str">
        <f t="shared" si="45"/>
        <v>Gutierrez Joshua</v>
      </c>
      <c r="E988" t="s">
        <v>1249</v>
      </c>
      <c r="F988" s="1">
        <v>45652</v>
      </c>
      <c r="G988" s="32" t="str">
        <f t="shared" si="46"/>
        <v>Dec</v>
      </c>
      <c r="H988">
        <v>2</v>
      </c>
      <c r="I988" t="str">
        <f t="shared" si="47"/>
        <v>Silver</v>
      </c>
      <c r="J988" t="s">
        <v>14</v>
      </c>
      <c r="K988" s="17">
        <v>10042</v>
      </c>
      <c r="L988" s="17" t="s">
        <v>1222</v>
      </c>
      <c r="M988" t="s">
        <v>2252</v>
      </c>
      <c r="N988" t="s">
        <v>1231</v>
      </c>
      <c r="O988">
        <v>4870</v>
      </c>
      <c r="P988">
        <v>1200</v>
      </c>
      <c r="Q988">
        <v>2400</v>
      </c>
      <c r="R988" t="s">
        <v>2196</v>
      </c>
    </row>
    <row r="989" spans="1:18" x14ac:dyDescent="0.25">
      <c r="A989">
        <v>1346</v>
      </c>
      <c r="B989" t="s">
        <v>29</v>
      </c>
      <c r="C989" t="s">
        <v>69</v>
      </c>
      <c r="D989" t="str">
        <f t="shared" si="45"/>
        <v>Ali Ronin</v>
      </c>
      <c r="E989" t="s">
        <v>1208</v>
      </c>
      <c r="F989" s="1">
        <v>45653</v>
      </c>
      <c r="G989" s="32" t="str">
        <f t="shared" si="46"/>
        <v>Dec</v>
      </c>
      <c r="H989">
        <v>2</v>
      </c>
      <c r="I989" t="str">
        <f t="shared" si="47"/>
        <v>Silver</v>
      </c>
      <c r="J989" t="s">
        <v>1242</v>
      </c>
      <c r="K989" s="17">
        <v>50484</v>
      </c>
      <c r="L989" s="17" t="s">
        <v>1222</v>
      </c>
      <c r="M989" t="s">
        <v>2256</v>
      </c>
      <c r="N989" t="s">
        <v>1231</v>
      </c>
      <c r="O989">
        <v>4870</v>
      </c>
      <c r="P989">
        <v>800</v>
      </c>
      <c r="Q989">
        <v>1600</v>
      </c>
      <c r="R989" t="s">
        <v>1362</v>
      </c>
    </row>
    <row r="990" spans="1:18" x14ac:dyDescent="0.25">
      <c r="A990">
        <v>1808</v>
      </c>
      <c r="B990" t="s">
        <v>835</v>
      </c>
      <c r="C990" t="s">
        <v>37</v>
      </c>
      <c r="D990" t="str">
        <f t="shared" si="45"/>
        <v>Greer Hayden</v>
      </c>
      <c r="E990" t="s">
        <v>1205</v>
      </c>
      <c r="F990" s="1">
        <v>45653</v>
      </c>
      <c r="G990" s="32" t="str">
        <f t="shared" si="46"/>
        <v>Dec</v>
      </c>
      <c r="H990">
        <v>3</v>
      </c>
      <c r="I990" t="str">
        <f t="shared" si="47"/>
        <v>Gold</v>
      </c>
      <c r="J990" t="s">
        <v>1242</v>
      </c>
      <c r="K990" s="17">
        <v>84514</v>
      </c>
      <c r="L990" s="17" t="s">
        <v>1224</v>
      </c>
      <c r="M990" t="s">
        <v>2256</v>
      </c>
      <c r="N990" t="s">
        <v>1064</v>
      </c>
      <c r="O990">
        <v>5000</v>
      </c>
      <c r="P990">
        <v>250</v>
      </c>
      <c r="Q990">
        <v>750</v>
      </c>
      <c r="R990" t="s">
        <v>1825</v>
      </c>
    </row>
    <row r="991" spans="1:18" x14ac:dyDescent="0.25">
      <c r="A991">
        <v>2000</v>
      </c>
      <c r="B991" t="s">
        <v>1016</v>
      </c>
      <c r="C991" t="s">
        <v>382</v>
      </c>
      <c r="D991" t="str">
        <f t="shared" si="45"/>
        <v>Bonilla Melanie</v>
      </c>
      <c r="E991" t="s">
        <v>1249</v>
      </c>
      <c r="F991" s="1">
        <v>45653</v>
      </c>
      <c r="G991" s="32" t="str">
        <f t="shared" si="46"/>
        <v>Dec</v>
      </c>
      <c r="H991">
        <v>3</v>
      </c>
      <c r="I991" t="str">
        <f t="shared" si="47"/>
        <v>Gold</v>
      </c>
      <c r="J991" t="s">
        <v>1242</v>
      </c>
      <c r="K991" s="17">
        <v>55731</v>
      </c>
      <c r="L991" s="17" t="s">
        <v>1214</v>
      </c>
      <c r="M991" t="s">
        <v>2255</v>
      </c>
      <c r="N991" t="s">
        <v>1236</v>
      </c>
      <c r="O991">
        <v>6000</v>
      </c>
      <c r="P991">
        <v>1200</v>
      </c>
      <c r="Q991">
        <v>3600</v>
      </c>
      <c r="R991" t="s">
        <v>2017</v>
      </c>
    </row>
    <row r="992" spans="1:18" x14ac:dyDescent="0.25">
      <c r="A992">
        <v>1737</v>
      </c>
      <c r="B992" t="s">
        <v>142</v>
      </c>
      <c r="C992" t="s">
        <v>764</v>
      </c>
      <c r="D992" t="str">
        <f t="shared" si="45"/>
        <v>Silva Beau</v>
      </c>
      <c r="E992" t="s">
        <v>1248</v>
      </c>
      <c r="F992" s="1">
        <v>45654</v>
      </c>
      <c r="G992" s="32" t="str">
        <f t="shared" si="46"/>
        <v>Dec</v>
      </c>
      <c r="H992">
        <v>3</v>
      </c>
      <c r="I992" t="str">
        <f t="shared" si="47"/>
        <v>Gold</v>
      </c>
      <c r="J992" t="s">
        <v>14</v>
      </c>
      <c r="K992" s="17">
        <v>12310</v>
      </c>
      <c r="L992" s="17" t="s">
        <v>1224</v>
      </c>
      <c r="M992" t="s">
        <v>2255</v>
      </c>
      <c r="N992" t="s">
        <v>1238</v>
      </c>
      <c r="O992">
        <v>5600</v>
      </c>
      <c r="P992">
        <v>300</v>
      </c>
      <c r="Q992">
        <v>900</v>
      </c>
      <c r="R992" t="s">
        <v>1754</v>
      </c>
    </row>
    <row r="993" spans="1:18" x14ac:dyDescent="0.25">
      <c r="A993">
        <v>1988</v>
      </c>
      <c r="B993" t="s">
        <v>1008</v>
      </c>
      <c r="C993" t="s">
        <v>108</v>
      </c>
      <c r="D993" t="str">
        <f t="shared" si="45"/>
        <v>Brock Helen</v>
      </c>
      <c r="E993" t="s">
        <v>1203</v>
      </c>
      <c r="F993" s="1">
        <v>45654</v>
      </c>
      <c r="G993" s="32" t="str">
        <f t="shared" si="46"/>
        <v>Dec</v>
      </c>
      <c r="H993">
        <v>2</v>
      </c>
      <c r="I993" t="str">
        <f t="shared" si="47"/>
        <v>Silver</v>
      </c>
      <c r="J993" t="s">
        <v>1242</v>
      </c>
      <c r="K993" s="17">
        <v>25991</v>
      </c>
      <c r="L993" s="17" t="s">
        <v>1233</v>
      </c>
      <c r="M993" t="s">
        <v>2252</v>
      </c>
      <c r="N993" t="s">
        <v>1239</v>
      </c>
      <c r="O993">
        <v>870</v>
      </c>
      <c r="P993">
        <v>600</v>
      </c>
      <c r="Q993">
        <v>1200</v>
      </c>
      <c r="R993" t="s">
        <v>2005</v>
      </c>
    </row>
    <row r="994" spans="1:18" x14ac:dyDescent="0.25">
      <c r="A994">
        <v>1533</v>
      </c>
      <c r="B994" t="s">
        <v>515</v>
      </c>
      <c r="C994" t="s">
        <v>516</v>
      </c>
      <c r="D994" t="str">
        <f t="shared" si="45"/>
        <v>Flowers Killian</v>
      </c>
      <c r="E994" t="s">
        <v>1248</v>
      </c>
      <c r="F994" s="1">
        <v>45655</v>
      </c>
      <c r="G994" s="32" t="str">
        <f t="shared" si="46"/>
        <v>Dec</v>
      </c>
      <c r="H994">
        <v>1</v>
      </c>
      <c r="I994" t="str">
        <f t="shared" si="47"/>
        <v>Bronze</v>
      </c>
      <c r="J994" t="s">
        <v>1242</v>
      </c>
      <c r="K994" s="17">
        <v>9065</v>
      </c>
      <c r="L994" s="17" t="s">
        <v>1222</v>
      </c>
      <c r="M994" t="s">
        <v>2254</v>
      </c>
      <c r="N994" t="s">
        <v>1231</v>
      </c>
      <c r="O994">
        <v>4870</v>
      </c>
      <c r="P994">
        <v>300</v>
      </c>
      <c r="Q994">
        <v>300</v>
      </c>
      <c r="R994" t="s">
        <v>1549</v>
      </c>
    </row>
    <row r="995" spans="1:18" x14ac:dyDescent="0.25">
      <c r="A995">
        <v>1574</v>
      </c>
      <c r="B995" t="s">
        <v>231</v>
      </c>
      <c r="C995" t="s">
        <v>571</v>
      </c>
      <c r="D995" t="str">
        <f t="shared" si="45"/>
        <v>Keller Aylin</v>
      </c>
      <c r="E995" t="s">
        <v>1203</v>
      </c>
      <c r="F995" s="1">
        <v>45656</v>
      </c>
      <c r="G995" s="32" t="str">
        <f t="shared" si="46"/>
        <v>Dec</v>
      </c>
      <c r="H995">
        <v>3</v>
      </c>
      <c r="I995" t="str">
        <f t="shared" si="47"/>
        <v>Gold</v>
      </c>
      <c r="J995" t="s">
        <v>1243</v>
      </c>
      <c r="K995" s="17">
        <v>97108</v>
      </c>
      <c r="L995" s="17" t="s">
        <v>1228</v>
      </c>
      <c r="M995" t="s">
        <v>2253</v>
      </c>
      <c r="N995" t="s">
        <v>1229</v>
      </c>
      <c r="O995">
        <v>7250</v>
      </c>
      <c r="P995">
        <v>600</v>
      </c>
      <c r="Q995">
        <v>1800</v>
      </c>
      <c r="R995" t="s">
        <v>1590</v>
      </c>
    </row>
    <row r="996" spans="1:18" x14ac:dyDescent="0.25">
      <c r="A996">
        <v>1637</v>
      </c>
      <c r="B996" t="s">
        <v>642</v>
      </c>
      <c r="C996" t="s">
        <v>643</v>
      </c>
      <c r="D996" t="str">
        <f t="shared" si="45"/>
        <v>Cisneros Garrett</v>
      </c>
      <c r="E996" t="s">
        <v>1248</v>
      </c>
      <c r="F996" s="1">
        <v>45656</v>
      </c>
      <c r="G996" s="32" t="str">
        <f t="shared" si="46"/>
        <v>Dec</v>
      </c>
      <c r="H996">
        <v>3</v>
      </c>
      <c r="I996" t="str">
        <f t="shared" si="47"/>
        <v>Gold</v>
      </c>
      <c r="J996" t="s">
        <v>1242</v>
      </c>
      <c r="K996" s="17">
        <v>19736</v>
      </c>
      <c r="L996" s="17" t="s">
        <v>1214</v>
      </c>
      <c r="M996" t="s">
        <v>2252</v>
      </c>
      <c r="N996" t="s">
        <v>1227</v>
      </c>
      <c r="O996">
        <v>6160</v>
      </c>
      <c r="P996">
        <v>300</v>
      </c>
      <c r="Q996">
        <v>900</v>
      </c>
      <c r="R996" t="s">
        <v>1654</v>
      </c>
    </row>
    <row r="997" spans="1:18" x14ac:dyDescent="0.25">
      <c r="A997">
        <v>1304</v>
      </c>
      <c r="B997" t="s">
        <v>107</v>
      </c>
      <c r="C997" t="s">
        <v>160</v>
      </c>
      <c r="D997" t="str">
        <f t="shared" si="45"/>
        <v>Morales Heaven</v>
      </c>
      <c r="E997" t="s">
        <v>1203</v>
      </c>
      <c r="F997" s="1">
        <v>45657</v>
      </c>
      <c r="G997" s="32" t="str">
        <f t="shared" si="46"/>
        <v>Dec</v>
      </c>
      <c r="H997">
        <v>1</v>
      </c>
      <c r="I997" t="str">
        <f t="shared" si="47"/>
        <v>Bronze</v>
      </c>
      <c r="J997" t="s">
        <v>14</v>
      </c>
      <c r="K997" s="17">
        <v>20434</v>
      </c>
      <c r="L997" s="17" t="s">
        <v>1233</v>
      </c>
      <c r="M997" t="s">
        <v>2254</v>
      </c>
      <c r="N997" t="s">
        <v>1239</v>
      </c>
      <c r="O997">
        <v>870</v>
      </c>
      <c r="P997">
        <v>600</v>
      </c>
      <c r="Q997">
        <v>600</v>
      </c>
      <c r="R997" t="s">
        <v>1320</v>
      </c>
    </row>
    <row r="998" spans="1:18" x14ac:dyDescent="0.25">
      <c r="A998">
        <v>1650</v>
      </c>
      <c r="B998" t="s">
        <v>661</v>
      </c>
      <c r="C998" t="s">
        <v>662</v>
      </c>
      <c r="D998" t="str">
        <f t="shared" si="45"/>
        <v>Livingston Chloe</v>
      </c>
      <c r="E998" t="s">
        <v>1208</v>
      </c>
      <c r="F998" s="1">
        <v>45657</v>
      </c>
      <c r="G998" s="32" t="str">
        <f t="shared" si="46"/>
        <v>Dec</v>
      </c>
      <c r="H998">
        <v>2</v>
      </c>
      <c r="I998" t="str">
        <f t="shared" si="47"/>
        <v>Silver</v>
      </c>
      <c r="J998" t="s">
        <v>1242</v>
      </c>
      <c r="K998" s="17">
        <v>61986</v>
      </c>
      <c r="L998" s="17" t="s">
        <v>1224</v>
      </c>
      <c r="M998" t="s">
        <v>2254</v>
      </c>
      <c r="N998" t="s">
        <v>1064</v>
      </c>
      <c r="O998">
        <v>5000</v>
      </c>
      <c r="P998">
        <v>800</v>
      </c>
      <c r="Q998">
        <v>1600</v>
      </c>
      <c r="R998" t="s">
        <v>1667</v>
      </c>
    </row>
    <row r="999" spans="1:18" x14ac:dyDescent="0.25">
      <c r="A999">
        <v>1661</v>
      </c>
      <c r="B999" t="s">
        <v>420</v>
      </c>
      <c r="C999" t="s">
        <v>674</v>
      </c>
      <c r="D999" t="str">
        <f t="shared" si="45"/>
        <v>Nuñez Kyle</v>
      </c>
      <c r="E999" t="s">
        <v>1207</v>
      </c>
      <c r="F999" s="1">
        <v>45657</v>
      </c>
      <c r="G999" s="32" t="str">
        <f t="shared" si="46"/>
        <v>Dec</v>
      </c>
      <c r="H999">
        <v>1</v>
      </c>
      <c r="I999" t="str">
        <f t="shared" si="47"/>
        <v>Bronze</v>
      </c>
      <c r="J999" t="s">
        <v>1243</v>
      </c>
      <c r="K999" s="17">
        <v>24384</v>
      </c>
      <c r="L999" s="17" t="s">
        <v>1218</v>
      </c>
      <c r="M999" t="s">
        <v>2256</v>
      </c>
      <c r="N999" t="s">
        <v>1219</v>
      </c>
      <c r="O999">
        <v>2300</v>
      </c>
      <c r="P999">
        <v>250</v>
      </c>
      <c r="Q999">
        <v>250</v>
      </c>
      <c r="R999" t="s">
        <v>1678</v>
      </c>
    </row>
    <row r="1000" spans="1:18" x14ac:dyDescent="0.25">
      <c r="A1000">
        <v>2090</v>
      </c>
      <c r="B1000" t="s">
        <v>1092</v>
      </c>
      <c r="C1000" t="s">
        <v>966</v>
      </c>
      <c r="D1000" t="str">
        <f t="shared" si="45"/>
        <v>Welch Timothy</v>
      </c>
      <c r="E1000" t="s">
        <v>1208</v>
      </c>
      <c r="F1000" s="1">
        <v>45657</v>
      </c>
      <c r="G1000" s="32" t="str">
        <f t="shared" si="46"/>
        <v>Dec</v>
      </c>
      <c r="H1000">
        <v>2</v>
      </c>
      <c r="I1000" t="str">
        <f t="shared" si="47"/>
        <v>Silver</v>
      </c>
      <c r="J1000" t="s">
        <v>14</v>
      </c>
      <c r="K1000" s="17">
        <v>98446</v>
      </c>
      <c r="L1000" s="17" t="s">
        <v>1214</v>
      </c>
      <c r="M1000" t="s">
        <v>2256</v>
      </c>
      <c r="N1000" t="s">
        <v>1227</v>
      </c>
      <c r="O1000">
        <v>6160</v>
      </c>
      <c r="P1000">
        <v>800</v>
      </c>
      <c r="Q1000">
        <v>1600</v>
      </c>
      <c r="R1000" t="s">
        <v>2107</v>
      </c>
    </row>
    <row r="1001" spans="1:18" x14ac:dyDescent="0.25">
      <c r="A1001">
        <v>2173</v>
      </c>
      <c r="B1001" t="s">
        <v>1034</v>
      </c>
      <c r="C1001" t="s">
        <v>588</v>
      </c>
      <c r="D1001" t="str">
        <f t="shared" si="45"/>
        <v>Curtis Blake</v>
      </c>
      <c r="E1001" t="s">
        <v>1207</v>
      </c>
      <c r="F1001" s="1">
        <v>45657</v>
      </c>
      <c r="G1001" s="32" t="str">
        <f t="shared" si="46"/>
        <v>Dec</v>
      </c>
      <c r="H1001">
        <v>3</v>
      </c>
      <c r="I1001" t="str">
        <f t="shared" si="47"/>
        <v>Gold</v>
      </c>
      <c r="J1001" t="s">
        <v>14</v>
      </c>
      <c r="K1001" s="17">
        <v>58734</v>
      </c>
      <c r="L1001" s="17" t="s">
        <v>1220</v>
      </c>
      <c r="M1001" t="s">
        <v>2256</v>
      </c>
      <c r="N1001" t="s">
        <v>1232</v>
      </c>
      <c r="O1001">
        <v>3000</v>
      </c>
      <c r="P1001">
        <v>250</v>
      </c>
      <c r="Q1001">
        <v>750</v>
      </c>
      <c r="R1001" t="s">
        <v>2191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75B8D-AC82-484B-B37B-27CE0BFB6FD2}">
  <dimension ref="A1:O1001"/>
  <sheetViews>
    <sheetView workbookViewId="0">
      <selection activeCell="C14" sqref="C14"/>
    </sheetView>
  </sheetViews>
  <sheetFormatPr defaultRowHeight="15" x14ac:dyDescent="0.25"/>
  <cols>
    <col min="1" max="1" width="14.140625" bestFit="1" customWidth="1"/>
    <col min="2" max="2" width="10.7109375" bestFit="1" customWidth="1"/>
    <col min="3" max="3" width="21.7109375" bestFit="1" customWidth="1"/>
    <col min="4" max="4" width="22.140625" bestFit="1" customWidth="1"/>
    <col min="5" max="5" width="24.42578125" bestFit="1" customWidth="1"/>
    <col min="6" max="6" width="13" bestFit="1" customWidth="1"/>
    <col min="7" max="7" width="13" style="17" customWidth="1"/>
    <col min="8" max="8" width="19" bestFit="1" customWidth="1"/>
    <col min="9" max="9" width="14.7109375" customWidth="1"/>
    <col min="10" max="10" width="7.85546875" customWidth="1"/>
    <col min="11" max="11" width="10.42578125" customWidth="1"/>
    <col min="12" max="12" width="26" bestFit="1" customWidth="1"/>
    <col min="13" max="13" width="12.28515625" bestFit="1" customWidth="1"/>
    <col min="14" max="14" width="21.7109375" bestFit="1" customWidth="1"/>
    <col min="15" max="15" width="13.5703125" bestFit="1" customWidth="1"/>
  </cols>
  <sheetData>
    <row r="1" spans="1:15" x14ac:dyDescent="0.25">
      <c r="A1" t="s">
        <v>3</v>
      </c>
      <c r="B1" t="s">
        <v>0</v>
      </c>
      <c r="C1" t="s">
        <v>1</v>
      </c>
      <c r="D1" t="s">
        <v>2</v>
      </c>
      <c r="E1" t="s">
        <v>1247</v>
      </c>
      <c r="F1" t="s">
        <v>4</v>
      </c>
      <c r="G1" s="33" t="s">
        <v>2348</v>
      </c>
      <c r="H1" t="s">
        <v>5</v>
      </c>
      <c r="I1" t="s">
        <v>6</v>
      </c>
      <c r="J1" t="s">
        <v>7</v>
      </c>
      <c r="K1" t="s">
        <v>1245</v>
      </c>
      <c r="L1" t="s">
        <v>1244</v>
      </c>
      <c r="M1" t="s">
        <v>8</v>
      </c>
      <c r="N1" t="s">
        <v>9</v>
      </c>
      <c r="O1" t="s">
        <v>10</v>
      </c>
    </row>
    <row r="2" spans="1:15" x14ac:dyDescent="0.25">
      <c r="A2">
        <v>1364</v>
      </c>
      <c r="B2">
        <v>3131</v>
      </c>
      <c r="C2" t="s">
        <v>263</v>
      </c>
      <c r="D2" t="s">
        <v>264</v>
      </c>
      <c r="E2" t="s">
        <v>1249</v>
      </c>
      <c r="F2" s="1">
        <v>45292</v>
      </c>
      <c r="G2" s="34" t="str">
        <f t="shared" ref="G2:G65" si="0">TEXT(F2, "MMM")</f>
        <v>Jan</v>
      </c>
      <c r="H2">
        <v>2</v>
      </c>
      <c r="I2" t="s">
        <v>1242</v>
      </c>
      <c r="J2" t="s">
        <v>1224</v>
      </c>
      <c r="K2">
        <v>0.25</v>
      </c>
      <c r="L2">
        <v>279.25</v>
      </c>
      <c r="M2">
        <v>1117</v>
      </c>
      <c r="N2">
        <v>837.75</v>
      </c>
      <c r="O2" t="s">
        <v>1200</v>
      </c>
    </row>
    <row r="3" spans="1:15" x14ac:dyDescent="0.25">
      <c r="A3">
        <v>1475</v>
      </c>
      <c r="B3">
        <v>3242</v>
      </c>
      <c r="C3" t="s">
        <v>439</v>
      </c>
      <c r="D3" t="s">
        <v>440</v>
      </c>
      <c r="E3" t="s">
        <v>1205</v>
      </c>
      <c r="F3" s="1">
        <v>45292</v>
      </c>
      <c r="G3" s="34" t="str">
        <f t="shared" si="0"/>
        <v>Jan</v>
      </c>
      <c r="H3">
        <v>3</v>
      </c>
      <c r="I3" t="s">
        <v>14</v>
      </c>
      <c r="J3" t="s">
        <v>1218</v>
      </c>
      <c r="K3">
        <v>0.1</v>
      </c>
      <c r="L3">
        <v>179</v>
      </c>
      <c r="M3">
        <v>1790</v>
      </c>
      <c r="N3">
        <v>1611</v>
      </c>
      <c r="O3" t="s">
        <v>15</v>
      </c>
    </row>
    <row r="4" spans="1:15" x14ac:dyDescent="0.25">
      <c r="A4">
        <v>1778</v>
      </c>
      <c r="B4">
        <v>3546</v>
      </c>
      <c r="C4" t="s">
        <v>801</v>
      </c>
      <c r="D4" t="s">
        <v>802</v>
      </c>
      <c r="E4" t="s">
        <v>1208</v>
      </c>
      <c r="F4" s="1">
        <v>45292</v>
      </c>
      <c r="G4" s="34" t="str">
        <f t="shared" si="0"/>
        <v>Jan</v>
      </c>
      <c r="H4">
        <v>1</v>
      </c>
      <c r="I4" t="s">
        <v>14</v>
      </c>
      <c r="J4" t="s">
        <v>1222</v>
      </c>
      <c r="K4">
        <v>0.3</v>
      </c>
      <c r="L4">
        <v>479.7</v>
      </c>
      <c r="M4">
        <v>1599</v>
      </c>
      <c r="N4">
        <v>1119.3</v>
      </c>
      <c r="O4" t="s">
        <v>19</v>
      </c>
    </row>
    <row r="5" spans="1:15" x14ac:dyDescent="0.25">
      <c r="A5">
        <v>1850</v>
      </c>
      <c r="B5">
        <v>3618</v>
      </c>
      <c r="C5" t="s">
        <v>425</v>
      </c>
      <c r="D5" t="s">
        <v>782</v>
      </c>
      <c r="E5" t="s">
        <v>1205</v>
      </c>
      <c r="F5" s="1">
        <v>45292</v>
      </c>
      <c r="G5" s="34" t="str">
        <f t="shared" si="0"/>
        <v>Jan</v>
      </c>
      <c r="H5">
        <v>1</v>
      </c>
      <c r="I5" t="s">
        <v>14</v>
      </c>
      <c r="J5" t="s">
        <v>1214</v>
      </c>
      <c r="K5">
        <v>0.1</v>
      </c>
      <c r="L5">
        <v>25.9</v>
      </c>
      <c r="M5">
        <v>259</v>
      </c>
      <c r="N5">
        <v>233.1</v>
      </c>
      <c r="O5" t="s">
        <v>16</v>
      </c>
    </row>
    <row r="6" spans="1:15" x14ac:dyDescent="0.25">
      <c r="A6">
        <v>2084</v>
      </c>
      <c r="B6">
        <v>3852</v>
      </c>
      <c r="C6" t="s">
        <v>1086</v>
      </c>
      <c r="D6" t="s">
        <v>471</v>
      </c>
      <c r="E6" t="s">
        <v>1205</v>
      </c>
      <c r="F6" s="1">
        <v>45292</v>
      </c>
      <c r="G6" s="34" t="str">
        <f t="shared" si="0"/>
        <v>Jan</v>
      </c>
      <c r="H6">
        <v>3</v>
      </c>
      <c r="I6" t="s">
        <v>14</v>
      </c>
      <c r="J6" t="s">
        <v>1222</v>
      </c>
      <c r="K6">
        <v>0.1</v>
      </c>
      <c r="L6">
        <v>23.4</v>
      </c>
      <c r="M6">
        <v>234</v>
      </c>
      <c r="N6">
        <v>210.6</v>
      </c>
      <c r="O6" t="s">
        <v>1200</v>
      </c>
    </row>
    <row r="7" spans="1:15" x14ac:dyDescent="0.25">
      <c r="A7">
        <v>2009</v>
      </c>
      <c r="B7">
        <v>3777</v>
      </c>
      <c r="C7" t="s">
        <v>27</v>
      </c>
      <c r="D7" t="s">
        <v>71</v>
      </c>
      <c r="E7" t="s">
        <v>1203</v>
      </c>
      <c r="F7" s="1">
        <v>45293</v>
      </c>
      <c r="G7" s="34" t="str">
        <f t="shared" si="0"/>
        <v>Jan</v>
      </c>
      <c r="H7">
        <v>2</v>
      </c>
      <c r="I7" t="s">
        <v>1243</v>
      </c>
      <c r="J7" t="s">
        <v>1224</v>
      </c>
      <c r="K7">
        <v>0.3</v>
      </c>
      <c r="L7">
        <v>429.6</v>
      </c>
      <c r="M7">
        <v>1432</v>
      </c>
      <c r="N7">
        <v>1002.4</v>
      </c>
      <c r="O7" t="s">
        <v>15</v>
      </c>
    </row>
    <row r="8" spans="1:15" x14ac:dyDescent="0.25">
      <c r="A8">
        <v>2100</v>
      </c>
      <c r="B8">
        <v>3869</v>
      </c>
      <c r="C8" t="s">
        <v>665</v>
      </c>
      <c r="D8" t="s">
        <v>613</v>
      </c>
      <c r="E8" t="s">
        <v>1249</v>
      </c>
      <c r="F8" s="1">
        <v>45293</v>
      </c>
      <c r="G8" s="34" t="str">
        <f t="shared" si="0"/>
        <v>Jan</v>
      </c>
      <c r="H8">
        <v>1</v>
      </c>
      <c r="I8" t="s">
        <v>1243</v>
      </c>
      <c r="J8" t="s">
        <v>1224</v>
      </c>
      <c r="K8">
        <v>0.25</v>
      </c>
      <c r="L8">
        <v>22.5</v>
      </c>
      <c r="M8">
        <v>90</v>
      </c>
      <c r="N8">
        <v>67.5</v>
      </c>
      <c r="O8" t="s">
        <v>16</v>
      </c>
    </row>
    <row r="9" spans="1:15" x14ac:dyDescent="0.25">
      <c r="A9">
        <v>1766</v>
      </c>
      <c r="B9">
        <v>3534</v>
      </c>
      <c r="C9" t="s">
        <v>790</v>
      </c>
      <c r="D9" t="s">
        <v>791</v>
      </c>
      <c r="E9" t="s">
        <v>1205</v>
      </c>
      <c r="F9" s="1">
        <v>45294</v>
      </c>
      <c r="G9" s="34" t="str">
        <f t="shared" si="0"/>
        <v>Jan</v>
      </c>
      <c r="H9">
        <v>1</v>
      </c>
      <c r="I9" t="s">
        <v>1242</v>
      </c>
      <c r="J9" t="s">
        <v>1216</v>
      </c>
      <c r="K9">
        <v>0.1</v>
      </c>
      <c r="L9">
        <v>68.3</v>
      </c>
      <c r="M9">
        <v>683</v>
      </c>
      <c r="N9">
        <v>614.70000000000005</v>
      </c>
      <c r="O9" t="s">
        <v>15</v>
      </c>
    </row>
    <row r="10" spans="1:15" x14ac:dyDescent="0.25">
      <c r="A10">
        <v>1945</v>
      </c>
      <c r="B10">
        <v>3713</v>
      </c>
      <c r="C10" t="s">
        <v>657</v>
      </c>
      <c r="D10" t="s">
        <v>904</v>
      </c>
      <c r="E10" t="s">
        <v>1208</v>
      </c>
      <c r="F10" s="1">
        <v>45294</v>
      </c>
      <c r="G10" s="34" t="str">
        <f t="shared" si="0"/>
        <v>Jan</v>
      </c>
      <c r="H10">
        <v>1</v>
      </c>
      <c r="I10" t="s">
        <v>1243</v>
      </c>
      <c r="J10" t="s">
        <v>1220</v>
      </c>
      <c r="K10">
        <v>0.3</v>
      </c>
      <c r="L10">
        <v>263.10000000000002</v>
      </c>
      <c r="M10">
        <v>877</v>
      </c>
      <c r="N10">
        <v>613.9</v>
      </c>
      <c r="O10" t="s">
        <v>1200</v>
      </c>
    </row>
    <row r="11" spans="1:15" x14ac:dyDescent="0.25">
      <c r="A11">
        <v>2131</v>
      </c>
      <c r="B11">
        <v>3900</v>
      </c>
      <c r="C11" t="s">
        <v>1129</v>
      </c>
      <c r="D11" t="s">
        <v>1130</v>
      </c>
      <c r="E11" t="s">
        <v>1208</v>
      </c>
      <c r="F11" s="1">
        <v>45294</v>
      </c>
      <c r="G11" s="34" t="str">
        <f t="shared" si="0"/>
        <v>Jan</v>
      </c>
      <c r="H11">
        <v>3</v>
      </c>
      <c r="I11" t="s">
        <v>1242</v>
      </c>
      <c r="J11" t="s">
        <v>1222</v>
      </c>
      <c r="K11">
        <v>0.3</v>
      </c>
      <c r="L11">
        <v>3.3</v>
      </c>
      <c r="M11">
        <v>11</v>
      </c>
      <c r="N11">
        <v>7.7</v>
      </c>
      <c r="O11" t="s">
        <v>16</v>
      </c>
    </row>
    <row r="12" spans="1:15" x14ac:dyDescent="0.25">
      <c r="A12">
        <v>1762</v>
      </c>
      <c r="B12">
        <v>3530</v>
      </c>
      <c r="C12" t="s">
        <v>145</v>
      </c>
      <c r="D12" t="s">
        <v>788</v>
      </c>
      <c r="E12" t="s">
        <v>1249</v>
      </c>
      <c r="F12" s="1">
        <v>45295</v>
      </c>
      <c r="G12" s="34" t="str">
        <f t="shared" si="0"/>
        <v>Jan</v>
      </c>
      <c r="H12">
        <v>1</v>
      </c>
      <c r="I12" t="s">
        <v>14</v>
      </c>
      <c r="J12" t="s">
        <v>1222</v>
      </c>
      <c r="K12">
        <v>0.25</v>
      </c>
      <c r="L12">
        <v>83.5</v>
      </c>
      <c r="M12">
        <v>334</v>
      </c>
      <c r="N12">
        <v>250.5</v>
      </c>
      <c r="O12" t="s">
        <v>15</v>
      </c>
    </row>
    <row r="13" spans="1:15" x14ac:dyDescent="0.25">
      <c r="A13">
        <v>2045</v>
      </c>
      <c r="B13">
        <v>3813</v>
      </c>
      <c r="C13" t="s">
        <v>1050</v>
      </c>
      <c r="D13" t="s">
        <v>507</v>
      </c>
      <c r="E13" t="s">
        <v>1208</v>
      </c>
      <c r="F13" s="1">
        <v>45295</v>
      </c>
      <c r="G13" s="34" t="str">
        <f t="shared" si="0"/>
        <v>Jan</v>
      </c>
      <c r="H13">
        <v>2</v>
      </c>
      <c r="I13" t="s">
        <v>14</v>
      </c>
      <c r="J13" t="s">
        <v>1218</v>
      </c>
      <c r="K13">
        <v>0.3</v>
      </c>
      <c r="L13">
        <v>258.3</v>
      </c>
      <c r="M13">
        <v>861</v>
      </c>
      <c r="N13">
        <v>602.70000000000005</v>
      </c>
      <c r="O13" t="s">
        <v>13</v>
      </c>
    </row>
    <row r="14" spans="1:15" x14ac:dyDescent="0.25">
      <c r="A14">
        <v>2202</v>
      </c>
      <c r="B14">
        <v>3971</v>
      </c>
      <c r="C14" t="s">
        <v>821</v>
      </c>
      <c r="D14" t="s">
        <v>20</v>
      </c>
      <c r="E14" t="s">
        <v>1249</v>
      </c>
      <c r="F14" s="1">
        <v>45295</v>
      </c>
      <c r="G14" s="34" t="str">
        <f t="shared" si="0"/>
        <v>Jan</v>
      </c>
      <c r="H14">
        <v>2</v>
      </c>
      <c r="I14" t="s">
        <v>14</v>
      </c>
      <c r="J14" t="s">
        <v>1228</v>
      </c>
      <c r="K14">
        <v>0.25</v>
      </c>
      <c r="L14">
        <v>137</v>
      </c>
      <c r="M14">
        <v>548</v>
      </c>
      <c r="N14">
        <v>411</v>
      </c>
      <c r="O14" t="s">
        <v>15</v>
      </c>
    </row>
    <row r="15" spans="1:15" x14ac:dyDescent="0.25">
      <c r="A15">
        <v>1671</v>
      </c>
      <c r="B15">
        <v>3439</v>
      </c>
      <c r="C15" t="s">
        <v>685</v>
      </c>
      <c r="D15" t="s">
        <v>686</v>
      </c>
      <c r="E15" t="s">
        <v>1205</v>
      </c>
      <c r="F15" s="1">
        <v>45296</v>
      </c>
      <c r="G15" s="34" t="str">
        <f t="shared" si="0"/>
        <v>Jan</v>
      </c>
      <c r="H15">
        <v>1</v>
      </c>
      <c r="I15" t="s">
        <v>1242</v>
      </c>
      <c r="J15" t="s">
        <v>1222</v>
      </c>
      <c r="K15">
        <v>0.1</v>
      </c>
      <c r="L15">
        <v>48.6</v>
      </c>
      <c r="M15">
        <v>486</v>
      </c>
      <c r="N15">
        <v>437.4</v>
      </c>
      <c r="O15" t="s">
        <v>13</v>
      </c>
    </row>
    <row r="16" spans="1:15" x14ac:dyDescent="0.25">
      <c r="A16">
        <v>1270</v>
      </c>
      <c r="B16">
        <v>3037</v>
      </c>
      <c r="C16" t="s">
        <v>97</v>
      </c>
      <c r="D16" t="s">
        <v>98</v>
      </c>
      <c r="E16" t="s">
        <v>1249</v>
      </c>
      <c r="F16" s="1">
        <v>45297</v>
      </c>
      <c r="G16" s="34" t="str">
        <f t="shared" si="0"/>
        <v>Jan</v>
      </c>
      <c r="H16">
        <v>2</v>
      </c>
      <c r="I16" t="s">
        <v>1242</v>
      </c>
      <c r="J16" t="s">
        <v>1218</v>
      </c>
      <c r="K16">
        <v>0.25</v>
      </c>
      <c r="L16">
        <v>6.75</v>
      </c>
      <c r="M16">
        <v>27</v>
      </c>
      <c r="N16">
        <v>20.25</v>
      </c>
      <c r="O16" t="s">
        <v>19</v>
      </c>
    </row>
    <row r="17" spans="1:15" x14ac:dyDescent="0.25">
      <c r="A17">
        <v>1535</v>
      </c>
      <c r="B17">
        <v>3302</v>
      </c>
      <c r="C17" t="s">
        <v>519</v>
      </c>
      <c r="D17" t="s">
        <v>37</v>
      </c>
      <c r="E17" t="s">
        <v>1203</v>
      </c>
      <c r="F17" s="1">
        <v>45297</v>
      </c>
      <c r="G17" s="34" t="str">
        <f t="shared" si="0"/>
        <v>Jan</v>
      </c>
      <c r="H17">
        <v>1</v>
      </c>
      <c r="I17" t="s">
        <v>14</v>
      </c>
      <c r="J17" t="s">
        <v>1220</v>
      </c>
      <c r="K17">
        <v>0.3</v>
      </c>
      <c r="L17">
        <v>500.1</v>
      </c>
      <c r="M17">
        <v>1667</v>
      </c>
      <c r="N17">
        <v>1166.9000000000001</v>
      </c>
      <c r="O17" t="s">
        <v>15</v>
      </c>
    </row>
    <row r="18" spans="1:15" x14ac:dyDescent="0.25">
      <c r="A18">
        <v>1761</v>
      </c>
      <c r="B18">
        <v>3529</v>
      </c>
      <c r="C18" t="s">
        <v>275</v>
      </c>
      <c r="D18" t="s">
        <v>689</v>
      </c>
      <c r="E18" t="s">
        <v>1205</v>
      </c>
      <c r="F18" s="1">
        <v>45297</v>
      </c>
      <c r="G18" s="34" t="str">
        <f t="shared" si="0"/>
        <v>Jan</v>
      </c>
      <c r="H18">
        <v>2</v>
      </c>
      <c r="I18" t="s">
        <v>14</v>
      </c>
      <c r="J18" t="s">
        <v>1220</v>
      </c>
      <c r="K18">
        <v>0.1</v>
      </c>
      <c r="L18">
        <v>113.4</v>
      </c>
      <c r="M18">
        <v>1134</v>
      </c>
      <c r="N18">
        <v>1020.6</v>
      </c>
      <c r="O18" t="s">
        <v>13</v>
      </c>
    </row>
    <row r="19" spans="1:15" x14ac:dyDescent="0.25">
      <c r="A19">
        <v>1771</v>
      </c>
      <c r="B19">
        <v>3539</v>
      </c>
      <c r="C19" t="s">
        <v>480</v>
      </c>
      <c r="D19" t="s">
        <v>797</v>
      </c>
      <c r="E19" t="s">
        <v>1208</v>
      </c>
      <c r="F19" s="1">
        <v>45297</v>
      </c>
      <c r="G19" s="34" t="str">
        <f t="shared" si="0"/>
        <v>Jan</v>
      </c>
      <c r="H19">
        <v>1</v>
      </c>
      <c r="I19" t="s">
        <v>1242</v>
      </c>
      <c r="J19" t="s">
        <v>1220</v>
      </c>
      <c r="K19">
        <v>0.3</v>
      </c>
      <c r="L19">
        <v>345.3</v>
      </c>
      <c r="M19">
        <v>1151</v>
      </c>
      <c r="N19">
        <v>805.7</v>
      </c>
      <c r="O19" t="s">
        <v>19</v>
      </c>
    </row>
    <row r="20" spans="1:15" x14ac:dyDescent="0.25">
      <c r="A20">
        <v>2163</v>
      </c>
      <c r="B20">
        <v>3932</v>
      </c>
      <c r="C20" t="s">
        <v>835</v>
      </c>
      <c r="D20" t="s">
        <v>618</v>
      </c>
      <c r="E20" t="s">
        <v>1208</v>
      </c>
      <c r="F20" s="1">
        <v>45297</v>
      </c>
      <c r="G20" s="34" t="str">
        <f t="shared" si="0"/>
        <v>Jan</v>
      </c>
      <c r="H20">
        <v>2</v>
      </c>
      <c r="I20" t="s">
        <v>1242</v>
      </c>
      <c r="J20" t="s">
        <v>1216</v>
      </c>
      <c r="K20">
        <v>0.3</v>
      </c>
      <c r="L20">
        <v>405.9</v>
      </c>
      <c r="M20">
        <v>1353</v>
      </c>
      <c r="N20">
        <v>947.1</v>
      </c>
      <c r="O20" t="s">
        <v>15</v>
      </c>
    </row>
    <row r="21" spans="1:15" x14ac:dyDescent="0.25">
      <c r="A21">
        <v>1400</v>
      </c>
      <c r="B21">
        <v>3167</v>
      </c>
      <c r="C21" t="s">
        <v>320</v>
      </c>
      <c r="D21" t="s">
        <v>321</v>
      </c>
      <c r="E21" t="s">
        <v>1205</v>
      </c>
      <c r="F21" s="1">
        <v>45298</v>
      </c>
      <c r="G21" s="34" t="str">
        <f t="shared" si="0"/>
        <v>Jan</v>
      </c>
      <c r="H21">
        <v>2</v>
      </c>
      <c r="I21" t="s">
        <v>18</v>
      </c>
      <c r="J21" t="s">
        <v>1216</v>
      </c>
      <c r="K21">
        <v>0.1</v>
      </c>
      <c r="L21">
        <v>175.1</v>
      </c>
      <c r="M21">
        <v>1751</v>
      </c>
      <c r="N21">
        <v>1575.9</v>
      </c>
      <c r="O21" t="s">
        <v>16</v>
      </c>
    </row>
    <row r="22" spans="1:15" x14ac:dyDescent="0.25">
      <c r="A22">
        <v>1460</v>
      </c>
      <c r="B22">
        <v>3227</v>
      </c>
      <c r="C22" t="s">
        <v>416</v>
      </c>
      <c r="D22" t="s">
        <v>417</v>
      </c>
      <c r="E22" t="s">
        <v>1203</v>
      </c>
      <c r="F22" s="1">
        <v>45298</v>
      </c>
      <c r="G22" s="34" t="str">
        <f t="shared" si="0"/>
        <v>Jan</v>
      </c>
      <c r="H22">
        <v>1</v>
      </c>
      <c r="I22" t="s">
        <v>1242</v>
      </c>
      <c r="J22" t="s">
        <v>1222</v>
      </c>
      <c r="K22">
        <v>0.3</v>
      </c>
      <c r="L22">
        <v>290.39999999999998</v>
      </c>
      <c r="M22">
        <v>968</v>
      </c>
      <c r="N22">
        <v>677.6</v>
      </c>
      <c r="O22" t="s">
        <v>16</v>
      </c>
    </row>
    <row r="23" spans="1:15" x14ac:dyDescent="0.25">
      <c r="A23">
        <v>1699</v>
      </c>
      <c r="B23">
        <v>3467</v>
      </c>
      <c r="C23" t="s">
        <v>724</v>
      </c>
      <c r="D23" t="s">
        <v>725</v>
      </c>
      <c r="E23" t="s">
        <v>1248</v>
      </c>
      <c r="F23" s="1">
        <v>45298</v>
      </c>
      <c r="G23" s="34" t="str">
        <f t="shared" si="0"/>
        <v>Jan</v>
      </c>
      <c r="H23">
        <v>1</v>
      </c>
      <c r="I23" t="s">
        <v>14</v>
      </c>
      <c r="J23" t="s">
        <v>1216</v>
      </c>
      <c r="K23">
        <v>0.25</v>
      </c>
      <c r="L23">
        <v>110.5</v>
      </c>
      <c r="M23">
        <v>442</v>
      </c>
      <c r="N23">
        <v>331.5</v>
      </c>
      <c r="O23" t="s">
        <v>13</v>
      </c>
    </row>
    <row r="24" spans="1:15" x14ac:dyDescent="0.25">
      <c r="A24">
        <v>1876</v>
      </c>
      <c r="B24">
        <v>3644</v>
      </c>
      <c r="C24" t="s">
        <v>457</v>
      </c>
      <c r="D24" t="s">
        <v>344</v>
      </c>
      <c r="E24" t="s">
        <v>1207</v>
      </c>
      <c r="F24" s="1">
        <v>45298</v>
      </c>
      <c r="G24" s="34" t="str">
        <f t="shared" si="0"/>
        <v>Jan</v>
      </c>
      <c r="H24">
        <v>1</v>
      </c>
      <c r="I24" t="s">
        <v>1242</v>
      </c>
      <c r="J24" t="s">
        <v>1233</v>
      </c>
      <c r="K24">
        <v>0.2</v>
      </c>
      <c r="L24">
        <v>216.6</v>
      </c>
      <c r="M24">
        <v>1083</v>
      </c>
      <c r="N24">
        <v>866.4</v>
      </c>
      <c r="O24" t="s">
        <v>13</v>
      </c>
    </row>
    <row r="25" spans="1:15" x14ac:dyDescent="0.25">
      <c r="A25">
        <v>1897</v>
      </c>
      <c r="B25">
        <v>3665</v>
      </c>
      <c r="C25" t="s">
        <v>482</v>
      </c>
      <c r="D25" t="s">
        <v>816</v>
      </c>
      <c r="E25" t="s">
        <v>1249</v>
      </c>
      <c r="F25" s="1">
        <v>45299</v>
      </c>
      <c r="G25" s="34" t="str">
        <f t="shared" si="0"/>
        <v>Jan</v>
      </c>
      <c r="H25">
        <v>3</v>
      </c>
      <c r="I25" t="s">
        <v>18</v>
      </c>
      <c r="J25" t="s">
        <v>1214</v>
      </c>
      <c r="K25">
        <v>0.25</v>
      </c>
      <c r="L25">
        <v>181.5</v>
      </c>
      <c r="M25">
        <v>726</v>
      </c>
      <c r="N25">
        <v>544.5</v>
      </c>
      <c r="O25" t="s">
        <v>15</v>
      </c>
    </row>
    <row r="26" spans="1:15" x14ac:dyDescent="0.25">
      <c r="A26">
        <v>2059</v>
      </c>
      <c r="B26">
        <v>3827</v>
      </c>
      <c r="C26" t="s">
        <v>854</v>
      </c>
      <c r="D26" t="s">
        <v>1064</v>
      </c>
      <c r="E26" t="s">
        <v>1207</v>
      </c>
      <c r="F26" s="1">
        <v>45299</v>
      </c>
      <c r="G26" s="34" t="str">
        <f t="shared" si="0"/>
        <v>Jan</v>
      </c>
      <c r="H26">
        <v>3</v>
      </c>
      <c r="I26" t="s">
        <v>14</v>
      </c>
      <c r="J26" t="s">
        <v>1218</v>
      </c>
      <c r="K26">
        <v>0.2</v>
      </c>
      <c r="L26">
        <v>217</v>
      </c>
      <c r="M26">
        <v>1085</v>
      </c>
      <c r="N26">
        <v>868</v>
      </c>
      <c r="O26" t="s">
        <v>19</v>
      </c>
    </row>
    <row r="27" spans="1:15" x14ac:dyDescent="0.25">
      <c r="A27">
        <v>1704</v>
      </c>
      <c r="B27">
        <v>3472</v>
      </c>
      <c r="C27" t="s">
        <v>730</v>
      </c>
      <c r="D27" t="s">
        <v>716</v>
      </c>
      <c r="E27" t="s">
        <v>1207</v>
      </c>
      <c r="F27" s="1">
        <v>45300</v>
      </c>
      <c r="G27" s="34" t="str">
        <f t="shared" si="0"/>
        <v>Jan</v>
      </c>
      <c r="H27">
        <v>3</v>
      </c>
      <c r="I27" t="s">
        <v>18</v>
      </c>
      <c r="J27" t="s">
        <v>1218</v>
      </c>
      <c r="K27">
        <v>0.2</v>
      </c>
      <c r="L27">
        <v>154.6</v>
      </c>
      <c r="M27">
        <v>773</v>
      </c>
      <c r="N27">
        <v>618.4</v>
      </c>
      <c r="O27" t="s">
        <v>1200</v>
      </c>
    </row>
    <row r="28" spans="1:15" x14ac:dyDescent="0.25">
      <c r="A28">
        <v>1731</v>
      </c>
      <c r="B28">
        <v>3499</v>
      </c>
      <c r="C28" t="s">
        <v>627</v>
      </c>
      <c r="D28" t="s">
        <v>758</v>
      </c>
      <c r="E28" t="s">
        <v>1249</v>
      </c>
      <c r="F28" s="1">
        <v>45300</v>
      </c>
      <c r="G28" s="34" t="str">
        <f t="shared" si="0"/>
        <v>Jan</v>
      </c>
      <c r="H28">
        <v>2</v>
      </c>
      <c r="I28" t="s">
        <v>14</v>
      </c>
      <c r="J28" t="s">
        <v>1228</v>
      </c>
      <c r="K28">
        <v>0.25</v>
      </c>
      <c r="L28">
        <v>345.25</v>
      </c>
      <c r="M28">
        <v>1381</v>
      </c>
      <c r="N28">
        <v>1035.75</v>
      </c>
      <c r="O28" t="s">
        <v>15</v>
      </c>
    </row>
    <row r="29" spans="1:15" x14ac:dyDescent="0.25">
      <c r="A29">
        <v>2041</v>
      </c>
      <c r="B29">
        <v>3809</v>
      </c>
      <c r="C29" t="s">
        <v>1045</v>
      </c>
      <c r="D29" t="s">
        <v>1046</v>
      </c>
      <c r="E29" t="s">
        <v>1208</v>
      </c>
      <c r="F29" s="1">
        <v>45300</v>
      </c>
      <c r="G29" s="34" t="str">
        <f t="shared" si="0"/>
        <v>Jan</v>
      </c>
      <c r="H29">
        <v>1</v>
      </c>
      <c r="I29" t="s">
        <v>14</v>
      </c>
      <c r="J29" t="s">
        <v>1224</v>
      </c>
      <c r="K29">
        <v>0.3</v>
      </c>
      <c r="L29">
        <v>414.3</v>
      </c>
      <c r="M29">
        <v>1381</v>
      </c>
      <c r="N29">
        <v>966.7</v>
      </c>
      <c r="O29" t="s">
        <v>19</v>
      </c>
    </row>
    <row r="30" spans="1:15" x14ac:dyDescent="0.25">
      <c r="A30">
        <v>2231</v>
      </c>
      <c r="B30">
        <v>4000</v>
      </c>
      <c r="C30" t="s">
        <v>1199</v>
      </c>
      <c r="D30" t="s">
        <v>993</v>
      </c>
      <c r="E30" t="s">
        <v>1207</v>
      </c>
      <c r="F30" s="1">
        <v>45300</v>
      </c>
      <c r="G30" s="34" t="str">
        <f t="shared" si="0"/>
        <v>Jan</v>
      </c>
      <c r="H30">
        <v>2</v>
      </c>
      <c r="I30" t="s">
        <v>14</v>
      </c>
      <c r="J30" t="s">
        <v>1224</v>
      </c>
      <c r="K30">
        <v>0.2</v>
      </c>
      <c r="L30">
        <v>9.8000000000000007</v>
      </c>
      <c r="M30">
        <v>49</v>
      </c>
      <c r="N30">
        <v>39.200000000000003</v>
      </c>
      <c r="O30" t="s">
        <v>16</v>
      </c>
    </row>
    <row r="31" spans="1:15" x14ac:dyDescent="0.25">
      <c r="A31">
        <v>1260</v>
      </c>
      <c r="B31">
        <v>3027</v>
      </c>
      <c r="C31" t="s">
        <v>78</v>
      </c>
      <c r="D31" t="s">
        <v>79</v>
      </c>
      <c r="E31" t="s">
        <v>1249</v>
      </c>
      <c r="F31" s="1">
        <v>45301</v>
      </c>
      <c r="G31" s="34" t="str">
        <f t="shared" si="0"/>
        <v>Jan</v>
      </c>
      <c r="H31">
        <v>2</v>
      </c>
      <c r="I31" t="s">
        <v>14</v>
      </c>
      <c r="J31" t="s">
        <v>1222</v>
      </c>
      <c r="K31">
        <v>0.25</v>
      </c>
      <c r="L31">
        <v>385</v>
      </c>
      <c r="M31">
        <v>1540</v>
      </c>
      <c r="N31">
        <v>1155</v>
      </c>
      <c r="O31" t="s">
        <v>16</v>
      </c>
    </row>
    <row r="32" spans="1:15" x14ac:dyDescent="0.25">
      <c r="A32">
        <v>1554</v>
      </c>
      <c r="B32">
        <v>3321</v>
      </c>
      <c r="C32" t="s">
        <v>214</v>
      </c>
      <c r="D32" t="s">
        <v>542</v>
      </c>
      <c r="E32" t="s">
        <v>1207</v>
      </c>
      <c r="F32" s="1">
        <v>45301</v>
      </c>
      <c r="G32" s="34" t="str">
        <f t="shared" si="0"/>
        <v>Jan</v>
      </c>
      <c r="H32">
        <v>3</v>
      </c>
      <c r="I32" t="s">
        <v>14</v>
      </c>
      <c r="J32" t="s">
        <v>1222</v>
      </c>
      <c r="K32">
        <v>0.2</v>
      </c>
      <c r="L32">
        <v>42.4</v>
      </c>
      <c r="M32">
        <v>212</v>
      </c>
      <c r="N32">
        <v>169.6</v>
      </c>
      <c r="O32" t="s">
        <v>15</v>
      </c>
    </row>
    <row r="33" spans="1:15" x14ac:dyDescent="0.25">
      <c r="A33">
        <v>1972</v>
      </c>
      <c r="B33">
        <v>3740</v>
      </c>
      <c r="C33" t="s">
        <v>782</v>
      </c>
      <c r="D33" t="s">
        <v>589</v>
      </c>
      <c r="E33" t="s">
        <v>1248</v>
      </c>
      <c r="F33" s="1">
        <v>45303</v>
      </c>
      <c r="G33" s="34" t="str">
        <f t="shared" si="0"/>
        <v>Jan</v>
      </c>
      <c r="H33">
        <v>2</v>
      </c>
      <c r="I33" t="s">
        <v>14</v>
      </c>
      <c r="J33" t="s">
        <v>1228</v>
      </c>
      <c r="K33">
        <v>0.25</v>
      </c>
      <c r="L33">
        <v>48.75</v>
      </c>
      <c r="M33">
        <v>195</v>
      </c>
      <c r="N33">
        <v>146.25</v>
      </c>
      <c r="O33" t="s">
        <v>1200</v>
      </c>
    </row>
    <row r="34" spans="1:15" x14ac:dyDescent="0.25">
      <c r="A34">
        <v>1348</v>
      </c>
      <c r="B34">
        <v>3115</v>
      </c>
      <c r="C34" t="s">
        <v>195</v>
      </c>
      <c r="D34" t="s">
        <v>236</v>
      </c>
      <c r="E34" t="s">
        <v>1208</v>
      </c>
      <c r="F34" s="1">
        <v>45305</v>
      </c>
      <c r="G34" s="34" t="str">
        <f t="shared" si="0"/>
        <v>Jan</v>
      </c>
      <c r="H34">
        <v>3</v>
      </c>
      <c r="I34" t="s">
        <v>1242</v>
      </c>
      <c r="J34" t="s">
        <v>1224</v>
      </c>
      <c r="K34">
        <v>0.3</v>
      </c>
      <c r="L34">
        <v>77.7</v>
      </c>
      <c r="M34">
        <v>259</v>
      </c>
      <c r="N34">
        <v>181.3</v>
      </c>
      <c r="O34" t="s">
        <v>1200</v>
      </c>
    </row>
    <row r="35" spans="1:15" x14ac:dyDescent="0.25">
      <c r="A35">
        <v>2209</v>
      </c>
      <c r="B35">
        <v>3978</v>
      </c>
      <c r="C35" t="s">
        <v>439</v>
      </c>
      <c r="D35" t="s">
        <v>1185</v>
      </c>
      <c r="E35" t="s">
        <v>1207</v>
      </c>
      <c r="F35" s="1">
        <v>45305</v>
      </c>
      <c r="G35" s="34" t="str">
        <f t="shared" si="0"/>
        <v>Jan</v>
      </c>
      <c r="H35">
        <v>2</v>
      </c>
      <c r="I35" t="s">
        <v>14</v>
      </c>
      <c r="J35" t="s">
        <v>1218</v>
      </c>
      <c r="K35">
        <v>0.2</v>
      </c>
      <c r="L35">
        <v>82</v>
      </c>
      <c r="M35">
        <v>410</v>
      </c>
      <c r="N35">
        <v>328</v>
      </c>
      <c r="O35" t="s">
        <v>15</v>
      </c>
    </row>
    <row r="36" spans="1:15" x14ac:dyDescent="0.25">
      <c r="A36">
        <v>1493</v>
      </c>
      <c r="B36">
        <v>3260</v>
      </c>
      <c r="C36" t="s">
        <v>467</v>
      </c>
      <c r="D36" t="s">
        <v>183</v>
      </c>
      <c r="E36" t="s">
        <v>1249</v>
      </c>
      <c r="F36" s="1">
        <v>45306</v>
      </c>
      <c r="G36" s="34" t="str">
        <f t="shared" si="0"/>
        <v>Jan</v>
      </c>
      <c r="H36">
        <v>2</v>
      </c>
      <c r="I36" t="s">
        <v>14</v>
      </c>
      <c r="J36" t="s">
        <v>1220</v>
      </c>
      <c r="K36">
        <v>0.25</v>
      </c>
      <c r="L36">
        <v>137.75</v>
      </c>
      <c r="M36">
        <v>551</v>
      </c>
      <c r="N36">
        <v>413.25</v>
      </c>
      <c r="O36" t="s">
        <v>1200</v>
      </c>
    </row>
    <row r="37" spans="1:15" x14ac:dyDescent="0.25">
      <c r="A37">
        <v>1557</v>
      </c>
      <c r="B37">
        <v>3324</v>
      </c>
      <c r="C37" t="s">
        <v>547</v>
      </c>
      <c r="D37" t="s">
        <v>548</v>
      </c>
      <c r="E37" t="s">
        <v>1249</v>
      </c>
      <c r="F37" s="1">
        <v>45306</v>
      </c>
      <c r="G37" s="34" t="str">
        <f t="shared" si="0"/>
        <v>Jan</v>
      </c>
      <c r="H37">
        <v>1</v>
      </c>
      <c r="I37" t="s">
        <v>1243</v>
      </c>
      <c r="J37" t="s">
        <v>1224</v>
      </c>
      <c r="K37">
        <v>0.25</v>
      </c>
      <c r="L37">
        <v>107.75</v>
      </c>
      <c r="M37">
        <v>431</v>
      </c>
      <c r="N37">
        <v>323.25</v>
      </c>
      <c r="O37" t="s">
        <v>13</v>
      </c>
    </row>
    <row r="38" spans="1:15" x14ac:dyDescent="0.25">
      <c r="A38">
        <v>1862</v>
      </c>
      <c r="B38">
        <v>3630</v>
      </c>
      <c r="C38" t="s">
        <v>891</v>
      </c>
      <c r="D38" t="s">
        <v>816</v>
      </c>
      <c r="E38" t="s">
        <v>1249</v>
      </c>
      <c r="F38" s="1">
        <v>45306</v>
      </c>
      <c r="G38" s="34" t="str">
        <f t="shared" si="0"/>
        <v>Jan</v>
      </c>
      <c r="H38">
        <v>1</v>
      </c>
      <c r="I38" t="s">
        <v>14</v>
      </c>
      <c r="J38" t="s">
        <v>1218</v>
      </c>
      <c r="K38">
        <v>0.25</v>
      </c>
      <c r="L38">
        <v>279</v>
      </c>
      <c r="M38">
        <v>1116</v>
      </c>
      <c r="N38">
        <v>837</v>
      </c>
      <c r="O38" t="s">
        <v>16</v>
      </c>
    </row>
    <row r="39" spans="1:15" x14ac:dyDescent="0.25">
      <c r="A39">
        <v>1509</v>
      </c>
      <c r="B39">
        <v>3276</v>
      </c>
      <c r="C39" t="s">
        <v>487</v>
      </c>
      <c r="D39" t="s">
        <v>47</v>
      </c>
      <c r="E39" t="s">
        <v>1208</v>
      </c>
      <c r="F39" s="1">
        <v>45307</v>
      </c>
      <c r="G39" s="34" t="str">
        <f t="shared" si="0"/>
        <v>Jan</v>
      </c>
      <c r="H39">
        <v>1</v>
      </c>
      <c r="I39" t="s">
        <v>14</v>
      </c>
      <c r="J39" t="s">
        <v>1214</v>
      </c>
      <c r="K39">
        <v>0.3</v>
      </c>
      <c r="L39">
        <v>352.5</v>
      </c>
      <c r="M39">
        <v>1175</v>
      </c>
      <c r="N39">
        <v>822.5</v>
      </c>
      <c r="O39" t="s">
        <v>1200</v>
      </c>
    </row>
    <row r="40" spans="1:15" x14ac:dyDescent="0.25">
      <c r="A40">
        <v>1887</v>
      </c>
      <c r="B40">
        <v>3655</v>
      </c>
      <c r="C40" t="s">
        <v>916</v>
      </c>
      <c r="D40" t="s">
        <v>917</v>
      </c>
      <c r="E40" t="s">
        <v>1208</v>
      </c>
      <c r="F40" s="1">
        <v>45307</v>
      </c>
      <c r="G40" s="34" t="str">
        <f t="shared" si="0"/>
        <v>Jan</v>
      </c>
      <c r="H40">
        <v>1</v>
      </c>
      <c r="I40" t="s">
        <v>14</v>
      </c>
      <c r="J40" t="s">
        <v>1228</v>
      </c>
      <c r="K40">
        <v>0.3</v>
      </c>
      <c r="L40">
        <v>233.7</v>
      </c>
      <c r="M40">
        <v>779</v>
      </c>
      <c r="N40">
        <v>545.29999999999995</v>
      </c>
      <c r="O40" t="s">
        <v>19</v>
      </c>
    </row>
    <row r="41" spans="1:15" x14ac:dyDescent="0.25">
      <c r="A41">
        <v>2213</v>
      </c>
      <c r="B41">
        <v>3982</v>
      </c>
      <c r="C41" t="s">
        <v>1186</v>
      </c>
      <c r="D41" t="s">
        <v>405</v>
      </c>
      <c r="E41" t="s">
        <v>1249</v>
      </c>
      <c r="F41" s="1">
        <v>45307</v>
      </c>
      <c r="G41" s="34" t="str">
        <f t="shared" si="0"/>
        <v>Jan</v>
      </c>
      <c r="H41">
        <v>2</v>
      </c>
      <c r="I41" t="s">
        <v>18</v>
      </c>
      <c r="J41" t="s">
        <v>1233</v>
      </c>
      <c r="K41">
        <v>0.25</v>
      </c>
      <c r="L41">
        <v>405.5</v>
      </c>
      <c r="M41">
        <v>1622</v>
      </c>
      <c r="N41">
        <v>1216.5</v>
      </c>
      <c r="O41" t="s">
        <v>15</v>
      </c>
    </row>
    <row r="42" spans="1:15" x14ac:dyDescent="0.25">
      <c r="A42">
        <v>1253</v>
      </c>
      <c r="B42">
        <v>3020</v>
      </c>
      <c r="C42" t="s">
        <v>64</v>
      </c>
      <c r="D42" t="s">
        <v>65</v>
      </c>
      <c r="E42" t="s">
        <v>1208</v>
      </c>
      <c r="F42" s="1">
        <v>45308</v>
      </c>
      <c r="G42" s="34" t="str">
        <f t="shared" si="0"/>
        <v>Jan</v>
      </c>
      <c r="H42">
        <v>3</v>
      </c>
      <c r="I42" t="s">
        <v>14</v>
      </c>
      <c r="J42" t="s">
        <v>1224</v>
      </c>
      <c r="K42">
        <v>0.3</v>
      </c>
      <c r="L42">
        <v>38.700000000000003</v>
      </c>
      <c r="M42">
        <v>129</v>
      </c>
      <c r="N42">
        <v>90.3</v>
      </c>
      <c r="O42" t="s">
        <v>13</v>
      </c>
    </row>
    <row r="43" spans="1:15" x14ac:dyDescent="0.25">
      <c r="A43">
        <v>2080</v>
      </c>
      <c r="B43">
        <v>3848</v>
      </c>
      <c r="C43" t="s">
        <v>457</v>
      </c>
      <c r="D43" t="s">
        <v>1082</v>
      </c>
      <c r="E43" t="s">
        <v>1248</v>
      </c>
      <c r="F43" s="1">
        <v>45308</v>
      </c>
      <c r="G43" s="34" t="str">
        <f t="shared" si="0"/>
        <v>Jan</v>
      </c>
      <c r="H43">
        <v>3</v>
      </c>
      <c r="I43" t="s">
        <v>1242</v>
      </c>
      <c r="J43" t="s">
        <v>1220</v>
      </c>
      <c r="K43">
        <v>0.25</v>
      </c>
      <c r="L43">
        <v>175.25</v>
      </c>
      <c r="M43">
        <v>701</v>
      </c>
      <c r="N43">
        <v>525.75</v>
      </c>
      <c r="O43" t="s">
        <v>19</v>
      </c>
    </row>
    <row r="44" spans="1:15" x14ac:dyDescent="0.25">
      <c r="A44">
        <v>1380</v>
      </c>
      <c r="B44">
        <v>3147</v>
      </c>
      <c r="C44" t="s">
        <v>47</v>
      </c>
      <c r="D44" t="s">
        <v>292</v>
      </c>
      <c r="E44" t="s">
        <v>1205</v>
      </c>
      <c r="F44" s="1">
        <v>45309</v>
      </c>
      <c r="G44" s="34" t="str">
        <f t="shared" si="0"/>
        <v>Jan</v>
      </c>
      <c r="H44">
        <v>1</v>
      </c>
      <c r="I44" t="s">
        <v>1242</v>
      </c>
      <c r="J44" t="s">
        <v>1220</v>
      </c>
      <c r="K44">
        <v>0.1</v>
      </c>
      <c r="L44">
        <v>110.5</v>
      </c>
      <c r="M44">
        <v>1105</v>
      </c>
      <c r="N44">
        <v>994.5</v>
      </c>
      <c r="O44" t="s">
        <v>19</v>
      </c>
    </row>
    <row r="45" spans="1:15" x14ac:dyDescent="0.25">
      <c r="A45">
        <v>1365</v>
      </c>
      <c r="B45">
        <v>3132</v>
      </c>
      <c r="C45" t="s">
        <v>265</v>
      </c>
      <c r="D45" t="s">
        <v>266</v>
      </c>
      <c r="E45" t="s">
        <v>1248</v>
      </c>
      <c r="F45" s="1">
        <v>45310</v>
      </c>
      <c r="G45" s="34" t="str">
        <f t="shared" si="0"/>
        <v>Jan</v>
      </c>
      <c r="H45">
        <v>1</v>
      </c>
      <c r="I45" t="s">
        <v>1242</v>
      </c>
      <c r="J45" t="s">
        <v>1216</v>
      </c>
      <c r="K45">
        <v>0.25</v>
      </c>
      <c r="L45">
        <v>341.5</v>
      </c>
      <c r="M45">
        <v>1366</v>
      </c>
      <c r="N45">
        <v>1024.5</v>
      </c>
      <c r="O45" t="s">
        <v>15</v>
      </c>
    </row>
    <row r="46" spans="1:15" x14ac:dyDescent="0.25">
      <c r="A46">
        <v>1389</v>
      </c>
      <c r="B46">
        <v>3156</v>
      </c>
      <c r="C46" t="s">
        <v>305</v>
      </c>
      <c r="D46" t="s">
        <v>306</v>
      </c>
      <c r="E46" t="s">
        <v>1203</v>
      </c>
      <c r="F46" s="1">
        <v>45310</v>
      </c>
      <c r="G46" s="34" t="str">
        <f t="shared" si="0"/>
        <v>Jan</v>
      </c>
      <c r="H46">
        <v>2</v>
      </c>
      <c r="I46" t="s">
        <v>1242</v>
      </c>
      <c r="J46" t="s">
        <v>1214</v>
      </c>
      <c r="K46">
        <v>0.3</v>
      </c>
      <c r="L46">
        <v>210.6</v>
      </c>
      <c r="M46">
        <v>702</v>
      </c>
      <c r="N46">
        <v>491.4</v>
      </c>
      <c r="O46" t="s">
        <v>19</v>
      </c>
    </row>
    <row r="47" spans="1:15" x14ac:dyDescent="0.25">
      <c r="A47">
        <v>1524</v>
      </c>
      <c r="B47">
        <v>3291</v>
      </c>
      <c r="C47" t="s">
        <v>506</v>
      </c>
      <c r="D47" t="s">
        <v>499</v>
      </c>
      <c r="E47" t="s">
        <v>1205</v>
      </c>
      <c r="F47" s="1">
        <v>45310</v>
      </c>
      <c r="G47" s="34" t="str">
        <f t="shared" si="0"/>
        <v>Jan</v>
      </c>
      <c r="H47">
        <v>2</v>
      </c>
      <c r="I47" t="s">
        <v>14</v>
      </c>
      <c r="J47" t="s">
        <v>1233</v>
      </c>
      <c r="K47">
        <v>0.1</v>
      </c>
      <c r="L47">
        <v>169.3</v>
      </c>
      <c r="M47">
        <v>1693</v>
      </c>
      <c r="N47">
        <v>1523.7</v>
      </c>
      <c r="O47" t="s">
        <v>19</v>
      </c>
    </row>
    <row r="48" spans="1:15" x14ac:dyDescent="0.25">
      <c r="A48">
        <v>1743</v>
      </c>
      <c r="B48">
        <v>3511</v>
      </c>
      <c r="C48" t="s">
        <v>167</v>
      </c>
      <c r="D48" t="s">
        <v>769</v>
      </c>
      <c r="E48" t="s">
        <v>1205</v>
      </c>
      <c r="F48" s="1">
        <v>45311</v>
      </c>
      <c r="G48" s="34" t="str">
        <f t="shared" si="0"/>
        <v>Jan</v>
      </c>
      <c r="H48">
        <v>1</v>
      </c>
      <c r="I48" t="s">
        <v>1242</v>
      </c>
      <c r="J48" t="s">
        <v>1224</v>
      </c>
      <c r="K48">
        <v>0.1</v>
      </c>
      <c r="L48">
        <v>167.4</v>
      </c>
      <c r="M48">
        <v>1674</v>
      </c>
      <c r="N48">
        <v>1506.6</v>
      </c>
      <c r="O48" t="s">
        <v>19</v>
      </c>
    </row>
    <row r="49" spans="1:15" x14ac:dyDescent="0.25">
      <c r="A49">
        <v>1896</v>
      </c>
      <c r="B49">
        <v>3664</v>
      </c>
      <c r="C49" t="s">
        <v>928</v>
      </c>
      <c r="D49" t="s">
        <v>929</v>
      </c>
      <c r="E49" t="s">
        <v>1207</v>
      </c>
      <c r="F49" s="1">
        <v>45311</v>
      </c>
      <c r="G49" s="34" t="str">
        <f t="shared" si="0"/>
        <v>Jan</v>
      </c>
      <c r="H49">
        <v>3</v>
      </c>
      <c r="I49" t="s">
        <v>1242</v>
      </c>
      <c r="J49" t="s">
        <v>1220</v>
      </c>
      <c r="K49">
        <v>0.2</v>
      </c>
      <c r="L49">
        <v>359.2</v>
      </c>
      <c r="M49">
        <v>1796</v>
      </c>
      <c r="N49">
        <v>1436.8</v>
      </c>
      <c r="O49" t="s">
        <v>13</v>
      </c>
    </row>
    <row r="50" spans="1:15" x14ac:dyDescent="0.25">
      <c r="A50">
        <v>2092</v>
      </c>
      <c r="B50">
        <v>3861</v>
      </c>
      <c r="C50" t="s">
        <v>1094</v>
      </c>
      <c r="D50" t="s">
        <v>1095</v>
      </c>
      <c r="E50" t="s">
        <v>1205</v>
      </c>
      <c r="F50" s="1">
        <v>45312</v>
      </c>
      <c r="G50" s="34" t="str">
        <f t="shared" si="0"/>
        <v>Jan</v>
      </c>
      <c r="H50">
        <v>3</v>
      </c>
      <c r="I50" t="s">
        <v>14</v>
      </c>
      <c r="J50" t="s">
        <v>1216</v>
      </c>
      <c r="K50">
        <v>0.1</v>
      </c>
      <c r="L50">
        <v>159.30000000000001</v>
      </c>
      <c r="M50">
        <v>1593</v>
      </c>
      <c r="N50">
        <v>1433.7</v>
      </c>
      <c r="O50" t="s">
        <v>13</v>
      </c>
    </row>
    <row r="51" spans="1:15" x14ac:dyDescent="0.25">
      <c r="A51">
        <v>1298</v>
      </c>
      <c r="B51">
        <v>3065</v>
      </c>
      <c r="C51" t="s">
        <v>149</v>
      </c>
      <c r="D51" t="s">
        <v>150</v>
      </c>
      <c r="E51" t="s">
        <v>1249</v>
      </c>
      <c r="F51" s="1">
        <v>45313</v>
      </c>
      <c r="G51" s="34" t="str">
        <f t="shared" si="0"/>
        <v>Jan</v>
      </c>
      <c r="H51">
        <v>3</v>
      </c>
      <c r="I51" t="s">
        <v>1242</v>
      </c>
      <c r="J51" t="s">
        <v>1228</v>
      </c>
      <c r="K51">
        <v>0.25</v>
      </c>
      <c r="L51">
        <v>243.5</v>
      </c>
      <c r="M51">
        <v>974</v>
      </c>
      <c r="N51">
        <v>730.5</v>
      </c>
      <c r="O51" t="s">
        <v>16</v>
      </c>
    </row>
    <row r="52" spans="1:15" x14ac:dyDescent="0.25">
      <c r="A52">
        <v>1307</v>
      </c>
      <c r="B52">
        <v>3074</v>
      </c>
      <c r="C52" t="s">
        <v>165</v>
      </c>
      <c r="D52" t="s">
        <v>166</v>
      </c>
      <c r="E52" t="s">
        <v>1205</v>
      </c>
      <c r="F52" s="1">
        <v>45313</v>
      </c>
      <c r="G52" s="34" t="str">
        <f t="shared" si="0"/>
        <v>Jan</v>
      </c>
      <c r="H52">
        <v>2</v>
      </c>
      <c r="I52" t="s">
        <v>1243</v>
      </c>
      <c r="J52" t="s">
        <v>1224</v>
      </c>
      <c r="K52">
        <v>0.1</v>
      </c>
      <c r="L52">
        <v>59</v>
      </c>
      <c r="M52">
        <v>590</v>
      </c>
      <c r="N52">
        <v>531</v>
      </c>
      <c r="O52" t="s">
        <v>15</v>
      </c>
    </row>
    <row r="53" spans="1:15" x14ac:dyDescent="0.25">
      <c r="A53">
        <v>1985</v>
      </c>
      <c r="B53">
        <v>3753</v>
      </c>
      <c r="C53" t="s">
        <v>534</v>
      </c>
      <c r="D53" t="s">
        <v>932</v>
      </c>
      <c r="E53" t="s">
        <v>1207</v>
      </c>
      <c r="F53" s="1">
        <v>45313</v>
      </c>
      <c r="G53" s="34" t="str">
        <f t="shared" si="0"/>
        <v>Jan</v>
      </c>
      <c r="H53">
        <v>2</v>
      </c>
      <c r="I53" t="s">
        <v>14</v>
      </c>
      <c r="J53" t="s">
        <v>1214</v>
      </c>
      <c r="K53">
        <v>0.2</v>
      </c>
      <c r="L53">
        <v>319.2</v>
      </c>
      <c r="M53">
        <v>1596</v>
      </c>
      <c r="N53">
        <v>1276.8</v>
      </c>
      <c r="O53" t="s">
        <v>16</v>
      </c>
    </row>
    <row r="54" spans="1:15" x14ac:dyDescent="0.25">
      <c r="A54">
        <v>2050</v>
      </c>
      <c r="B54">
        <v>3818</v>
      </c>
      <c r="C54" t="s">
        <v>1055</v>
      </c>
      <c r="D54" t="s">
        <v>1056</v>
      </c>
      <c r="E54" t="s">
        <v>1249</v>
      </c>
      <c r="F54" s="1">
        <v>45313</v>
      </c>
      <c r="G54" s="34" t="str">
        <f t="shared" si="0"/>
        <v>Jan</v>
      </c>
      <c r="H54">
        <v>1</v>
      </c>
      <c r="I54" t="s">
        <v>1243</v>
      </c>
      <c r="J54" t="s">
        <v>1222</v>
      </c>
      <c r="K54">
        <v>0.25</v>
      </c>
      <c r="L54">
        <v>233.25</v>
      </c>
      <c r="M54">
        <v>933</v>
      </c>
      <c r="N54">
        <v>699.75</v>
      </c>
      <c r="O54" t="s">
        <v>13</v>
      </c>
    </row>
    <row r="55" spans="1:15" x14ac:dyDescent="0.25">
      <c r="A55">
        <v>2119</v>
      </c>
      <c r="B55">
        <v>3888</v>
      </c>
      <c r="C55" t="s">
        <v>636</v>
      </c>
      <c r="D55" t="s">
        <v>207</v>
      </c>
      <c r="E55" t="s">
        <v>1207</v>
      </c>
      <c r="F55" s="1">
        <v>45313</v>
      </c>
      <c r="G55" s="34" t="str">
        <f t="shared" si="0"/>
        <v>Jan</v>
      </c>
      <c r="H55">
        <v>1</v>
      </c>
      <c r="I55" t="s">
        <v>1243</v>
      </c>
      <c r="J55" t="s">
        <v>1218</v>
      </c>
      <c r="K55">
        <v>0.2</v>
      </c>
      <c r="L55">
        <v>95.8</v>
      </c>
      <c r="M55">
        <v>479</v>
      </c>
      <c r="N55">
        <v>383.2</v>
      </c>
      <c r="O55" t="s">
        <v>1200</v>
      </c>
    </row>
    <row r="56" spans="1:15" x14ac:dyDescent="0.25">
      <c r="A56">
        <v>1320</v>
      </c>
      <c r="B56">
        <v>3087</v>
      </c>
      <c r="C56" t="s">
        <v>188</v>
      </c>
      <c r="D56" t="s">
        <v>189</v>
      </c>
      <c r="E56" t="s">
        <v>1203</v>
      </c>
      <c r="F56" s="1">
        <v>45314</v>
      </c>
      <c r="G56" s="34" t="str">
        <f t="shared" si="0"/>
        <v>Jan</v>
      </c>
      <c r="H56">
        <v>2</v>
      </c>
      <c r="I56" t="s">
        <v>1243</v>
      </c>
      <c r="J56" t="s">
        <v>1233</v>
      </c>
      <c r="K56">
        <v>0.3</v>
      </c>
      <c r="L56">
        <v>356.1</v>
      </c>
      <c r="M56">
        <v>1187</v>
      </c>
      <c r="N56">
        <v>830.9</v>
      </c>
      <c r="O56" t="s">
        <v>15</v>
      </c>
    </row>
    <row r="57" spans="1:15" x14ac:dyDescent="0.25">
      <c r="A57">
        <v>1441</v>
      </c>
      <c r="B57">
        <v>3208</v>
      </c>
      <c r="C57" t="s">
        <v>385</v>
      </c>
      <c r="D57" t="s">
        <v>386</v>
      </c>
      <c r="E57" t="s">
        <v>1205</v>
      </c>
      <c r="F57" s="1">
        <v>45314</v>
      </c>
      <c r="G57" s="34" t="str">
        <f t="shared" si="0"/>
        <v>Jan</v>
      </c>
      <c r="H57">
        <v>1</v>
      </c>
      <c r="I57" t="s">
        <v>1242</v>
      </c>
      <c r="J57" t="s">
        <v>1222</v>
      </c>
      <c r="K57">
        <v>0.1</v>
      </c>
      <c r="L57">
        <v>122.8</v>
      </c>
      <c r="M57">
        <v>1228</v>
      </c>
      <c r="N57">
        <v>1105.2</v>
      </c>
      <c r="O57" t="s">
        <v>19</v>
      </c>
    </row>
    <row r="58" spans="1:15" x14ac:dyDescent="0.25">
      <c r="A58">
        <v>1792</v>
      </c>
      <c r="B58">
        <v>3560</v>
      </c>
      <c r="C58" t="s">
        <v>819</v>
      </c>
      <c r="D58" t="s">
        <v>820</v>
      </c>
      <c r="E58" t="s">
        <v>1248</v>
      </c>
      <c r="F58" s="1">
        <v>45315</v>
      </c>
      <c r="G58" s="34" t="str">
        <f t="shared" si="0"/>
        <v>Jan</v>
      </c>
      <c r="H58">
        <v>1</v>
      </c>
      <c r="I58" t="s">
        <v>14</v>
      </c>
      <c r="J58" t="s">
        <v>1216</v>
      </c>
      <c r="K58">
        <v>0.25</v>
      </c>
      <c r="L58">
        <v>170</v>
      </c>
      <c r="M58">
        <v>680</v>
      </c>
      <c r="N58">
        <v>510</v>
      </c>
      <c r="O58" t="s">
        <v>15</v>
      </c>
    </row>
    <row r="59" spans="1:15" x14ac:dyDescent="0.25">
      <c r="A59">
        <v>1934</v>
      </c>
      <c r="B59">
        <v>3702</v>
      </c>
      <c r="C59" t="s">
        <v>965</v>
      </c>
      <c r="D59" t="s">
        <v>966</v>
      </c>
      <c r="E59" t="s">
        <v>1208</v>
      </c>
      <c r="F59" s="1">
        <v>45315</v>
      </c>
      <c r="G59" s="34" t="str">
        <f t="shared" si="0"/>
        <v>Jan</v>
      </c>
      <c r="H59">
        <v>2</v>
      </c>
      <c r="I59" t="s">
        <v>1243</v>
      </c>
      <c r="J59" t="s">
        <v>1233</v>
      </c>
      <c r="K59">
        <v>0.3</v>
      </c>
      <c r="L59">
        <v>78.599999999999994</v>
      </c>
      <c r="M59">
        <v>262</v>
      </c>
      <c r="N59">
        <v>183.4</v>
      </c>
      <c r="O59" t="s">
        <v>19</v>
      </c>
    </row>
    <row r="60" spans="1:15" x14ac:dyDescent="0.25">
      <c r="A60">
        <v>1245</v>
      </c>
      <c r="B60">
        <v>3012</v>
      </c>
      <c r="C60" t="s">
        <v>48</v>
      </c>
      <c r="D60" t="s">
        <v>49</v>
      </c>
      <c r="E60" t="s">
        <v>1248</v>
      </c>
      <c r="F60" s="1">
        <v>45316</v>
      </c>
      <c r="G60" s="34" t="str">
        <f t="shared" si="0"/>
        <v>Jan</v>
      </c>
      <c r="H60">
        <v>3</v>
      </c>
      <c r="I60" t="s">
        <v>18</v>
      </c>
      <c r="J60" t="s">
        <v>1224</v>
      </c>
      <c r="K60">
        <v>0.25</v>
      </c>
      <c r="L60">
        <v>406.75</v>
      </c>
      <c r="M60">
        <v>1627</v>
      </c>
      <c r="N60">
        <v>1220.25</v>
      </c>
      <c r="O60" t="s">
        <v>19</v>
      </c>
    </row>
    <row r="61" spans="1:15" x14ac:dyDescent="0.25">
      <c r="A61">
        <v>1696</v>
      </c>
      <c r="B61">
        <v>3464</v>
      </c>
      <c r="C61" t="s">
        <v>719</v>
      </c>
      <c r="D61" t="s">
        <v>720</v>
      </c>
      <c r="E61" t="s">
        <v>1208</v>
      </c>
      <c r="F61" s="1">
        <v>45316</v>
      </c>
      <c r="G61" s="34" t="str">
        <f t="shared" si="0"/>
        <v>Jan</v>
      </c>
      <c r="H61">
        <v>3</v>
      </c>
      <c r="I61" t="s">
        <v>1242</v>
      </c>
      <c r="J61" t="s">
        <v>1224</v>
      </c>
      <c r="K61">
        <v>0.3</v>
      </c>
      <c r="L61">
        <v>71.7</v>
      </c>
      <c r="M61">
        <v>239</v>
      </c>
      <c r="N61">
        <v>167.3</v>
      </c>
      <c r="O61" t="s">
        <v>16</v>
      </c>
    </row>
    <row r="62" spans="1:15" x14ac:dyDescent="0.25">
      <c r="A62">
        <v>1247</v>
      </c>
      <c r="B62">
        <v>3014</v>
      </c>
      <c r="C62" t="s">
        <v>52</v>
      </c>
      <c r="D62" t="s">
        <v>53</v>
      </c>
      <c r="E62" t="s">
        <v>1249</v>
      </c>
      <c r="F62" s="1">
        <v>45317</v>
      </c>
      <c r="G62" s="34" t="str">
        <f t="shared" si="0"/>
        <v>Jan</v>
      </c>
      <c r="H62">
        <v>2</v>
      </c>
      <c r="I62" t="s">
        <v>14</v>
      </c>
      <c r="J62" t="s">
        <v>1220</v>
      </c>
      <c r="K62">
        <v>0.25</v>
      </c>
      <c r="L62">
        <v>67</v>
      </c>
      <c r="M62">
        <v>268</v>
      </c>
      <c r="N62">
        <v>201</v>
      </c>
      <c r="O62" t="s">
        <v>15</v>
      </c>
    </row>
    <row r="63" spans="1:15" x14ac:dyDescent="0.25">
      <c r="A63">
        <v>1588</v>
      </c>
      <c r="B63">
        <v>3859</v>
      </c>
      <c r="C63" t="s">
        <v>587</v>
      </c>
      <c r="D63" t="s">
        <v>588</v>
      </c>
      <c r="E63" t="s">
        <v>1248</v>
      </c>
      <c r="F63" s="1">
        <v>45317</v>
      </c>
      <c r="G63" s="34" t="str">
        <f t="shared" si="0"/>
        <v>Jan</v>
      </c>
      <c r="H63">
        <v>2</v>
      </c>
      <c r="I63" t="s">
        <v>1242</v>
      </c>
      <c r="J63" t="s">
        <v>1222</v>
      </c>
      <c r="K63">
        <v>0.25</v>
      </c>
      <c r="L63">
        <v>53.5</v>
      </c>
      <c r="M63">
        <v>214</v>
      </c>
      <c r="N63">
        <v>160.5</v>
      </c>
      <c r="O63" t="s">
        <v>15</v>
      </c>
    </row>
    <row r="64" spans="1:15" x14ac:dyDescent="0.25">
      <c r="A64">
        <v>1257</v>
      </c>
      <c r="B64">
        <v>3024</v>
      </c>
      <c r="C64" t="s">
        <v>72</v>
      </c>
      <c r="D64" t="s">
        <v>73</v>
      </c>
      <c r="E64" t="s">
        <v>1205</v>
      </c>
      <c r="F64" s="1">
        <v>45319</v>
      </c>
      <c r="G64" s="34" t="str">
        <f t="shared" si="0"/>
        <v>Jan</v>
      </c>
      <c r="H64">
        <v>2</v>
      </c>
      <c r="I64" t="s">
        <v>18</v>
      </c>
      <c r="J64" t="s">
        <v>1216</v>
      </c>
      <c r="K64">
        <v>0.1</v>
      </c>
      <c r="L64">
        <v>66.599999999999994</v>
      </c>
      <c r="M64">
        <v>666</v>
      </c>
      <c r="N64">
        <v>599.4</v>
      </c>
      <c r="O64" t="s">
        <v>13</v>
      </c>
    </row>
    <row r="65" spans="1:15" x14ac:dyDescent="0.25">
      <c r="A65">
        <v>2226</v>
      </c>
      <c r="B65">
        <v>3995</v>
      </c>
      <c r="C65" t="s">
        <v>1195</v>
      </c>
      <c r="D65" t="s">
        <v>1183</v>
      </c>
      <c r="E65" t="s">
        <v>1203</v>
      </c>
      <c r="F65" s="1">
        <v>45319</v>
      </c>
      <c r="G65" s="34" t="str">
        <f t="shared" si="0"/>
        <v>Jan</v>
      </c>
      <c r="H65">
        <v>3</v>
      </c>
      <c r="I65" t="s">
        <v>14</v>
      </c>
      <c r="J65" t="s">
        <v>1218</v>
      </c>
      <c r="K65">
        <v>0.3</v>
      </c>
      <c r="L65">
        <v>64.5</v>
      </c>
      <c r="M65">
        <v>215</v>
      </c>
      <c r="N65">
        <v>150.5</v>
      </c>
      <c r="O65" t="s">
        <v>13</v>
      </c>
    </row>
    <row r="66" spans="1:15" x14ac:dyDescent="0.25">
      <c r="A66">
        <v>1285</v>
      </c>
      <c r="B66">
        <v>3052</v>
      </c>
      <c r="C66" t="s">
        <v>126</v>
      </c>
      <c r="D66" t="s">
        <v>127</v>
      </c>
      <c r="E66" t="s">
        <v>1205</v>
      </c>
      <c r="F66" s="1">
        <v>45321</v>
      </c>
      <c r="G66" s="34" t="str">
        <f t="shared" ref="G66:G129" si="1">TEXT(F66, "MMM")</f>
        <v>Jan</v>
      </c>
      <c r="H66">
        <v>3</v>
      </c>
      <c r="I66" t="s">
        <v>1242</v>
      </c>
      <c r="J66" t="s">
        <v>1218</v>
      </c>
      <c r="K66">
        <v>0.1</v>
      </c>
      <c r="L66">
        <v>183.6</v>
      </c>
      <c r="M66">
        <v>1836</v>
      </c>
      <c r="N66">
        <v>1652.4</v>
      </c>
      <c r="O66" t="s">
        <v>15</v>
      </c>
    </row>
    <row r="67" spans="1:15" x14ac:dyDescent="0.25">
      <c r="A67">
        <v>1424</v>
      </c>
      <c r="B67">
        <v>3191</v>
      </c>
      <c r="C67" t="s">
        <v>360</v>
      </c>
      <c r="D67" t="s">
        <v>241</v>
      </c>
      <c r="E67" t="s">
        <v>1208</v>
      </c>
      <c r="F67" s="1">
        <v>45321</v>
      </c>
      <c r="G67" s="34" t="str">
        <f t="shared" si="1"/>
        <v>Jan</v>
      </c>
      <c r="H67">
        <v>2</v>
      </c>
      <c r="I67" t="s">
        <v>1243</v>
      </c>
      <c r="J67" t="s">
        <v>1233</v>
      </c>
      <c r="K67">
        <v>0.3</v>
      </c>
      <c r="L67">
        <v>39</v>
      </c>
      <c r="M67">
        <v>130</v>
      </c>
      <c r="N67">
        <v>91</v>
      </c>
      <c r="O67" t="s">
        <v>13</v>
      </c>
    </row>
    <row r="68" spans="1:15" x14ac:dyDescent="0.25">
      <c r="A68">
        <v>1641</v>
      </c>
      <c r="B68">
        <v>3409</v>
      </c>
      <c r="C68" t="s">
        <v>648</v>
      </c>
      <c r="D68" t="s">
        <v>649</v>
      </c>
      <c r="E68" t="s">
        <v>1203</v>
      </c>
      <c r="F68" s="1">
        <v>45321</v>
      </c>
      <c r="G68" s="34" t="str">
        <f t="shared" si="1"/>
        <v>Jan</v>
      </c>
      <c r="H68">
        <v>2</v>
      </c>
      <c r="I68" t="s">
        <v>1242</v>
      </c>
      <c r="J68" t="s">
        <v>1216</v>
      </c>
      <c r="K68">
        <v>0.3</v>
      </c>
      <c r="L68">
        <v>371.1</v>
      </c>
      <c r="M68">
        <v>1237</v>
      </c>
      <c r="N68">
        <v>865.9</v>
      </c>
      <c r="O68" t="s">
        <v>15</v>
      </c>
    </row>
    <row r="69" spans="1:15" x14ac:dyDescent="0.25">
      <c r="A69">
        <v>1853</v>
      </c>
      <c r="B69">
        <v>3621</v>
      </c>
      <c r="C69" t="s">
        <v>747</v>
      </c>
      <c r="D69" t="s">
        <v>144</v>
      </c>
      <c r="E69" t="s">
        <v>1207</v>
      </c>
      <c r="F69" s="1">
        <v>45321</v>
      </c>
      <c r="G69" s="34" t="str">
        <f t="shared" si="1"/>
        <v>Jan</v>
      </c>
      <c r="H69">
        <v>1</v>
      </c>
      <c r="I69" t="s">
        <v>14</v>
      </c>
      <c r="J69" t="s">
        <v>1216</v>
      </c>
      <c r="K69">
        <v>0.2</v>
      </c>
      <c r="L69">
        <v>102.6</v>
      </c>
      <c r="M69">
        <v>513</v>
      </c>
      <c r="N69">
        <v>410.4</v>
      </c>
      <c r="O69" t="s">
        <v>1200</v>
      </c>
    </row>
    <row r="70" spans="1:15" x14ac:dyDescent="0.25">
      <c r="A70">
        <v>1684</v>
      </c>
      <c r="B70">
        <v>3452</v>
      </c>
      <c r="C70" t="s">
        <v>704</v>
      </c>
      <c r="D70" t="s">
        <v>571</v>
      </c>
      <c r="E70" t="s">
        <v>1205</v>
      </c>
      <c r="F70" s="1">
        <v>45322</v>
      </c>
      <c r="G70" s="34" t="str">
        <f t="shared" si="1"/>
        <v>Jan</v>
      </c>
      <c r="H70">
        <v>1</v>
      </c>
      <c r="I70" t="s">
        <v>1243</v>
      </c>
      <c r="J70" t="s">
        <v>1220</v>
      </c>
      <c r="K70">
        <v>0.1</v>
      </c>
      <c r="L70">
        <v>59.8</v>
      </c>
      <c r="M70">
        <v>598</v>
      </c>
      <c r="N70">
        <v>538.20000000000005</v>
      </c>
      <c r="O70" t="s">
        <v>1200</v>
      </c>
    </row>
    <row r="71" spans="1:15" x14ac:dyDescent="0.25">
      <c r="A71">
        <v>1940</v>
      </c>
      <c r="B71">
        <v>3708</v>
      </c>
      <c r="C71" t="s">
        <v>530</v>
      </c>
      <c r="D71" t="s">
        <v>352</v>
      </c>
      <c r="E71" t="s">
        <v>1205</v>
      </c>
      <c r="F71" s="1">
        <v>45322</v>
      </c>
      <c r="G71" s="34" t="str">
        <f t="shared" si="1"/>
        <v>Jan</v>
      </c>
      <c r="H71">
        <v>1</v>
      </c>
      <c r="I71" t="s">
        <v>14</v>
      </c>
      <c r="J71" t="s">
        <v>1220</v>
      </c>
      <c r="K71">
        <v>0.1</v>
      </c>
      <c r="L71">
        <v>160.30000000000001</v>
      </c>
      <c r="M71">
        <v>1603</v>
      </c>
      <c r="N71">
        <v>1442.7</v>
      </c>
      <c r="O71" t="s">
        <v>1200</v>
      </c>
    </row>
    <row r="72" spans="1:15" x14ac:dyDescent="0.25">
      <c r="A72">
        <v>1954</v>
      </c>
      <c r="B72">
        <v>3722</v>
      </c>
      <c r="C72" t="s">
        <v>208</v>
      </c>
      <c r="D72" t="s">
        <v>12</v>
      </c>
      <c r="E72" t="s">
        <v>1249</v>
      </c>
      <c r="F72" s="1">
        <v>45322</v>
      </c>
      <c r="G72" s="34" t="str">
        <f t="shared" si="1"/>
        <v>Jan</v>
      </c>
      <c r="H72">
        <v>3</v>
      </c>
      <c r="I72" t="s">
        <v>1242</v>
      </c>
      <c r="J72" t="s">
        <v>1222</v>
      </c>
      <c r="K72">
        <v>0.25</v>
      </c>
      <c r="L72">
        <v>314.5</v>
      </c>
      <c r="M72">
        <v>1258</v>
      </c>
      <c r="N72">
        <v>943.5</v>
      </c>
      <c r="O72" t="s">
        <v>13</v>
      </c>
    </row>
    <row r="73" spans="1:15" x14ac:dyDescent="0.25">
      <c r="A73">
        <v>2132</v>
      </c>
      <c r="B73">
        <v>3901</v>
      </c>
      <c r="C73" t="s">
        <v>1131</v>
      </c>
      <c r="D73" t="s">
        <v>1132</v>
      </c>
      <c r="E73" t="s">
        <v>1249</v>
      </c>
      <c r="F73" s="1">
        <v>45322</v>
      </c>
      <c r="G73" s="34" t="str">
        <f t="shared" si="1"/>
        <v>Jan</v>
      </c>
      <c r="H73">
        <v>3</v>
      </c>
      <c r="I73" t="s">
        <v>14</v>
      </c>
      <c r="J73" t="s">
        <v>1216</v>
      </c>
      <c r="K73">
        <v>0.25</v>
      </c>
      <c r="L73">
        <v>95</v>
      </c>
      <c r="M73">
        <v>380</v>
      </c>
      <c r="N73">
        <v>285</v>
      </c>
      <c r="O73" t="s">
        <v>16</v>
      </c>
    </row>
    <row r="74" spans="1:15" x14ac:dyDescent="0.25">
      <c r="A74">
        <v>2204</v>
      </c>
      <c r="B74">
        <v>3973</v>
      </c>
      <c r="C74" t="s">
        <v>1181</v>
      </c>
      <c r="D74" t="s">
        <v>236</v>
      </c>
      <c r="E74" t="s">
        <v>1203</v>
      </c>
      <c r="F74" s="1">
        <v>45322</v>
      </c>
      <c r="G74" s="34" t="str">
        <f t="shared" si="1"/>
        <v>Jan</v>
      </c>
      <c r="H74">
        <v>1</v>
      </c>
      <c r="I74" t="s">
        <v>18</v>
      </c>
      <c r="J74" t="s">
        <v>1218</v>
      </c>
      <c r="K74">
        <v>0.3</v>
      </c>
      <c r="L74">
        <v>335.7</v>
      </c>
      <c r="M74">
        <v>1119</v>
      </c>
      <c r="N74">
        <v>783.3</v>
      </c>
      <c r="O74" t="s">
        <v>1200</v>
      </c>
    </row>
    <row r="75" spans="1:15" x14ac:dyDescent="0.25">
      <c r="A75">
        <v>1708</v>
      </c>
      <c r="B75">
        <v>3476</v>
      </c>
      <c r="C75" t="s">
        <v>661</v>
      </c>
      <c r="D75" t="s">
        <v>216</v>
      </c>
      <c r="E75" t="s">
        <v>1248</v>
      </c>
      <c r="F75" s="1">
        <v>45323</v>
      </c>
      <c r="G75" s="34" t="str">
        <f t="shared" si="1"/>
        <v>Feb</v>
      </c>
      <c r="H75">
        <v>2</v>
      </c>
      <c r="I75" t="s">
        <v>14</v>
      </c>
      <c r="J75" t="s">
        <v>1218</v>
      </c>
      <c r="K75">
        <v>0.25</v>
      </c>
      <c r="L75">
        <v>168.75</v>
      </c>
      <c r="M75">
        <v>675</v>
      </c>
      <c r="N75">
        <v>506.25</v>
      </c>
      <c r="O75" t="s">
        <v>13</v>
      </c>
    </row>
    <row r="76" spans="1:15" x14ac:dyDescent="0.25">
      <c r="A76">
        <v>1787</v>
      </c>
      <c r="B76">
        <v>3555</v>
      </c>
      <c r="C76" t="s">
        <v>449</v>
      </c>
      <c r="D76" t="s">
        <v>812</v>
      </c>
      <c r="E76" t="s">
        <v>1248</v>
      </c>
      <c r="F76" s="1">
        <v>45323</v>
      </c>
      <c r="G76" s="34" t="str">
        <f t="shared" si="1"/>
        <v>Feb</v>
      </c>
      <c r="H76">
        <v>1</v>
      </c>
      <c r="I76" t="s">
        <v>14</v>
      </c>
      <c r="J76" t="s">
        <v>1218</v>
      </c>
      <c r="K76">
        <v>0.25</v>
      </c>
      <c r="L76">
        <v>411</v>
      </c>
      <c r="M76">
        <v>1644</v>
      </c>
      <c r="N76">
        <v>1233</v>
      </c>
      <c r="O76" t="s">
        <v>16</v>
      </c>
    </row>
    <row r="77" spans="1:15" x14ac:dyDescent="0.25">
      <c r="A77">
        <v>1799</v>
      </c>
      <c r="B77">
        <v>3567</v>
      </c>
      <c r="C77" t="s">
        <v>161</v>
      </c>
      <c r="D77" t="s">
        <v>527</v>
      </c>
      <c r="E77" t="s">
        <v>1207</v>
      </c>
      <c r="F77" s="1">
        <v>45323</v>
      </c>
      <c r="G77" s="34" t="str">
        <f t="shared" si="1"/>
        <v>Feb</v>
      </c>
      <c r="H77">
        <v>3</v>
      </c>
      <c r="I77" t="s">
        <v>1242</v>
      </c>
      <c r="J77" t="s">
        <v>1220</v>
      </c>
      <c r="K77">
        <v>0.2</v>
      </c>
      <c r="L77">
        <v>177.2</v>
      </c>
      <c r="M77">
        <v>886</v>
      </c>
      <c r="N77">
        <v>708.8</v>
      </c>
      <c r="O77" t="s">
        <v>15</v>
      </c>
    </row>
    <row r="78" spans="1:15" x14ac:dyDescent="0.25">
      <c r="A78">
        <v>1882</v>
      </c>
      <c r="B78">
        <v>3650</v>
      </c>
      <c r="C78" t="s">
        <v>911</v>
      </c>
      <c r="D78" t="s">
        <v>912</v>
      </c>
      <c r="E78" t="s">
        <v>1207</v>
      </c>
      <c r="F78" s="1">
        <v>45323</v>
      </c>
      <c r="G78" s="34" t="str">
        <f t="shared" si="1"/>
        <v>Feb</v>
      </c>
      <c r="H78">
        <v>2</v>
      </c>
      <c r="I78" t="s">
        <v>1242</v>
      </c>
      <c r="J78" t="s">
        <v>1214</v>
      </c>
      <c r="K78">
        <v>0.2</v>
      </c>
      <c r="L78">
        <v>73</v>
      </c>
      <c r="M78">
        <v>365</v>
      </c>
      <c r="N78">
        <v>292</v>
      </c>
      <c r="O78" t="s">
        <v>1200</v>
      </c>
    </row>
    <row r="79" spans="1:15" x14ac:dyDescent="0.25">
      <c r="A79">
        <v>2010</v>
      </c>
      <c r="B79">
        <v>3778</v>
      </c>
      <c r="C79" t="s">
        <v>1019</v>
      </c>
      <c r="D79" t="s">
        <v>1020</v>
      </c>
      <c r="E79" t="s">
        <v>1205</v>
      </c>
      <c r="F79" s="1">
        <v>45323</v>
      </c>
      <c r="G79" s="34" t="str">
        <f t="shared" si="1"/>
        <v>Feb</v>
      </c>
      <c r="H79">
        <v>1</v>
      </c>
      <c r="I79" t="s">
        <v>1242</v>
      </c>
      <c r="J79" t="s">
        <v>1228</v>
      </c>
      <c r="K79">
        <v>0.1</v>
      </c>
      <c r="L79">
        <v>34.4</v>
      </c>
      <c r="M79">
        <v>344</v>
      </c>
      <c r="N79">
        <v>309.60000000000002</v>
      </c>
      <c r="O79" t="s">
        <v>13</v>
      </c>
    </row>
    <row r="80" spans="1:15" x14ac:dyDescent="0.25">
      <c r="A80">
        <v>2126</v>
      </c>
      <c r="B80">
        <v>3895</v>
      </c>
      <c r="C80" t="s">
        <v>1126</v>
      </c>
      <c r="D80" t="s">
        <v>954</v>
      </c>
      <c r="E80" t="s">
        <v>1207</v>
      </c>
      <c r="F80" s="1">
        <v>45323</v>
      </c>
      <c r="G80" s="34" t="str">
        <f t="shared" si="1"/>
        <v>Feb</v>
      </c>
      <c r="H80">
        <v>3</v>
      </c>
      <c r="I80" t="s">
        <v>18</v>
      </c>
      <c r="J80" t="s">
        <v>1218</v>
      </c>
      <c r="K80">
        <v>0.2</v>
      </c>
      <c r="L80">
        <v>333.4</v>
      </c>
      <c r="M80">
        <v>1667</v>
      </c>
      <c r="N80">
        <v>1333.6</v>
      </c>
      <c r="O80" t="s">
        <v>19</v>
      </c>
    </row>
    <row r="81" spans="1:15" x14ac:dyDescent="0.25">
      <c r="A81">
        <v>1284</v>
      </c>
      <c r="B81">
        <v>3051</v>
      </c>
      <c r="C81" t="s">
        <v>124</v>
      </c>
      <c r="D81" t="s">
        <v>125</v>
      </c>
      <c r="E81" t="s">
        <v>1208</v>
      </c>
      <c r="F81" s="1">
        <v>45324</v>
      </c>
      <c r="G81" s="34" t="str">
        <f t="shared" si="1"/>
        <v>Feb</v>
      </c>
      <c r="H81">
        <v>3</v>
      </c>
      <c r="I81" t="s">
        <v>14</v>
      </c>
      <c r="J81" t="s">
        <v>1220</v>
      </c>
      <c r="K81">
        <v>0.3</v>
      </c>
      <c r="L81">
        <v>5.0999999999999996</v>
      </c>
      <c r="M81">
        <v>17</v>
      </c>
      <c r="N81">
        <v>11.9</v>
      </c>
      <c r="O81" t="s">
        <v>15</v>
      </c>
    </row>
    <row r="82" spans="1:15" x14ac:dyDescent="0.25">
      <c r="A82">
        <v>1409</v>
      </c>
      <c r="B82">
        <v>3176</v>
      </c>
      <c r="C82" t="s">
        <v>333</v>
      </c>
      <c r="D82" t="s">
        <v>53</v>
      </c>
      <c r="E82" t="s">
        <v>1208</v>
      </c>
      <c r="F82" s="1">
        <v>45324</v>
      </c>
      <c r="G82" s="34" t="str">
        <f t="shared" si="1"/>
        <v>Feb</v>
      </c>
      <c r="H82">
        <v>3</v>
      </c>
      <c r="I82" t="s">
        <v>1242</v>
      </c>
      <c r="J82" t="s">
        <v>1220</v>
      </c>
      <c r="K82">
        <v>0.3</v>
      </c>
      <c r="L82">
        <v>312.3</v>
      </c>
      <c r="M82">
        <v>1041</v>
      </c>
      <c r="N82">
        <v>728.7</v>
      </c>
      <c r="O82" t="s">
        <v>19</v>
      </c>
    </row>
    <row r="83" spans="1:15" x14ac:dyDescent="0.25">
      <c r="A83">
        <v>1539</v>
      </c>
      <c r="B83">
        <v>3306</v>
      </c>
      <c r="C83" t="s">
        <v>522</v>
      </c>
      <c r="D83" t="s">
        <v>523</v>
      </c>
      <c r="E83" t="s">
        <v>1248</v>
      </c>
      <c r="F83" s="1">
        <v>45324</v>
      </c>
      <c r="G83" s="34" t="str">
        <f t="shared" si="1"/>
        <v>Feb</v>
      </c>
      <c r="H83">
        <v>3</v>
      </c>
      <c r="I83" t="s">
        <v>14</v>
      </c>
      <c r="J83" t="s">
        <v>1216</v>
      </c>
      <c r="K83">
        <v>0.25</v>
      </c>
      <c r="L83">
        <v>400.75</v>
      </c>
      <c r="M83">
        <v>1603</v>
      </c>
      <c r="N83">
        <v>1202.25</v>
      </c>
      <c r="O83" t="s">
        <v>15</v>
      </c>
    </row>
    <row r="84" spans="1:15" x14ac:dyDescent="0.25">
      <c r="A84">
        <v>1552</v>
      </c>
      <c r="B84">
        <v>3319</v>
      </c>
      <c r="C84" t="s">
        <v>540</v>
      </c>
      <c r="D84" t="s">
        <v>541</v>
      </c>
      <c r="E84" t="s">
        <v>1207</v>
      </c>
      <c r="F84" s="1">
        <v>45324</v>
      </c>
      <c r="G84" s="34" t="str">
        <f t="shared" si="1"/>
        <v>Feb</v>
      </c>
      <c r="H84">
        <v>1</v>
      </c>
      <c r="I84" t="s">
        <v>1242</v>
      </c>
      <c r="J84" t="s">
        <v>1220</v>
      </c>
      <c r="K84">
        <v>0.2</v>
      </c>
      <c r="L84">
        <v>170.6</v>
      </c>
      <c r="M84">
        <v>853</v>
      </c>
      <c r="N84">
        <v>682.4</v>
      </c>
      <c r="O84" t="s">
        <v>15</v>
      </c>
    </row>
    <row r="85" spans="1:15" x14ac:dyDescent="0.25">
      <c r="A85">
        <v>1767</v>
      </c>
      <c r="B85">
        <v>3535</v>
      </c>
      <c r="C85" t="s">
        <v>439</v>
      </c>
      <c r="D85" t="s">
        <v>792</v>
      </c>
      <c r="E85" t="s">
        <v>1249</v>
      </c>
      <c r="F85" s="1">
        <v>45324</v>
      </c>
      <c r="G85" s="34" t="str">
        <f t="shared" si="1"/>
        <v>Feb</v>
      </c>
      <c r="H85">
        <v>2</v>
      </c>
      <c r="I85" t="s">
        <v>1242</v>
      </c>
      <c r="J85" t="s">
        <v>1233</v>
      </c>
      <c r="K85">
        <v>0.25</v>
      </c>
      <c r="L85">
        <v>102.75</v>
      </c>
      <c r="M85">
        <v>411</v>
      </c>
      <c r="N85">
        <v>308.25</v>
      </c>
      <c r="O85" t="s">
        <v>15</v>
      </c>
    </row>
    <row r="86" spans="1:15" x14ac:dyDescent="0.25">
      <c r="A86">
        <v>2091</v>
      </c>
      <c r="B86">
        <v>3860</v>
      </c>
      <c r="C86" t="s">
        <v>1093</v>
      </c>
      <c r="D86" t="s">
        <v>146</v>
      </c>
      <c r="E86" t="s">
        <v>1249</v>
      </c>
      <c r="F86" s="1">
        <v>45324</v>
      </c>
      <c r="G86" s="34" t="str">
        <f t="shared" si="1"/>
        <v>Feb</v>
      </c>
      <c r="H86">
        <v>2</v>
      </c>
      <c r="I86" t="s">
        <v>18</v>
      </c>
      <c r="J86" t="s">
        <v>1216</v>
      </c>
      <c r="K86">
        <v>0.25</v>
      </c>
      <c r="L86">
        <v>272.75</v>
      </c>
      <c r="M86">
        <v>1091</v>
      </c>
      <c r="N86">
        <v>818.25</v>
      </c>
      <c r="O86" t="s">
        <v>15</v>
      </c>
    </row>
    <row r="87" spans="1:15" x14ac:dyDescent="0.25">
      <c r="A87">
        <v>1516</v>
      </c>
      <c r="B87">
        <v>3283</v>
      </c>
      <c r="C87" t="s">
        <v>497</v>
      </c>
      <c r="D87" t="s">
        <v>464</v>
      </c>
      <c r="E87" t="s">
        <v>1248</v>
      </c>
      <c r="F87" s="1">
        <v>45325</v>
      </c>
      <c r="G87" s="34" t="str">
        <f t="shared" si="1"/>
        <v>Feb</v>
      </c>
      <c r="H87">
        <v>1</v>
      </c>
      <c r="I87" t="s">
        <v>18</v>
      </c>
      <c r="J87" t="s">
        <v>1216</v>
      </c>
      <c r="K87">
        <v>0.25</v>
      </c>
      <c r="L87">
        <v>100.75</v>
      </c>
      <c r="M87">
        <v>403</v>
      </c>
      <c r="N87">
        <v>302.25</v>
      </c>
      <c r="O87" t="s">
        <v>19</v>
      </c>
    </row>
    <row r="88" spans="1:15" x14ac:dyDescent="0.25">
      <c r="A88">
        <v>1773</v>
      </c>
      <c r="B88">
        <v>3541</v>
      </c>
      <c r="C88" t="s">
        <v>418</v>
      </c>
      <c r="D88" t="s">
        <v>630</v>
      </c>
      <c r="E88" t="s">
        <v>1248</v>
      </c>
      <c r="F88" s="1">
        <v>45325</v>
      </c>
      <c r="G88" s="34" t="str">
        <f t="shared" si="1"/>
        <v>Feb</v>
      </c>
      <c r="H88">
        <v>2</v>
      </c>
      <c r="I88" t="s">
        <v>18</v>
      </c>
      <c r="J88" t="s">
        <v>1218</v>
      </c>
      <c r="K88">
        <v>0.25</v>
      </c>
      <c r="L88">
        <v>373.75</v>
      </c>
      <c r="M88">
        <v>1495</v>
      </c>
      <c r="N88">
        <v>1121.25</v>
      </c>
      <c r="O88" t="s">
        <v>1200</v>
      </c>
    </row>
    <row r="89" spans="1:15" x14ac:dyDescent="0.25">
      <c r="A89">
        <v>1289</v>
      </c>
      <c r="B89">
        <v>3056</v>
      </c>
      <c r="C89" t="s">
        <v>133</v>
      </c>
      <c r="D89" t="s">
        <v>134</v>
      </c>
      <c r="E89" t="s">
        <v>1249</v>
      </c>
      <c r="F89" s="1">
        <v>45326</v>
      </c>
      <c r="G89" s="34" t="str">
        <f t="shared" si="1"/>
        <v>Feb</v>
      </c>
      <c r="H89">
        <v>3</v>
      </c>
      <c r="I89" t="s">
        <v>1242</v>
      </c>
      <c r="J89" t="s">
        <v>1218</v>
      </c>
      <c r="K89">
        <v>0.25</v>
      </c>
      <c r="L89">
        <v>62.5</v>
      </c>
      <c r="M89">
        <v>250</v>
      </c>
      <c r="N89">
        <v>187.5</v>
      </c>
      <c r="O89" t="s">
        <v>16</v>
      </c>
    </row>
    <row r="90" spans="1:15" x14ac:dyDescent="0.25">
      <c r="A90">
        <v>1527</v>
      </c>
      <c r="B90">
        <v>3294</v>
      </c>
      <c r="C90" t="s">
        <v>508</v>
      </c>
      <c r="D90" t="s">
        <v>509</v>
      </c>
      <c r="E90" t="s">
        <v>1203</v>
      </c>
      <c r="F90" s="1">
        <v>45326</v>
      </c>
      <c r="G90" s="34" t="str">
        <f t="shared" si="1"/>
        <v>Feb</v>
      </c>
      <c r="H90">
        <v>1</v>
      </c>
      <c r="I90" t="s">
        <v>14</v>
      </c>
      <c r="J90" t="s">
        <v>1216</v>
      </c>
      <c r="K90">
        <v>0.3</v>
      </c>
      <c r="L90">
        <v>310.8</v>
      </c>
      <c r="M90">
        <v>1036</v>
      </c>
      <c r="N90">
        <v>725.2</v>
      </c>
      <c r="O90" t="s">
        <v>19</v>
      </c>
    </row>
    <row r="91" spans="1:15" x14ac:dyDescent="0.25">
      <c r="A91">
        <v>1725</v>
      </c>
      <c r="B91">
        <v>3493</v>
      </c>
      <c r="C91" t="s">
        <v>272</v>
      </c>
      <c r="D91" t="s">
        <v>750</v>
      </c>
      <c r="E91" t="s">
        <v>1207</v>
      </c>
      <c r="F91" s="1">
        <v>45326</v>
      </c>
      <c r="G91" s="34" t="str">
        <f t="shared" si="1"/>
        <v>Feb</v>
      </c>
      <c r="H91">
        <v>1</v>
      </c>
      <c r="I91" t="s">
        <v>18</v>
      </c>
      <c r="J91" t="s">
        <v>1214</v>
      </c>
      <c r="K91">
        <v>0.2</v>
      </c>
      <c r="L91">
        <v>233.6</v>
      </c>
      <c r="M91">
        <v>1168</v>
      </c>
      <c r="N91">
        <v>934.4</v>
      </c>
      <c r="O91" t="s">
        <v>13</v>
      </c>
    </row>
    <row r="92" spans="1:15" x14ac:dyDescent="0.25">
      <c r="A92">
        <v>1856</v>
      </c>
      <c r="B92">
        <v>3624</v>
      </c>
      <c r="C92" t="s">
        <v>882</v>
      </c>
      <c r="D92" t="s">
        <v>883</v>
      </c>
      <c r="E92" t="s">
        <v>1208</v>
      </c>
      <c r="F92" s="1">
        <v>45326</v>
      </c>
      <c r="G92" s="34" t="str">
        <f t="shared" si="1"/>
        <v>Feb</v>
      </c>
      <c r="H92">
        <v>2</v>
      </c>
      <c r="I92" t="s">
        <v>18</v>
      </c>
      <c r="J92" t="s">
        <v>1214</v>
      </c>
      <c r="K92">
        <v>0.3</v>
      </c>
      <c r="L92">
        <v>324.3</v>
      </c>
      <c r="M92">
        <v>1081</v>
      </c>
      <c r="N92">
        <v>756.7</v>
      </c>
      <c r="O92" t="s">
        <v>1200</v>
      </c>
    </row>
    <row r="93" spans="1:15" x14ac:dyDescent="0.25">
      <c r="A93">
        <v>1924</v>
      </c>
      <c r="B93">
        <v>3692</v>
      </c>
      <c r="C93" t="s">
        <v>50</v>
      </c>
      <c r="D93" t="s">
        <v>593</v>
      </c>
      <c r="E93" t="s">
        <v>1249</v>
      </c>
      <c r="F93" s="1">
        <v>45326</v>
      </c>
      <c r="G93" s="34" t="str">
        <f t="shared" si="1"/>
        <v>Feb</v>
      </c>
      <c r="H93">
        <v>2</v>
      </c>
      <c r="I93" t="s">
        <v>1242</v>
      </c>
      <c r="J93" t="s">
        <v>1220</v>
      </c>
      <c r="K93">
        <v>0.25</v>
      </c>
      <c r="L93">
        <v>386.75</v>
      </c>
      <c r="M93">
        <v>1547</v>
      </c>
      <c r="N93">
        <v>1160.25</v>
      </c>
      <c r="O93" t="s">
        <v>16</v>
      </c>
    </row>
    <row r="94" spans="1:15" x14ac:dyDescent="0.25">
      <c r="A94">
        <v>2005</v>
      </c>
      <c r="B94">
        <v>3773</v>
      </c>
      <c r="C94" t="s">
        <v>322</v>
      </c>
      <c r="D94" t="s">
        <v>1018</v>
      </c>
      <c r="E94" t="s">
        <v>1203</v>
      </c>
      <c r="F94" s="1">
        <v>45327</v>
      </c>
      <c r="G94" s="34" t="str">
        <f t="shared" si="1"/>
        <v>Feb</v>
      </c>
      <c r="H94">
        <v>2</v>
      </c>
      <c r="I94" t="s">
        <v>14</v>
      </c>
      <c r="J94" t="s">
        <v>1224</v>
      </c>
      <c r="K94">
        <v>0.3</v>
      </c>
      <c r="L94">
        <v>152.1</v>
      </c>
      <c r="M94">
        <v>507</v>
      </c>
      <c r="N94">
        <v>354.9</v>
      </c>
      <c r="O94" t="s">
        <v>15</v>
      </c>
    </row>
    <row r="95" spans="1:15" x14ac:dyDescent="0.25">
      <c r="A95">
        <v>1646</v>
      </c>
      <c r="B95">
        <v>3414</v>
      </c>
      <c r="C95" t="s">
        <v>60</v>
      </c>
      <c r="D95" t="s">
        <v>655</v>
      </c>
      <c r="E95" t="s">
        <v>1203</v>
      </c>
      <c r="F95" s="1">
        <v>45328</v>
      </c>
      <c r="G95" s="34" t="str">
        <f t="shared" si="1"/>
        <v>Feb</v>
      </c>
      <c r="H95">
        <v>1</v>
      </c>
      <c r="I95" t="s">
        <v>1243</v>
      </c>
      <c r="J95" t="s">
        <v>1216</v>
      </c>
      <c r="K95">
        <v>0.3</v>
      </c>
      <c r="L95">
        <v>117</v>
      </c>
      <c r="M95">
        <v>390</v>
      </c>
      <c r="N95">
        <v>273</v>
      </c>
      <c r="O95" t="s">
        <v>19</v>
      </c>
    </row>
    <row r="96" spans="1:15" x14ac:dyDescent="0.25">
      <c r="A96">
        <v>1768</v>
      </c>
      <c r="B96">
        <v>3536</v>
      </c>
      <c r="C96" t="s">
        <v>214</v>
      </c>
      <c r="D96" t="s">
        <v>739</v>
      </c>
      <c r="E96" t="s">
        <v>1249</v>
      </c>
      <c r="F96" s="1">
        <v>45328</v>
      </c>
      <c r="G96" s="34" t="str">
        <f t="shared" si="1"/>
        <v>Feb</v>
      </c>
      <c r="H96">
        <v>2</v>
      </c>
      <c r="I96" t="s">
        <v>14</v>
      </c>
      <c r="J96" t="s">
        <v>1214</v>
      </c>
      <c r="K96">
        <v>0.25</v>
      </c>
      <c r="L96">
        <v>239.5</v>
      </c>
      <c r="M96">
        <v>958</v>
      </c>
      <c r="N96">
        <v>718.5</v>
      </c>
      <c r="O96" t="s">
        <v>15</v>
      </c>
    </row>
    <row r="97" spans="1:15" x14ac:dyDescent="0.25">
      <c r="A97">
        <v>1894</v>
      </c>
      <c r="B97">
        <v>3662</v>
      </c>
      <c r="C97" t="s">
        <v>925</v>
      </c>
      <c r="D97" t="s">
        <v>125</v>
      </c>
      <c r="E97" t="s">
        <v>1249</v>
      </c>
      <c r="F97" s="1">
        <v>45328</v>
      </c>
      <c r="G97" s="34" t="str">
        <f t="shared" si="1"/>
        <v>Feb</v>
      </c>
      <c r="H97">
        <v>2</v>
      </c>
      <c r="I97" t="s">
        <v>1243</v>
      </c>
      <c r="J97" t="s">
        <v>1228</v>
      </c>
      <c r="K97">
        <v>0.25</v>
      </c>
      <c r="L97">
        <v>86.75</v>
      </c>
      <c r="M97">
        <v>347</v>
      </c>
      <c r="N97">
        <v>260.25</v>
      </c>
      <c r="O97" t="s">
        <v>1200</v>
      </c>
    </row>
    <row r="98" spans="1:15" x14ac:dyDescent="0.25">
      <c r="A98">
        <v>1242</v>
      </c>
      <c r="B98">
        <v>3009</v>
      </c>
      <c r="C98" t="s">
        <v>42</v>
      </c>
      <c r="D98" t="s">
        <v>43</v>
      </c>
      <c r="E98" t="s">
        <v>1248</v>
      </c>
      <c r="F98" s="1">
        <v>45330</v>
      </c>
      <c r="G98" s="34" t="str">
        <f t="shared" si="1"/>
        <v>Feb</v>
      </c>
      <c r="H98">
        <v>2</v>
      </c>
      <c r="I98" t="s">
        <v>1242</v>
      </c>
      <c r="J98" t="s">
        <v>1228</v>
      </c>
      <c r="K98">
        <v>0.25</v>
      </c>
      <c r="L98">
        <v>353.25</v>
      </c>
      <c r="M98">
        <v>1413</v>
      </c>
      <c r="N98">
        <v>1059.75</v>
      </c>
      <c r="O98" t="s">
        <v>13</v>
      </c>
    </row>
    <row r="99" spans="1:15" x14ac:dyDescent="0.25">
      <c r="A99">
        <v>1462</v>
      </c>
      <c r="B99">
        <v>3229</v>
      </c>
      <c r="C99" t="s">
        <v>420</v>
      </c>
      <c r="D99" t="s">
        <v>421</v>
      </c>
      <c r="E99" t="s">
        <v>1205</v>
      </c>
      <c r="F99" s="1">
        <v>45330</v>
      </c>
      <c r="G99" s="34" t="str">
        <f t="shared" si="1"/>
        <v>Feb</v>
      </c>
      <c r="H99">
        <v>2</v>
      </c>
      <c r="I99" t="s">
        <v>14</v>
      </c>
      <c r="J99" t="s">
        <v>1224</v>
      </c>
      <c r="K99">
        <v>0.1</v>
      </c>
      <c r="L99">
        <v>138.4</v>
      </c>
      <c r="M99">
        <v>1384</v>
      </c>
      <c r="N99">
        <v>1245.5999999999999</v>
      </c>
      <c r="O99" t="s">
        <v>19</v>
      </c>
    </row>
    <row r="100" spans="1:15" x14ac:dyDescent="0.25">
      <c r="A100">
        <v>1680</v>
      </c>
      <c r="B100">
        <v>3448</v>
      </c>
      <c r="C100" t="s">
        <v>154</v>
      </c>
      <c r="D100" t="s">
        <v>698</v>
      </c>
      <c r="E100" t="s">
        <v>1205</v>
      </c>
      <c r="F100" s="1">
        <v>45330</v>
      </c>
      <c r="G100" s="34" t="str">
        <f t="shared" si="1"/>
        <v>Feb</v>
      </c>
      <c r="H100">
        <v>2</v>
      </c>
      <c r="I100" t="s">
        <v>1243</v>
      </c>
      <c r="J100" t="s">
        <v>1218</v>
      </c>
      <c r="K100">
        <v>0.1</v>
      </c>
      <c r="L100">
        <v>28.6</v>
      </c>
      <c r="M100">
        <v>286</v>
      </c>
      <c r="N100">
        <v>257.39999999999998</v>
      </c>
      <c r="O100" t="s">
        <v>19</v>
      </c>
    </row>
    <row r="101" spans="1:15" x14ac:dyDescent="0.25">
      <c r="A101">
        <v>1279</v>
      </c>
      <c r="B101">
        <v>3046</v>
      </c>
      <c r="C101" t="s">
        <v>115</v>
      </c>
      <c r="D101" t="s">
        <v>116</v>
      </c>
      <c r="E101" t="s">
        <v>1205</v>
      </c>
      <c r="F101" s="1">
        <v>45331</v>
      </c>
      <c r="G101" s="34" t="str">
        <f t="shared" si="1"/>
        <v>Feb</v>
      </c>
      <c r="H101">
        <v>3</v>
      </c>
      <c r="I101" t="s">
        <v>14</v>
      </c>
      <c r="J101" t="s">
        <v>1220</v>
      </c>
      <c r="K101">
        <v>0.1</v>
      </c>
      <c r="L101">
        <v>159.6</v>
      </c>
      <c r="M101">
        <v>1596</v>
      </c>
      <c r="N101">
        <v>1436.4</v>
      </c>
      <c r="O101" t="s">
        <v>1200</v>
      </c>
    </row>
    <row r="102" spans="1:15" x14ac:dyDescent="0.25">
      <c r="A102">
        <v>1556</v>
      </c>
      <c r="B102">
        <v>3323</v>
      </c>
      <c r="C102" t="s">
        <v>545</v>
      </c>
      <c r="D102" t="s">
        <v>546</v>
      </c>
      <c r="E102" t="s">
        <v>1208</v>
      </c>
      <c r="F102" s="1">
        <v>45331</v>
      </c>
      <c r="G102" s="34" t="str">
        <f t="shared" si="1"/>
        <v>Feb</v>
      </c>
      <c r="H102">
        <v>3</v>
      </c>
      <c r="I102" t="s">
        <v>1242</v>
      </c>
      <c r="J102" t="s">
        <v>1214</v>
      </c>
      <c r="K102">
        <v>0.3</v>
      </c>
      <c r="L102">
        <v>385.2</v>
      </c>
      <c r="M102">
        <v>1284</v>
      </c>
      <c r="N102">
        <v>898.8</v>
      </c>
      <c r="O102" t="s">
        <v>16</v>
      </c>
    </row>
    <row r="103" spans="1:15" x14ac:dyDescent="0.25">
      <c r="A103">
        <v>1358</v>
      </c>
      <c r="B103">
        <v>3125</v>
      </c>
      <c r="C103" t="s">
        <v>252</v>
      </c>
      <c r="D103" t="s">
        <v>253</v>
      </c>
      <c r="E103" t="s">
        <v>1248</v>
      </c>
      <c r="F103" s="1">
        <v>45332</v>
      </c>
      <c r="G103" s="34" t="str">
        <f t="shared" si="1"/>
        <v>Feb</v>
      </c>
      <c r="H103">
        <v>3</v>
      </c>
      <c r="I103" t="s">
        <v>1243</v>
      </c>
      <c r="J103" t="s">
        <v>1220</v>
      </c>
      <c r="K103">
        <v>0.25</v>
      </c>
      <c r="L103">
        <v>260.5</v>
      </c>
      <c r="M103">
        <v>1042</v>
      </c>
      <c r="N103">
        <v>781.5</v>
      </c>
      <c r="O103" t="s">
        <v>15</v>
      </c>
    </row>
    <row r="104" spans="1:15" x14ac:dyDescent="0.25">
      <c r="A104">
        <v>1456</v>
      </c>
      <c r="B104">
        <v>3223</v>
      </c>
      <c r="C104" t="s">
        <v>411</v>
      </c>
      <c r="D104" t="s">
        <v>27</v>
      </c>
      <c r="E104" t="s">
        <v>1207</v>
      </c>
      <c r="F104" s="1">
        <v>45333</v>
      </c>
      <c r="G104" s="34" t="str">
        <f t="shared" si="1"/>
        <v>Feb</v>
      </c>
      <c r="H104">
        <v>1</v>
      </c>
      <c r="I104" t="s">
        <v>1243</v>
      </c>
      <c r="J104" t="s">
        <v>1224</v>
      </c>
      <c r="K104">
        <v>0.2</v>
      </c>
      <c r="L104">
        <v>296.39999999999998</v>
      </c>
      <c r="M104">
        <v>1482</v>
      </c>
      <c r="N104">
        <v>1185.5999999999999</v>
      </c>
      <c r="O104" t="s">
        <v>15</v>
      </c>
    </row>
    <row r="105" spans="1:15" x14ac:dyDescent="0.25">
      <c r="A105">
        <v>2014</v>
      </c>
      <c r="B105">
        <v>3782</v>
      </c>
      <c r="C105" t="s">
        <v>1023</v>
      </c>
      <c r="D105" t="s">
        <v>682</v>
      </c>
      <c r="E105" t="s">
        <v>1203</v>
      </c>
      <c r="F105" s="1">
        <v>45333</v>
      </c>
      <c r="G105" s="34" t="str">
        <f t="shared" si="1"/>
        <v>Feb</v>
      </c>
      <c r="H105">
        <v>3</v>
      </c>
      <c r="I105" t="s">
        <v>14</v>
      </c>
      <c r="J105" t="s">
        <v>1214</v>
      </c>
      <c r="K105">
        <v>0.3</v>
      </c>
      <c r="L105">
        <v>384.9</v>
      </c>
      <c r="M105">
        <v>1283</v>
      </c>
      <c r="N105">
        <v>898.1</v>
      </c>
      <c r="O105" t="s">
        <v>19</v>
      </c>
    </row>
    <row r="106" spans="1:15" x14ac:dyDescent="0.25">
      <c r="A106">
        <v>1514</v>
      </c>
      <c r="B106">
        <v>3281</v>
      </c>
      <c r="C106" t="s">
        <v>493</v>
      </c>
      <c r="D106" t="s">
        <v>494</v>
      </c>
      <c r="E106" t="s">
        <v>1208</v>
      </c>
      <c r="F106" s="1">
        <v>45334</v>
      </c>
      <c r="G106" s="34" t="str">
        <f t="shared" si="1"/>
        <v>Feb</v>
      </c>
      <c r="H106">
        <v>3</v>
      </c>
      <c r="I106" t="s">
        <v>14</v>
      </c>
      <c r="J106" t="s">
        <v>1216</v>
      </c>
      <c r="K106">
        <v>0.3</v>
      </c>
      <c r="L106">
        <v>431.1</v>
      </c>
      <c r="M106">
        <v>1437</v>
      </c>
      <c r="N106">
        <v>1005.9</v>
      </c>
      <c r="O106" t="s">
        <v>19</v>
      </c>
    </row>
    <row r="107" spans="1:15" x14ac:dyDescent="0.25">
      <c r="A107">
        <v>1683</v>
      </c>
      <c r="B107">
        <v>3451</v>
      </c>
      <c r="C107" t="s">
        <v>702</v>
      </c>
      <c r="D107" t="s">
        <v>703</v>
      </c>
      <c r="E107" t="s">
        <v>1207</v>
      </c>
      <c r="F107" s="1">
        <v>45334</v>
      </c>
      <c r="G107" s="34" t="str">
        <f t="shared" si="1"/>
        <v>Feb</v>
      </c>
      <c r="H107">
        <v>2</v>
      </c>
      <c r="I107" t="s">
        <v>14</v>
      </c>
      <c r="J107" t="s">
        <v>1222</v>
      </c>
      <c r="K107">
        <v>0.2</v>
      </c>
      <c r="L107">
        <v>302.2</v>
      </c>
      <c r="M107">
        <v>1511</v>
      </c>
      <c r="N107">
        <v>1208.8</v>
      </c>
      <c r="O107" t="s">
        <v>15</v>
      </c>
    </row>
    <row r="108" spans="1:15" x14ac:dyDescent="0.25">
      <c r="A108">
        <v>1857</v>
      </c>
      <c r="B108">
        <v>3625</v>
      </c>
      <c r="C108" t="s">
        <v>884</v>
      </c>
      <c r="D108" t="s">
        <v>674</v>
      </c>
      <c r="E108" t="s">
        <v>1208</v>
      </c>
      <c r="F108" s="1">
        <v>45334</v>
      </c>
      <c r="G108" s="34" t="str">
        <f t="shared" si="1"/>
        <v>Feb</v>
      </c>
      <c r="H108">
        <v>3</v>
      </c>
      <c r="I108" t="s">
        <v>14</v>
      </c>
      <c r="J108" t="s">
        <v>1224</v>
      </c>
      <c r="K108">
        <v>0.3</v>
      </c>
      <c r="L108">
        <v>105.9</v>
      </c>
      <c r="M108">
        <v>353</v>
      </c>
      <c r="N108">
        <v>247.1</v>
      </c>
      <c r="O108" t="s">
        <v>16</v>
      </c>
    </row>
    <row r="109" spans="1:15" x14ac:dyDescent="0.25">
      <c r="A109">
        <v>2121</v>
      </c>
      <c r="B109">
        <v>3890</v>
      </c>
      <c r="C109" t="s">
        <v>62</v>
      </c>
      <c r="D109" t="s">
        <v>673</v>
      </c>
      <c r="E109" t="s">
        <v>1248</v>
      </c>
      <c r="F109" s="1">
        <v>45334</v>
      </c>
      <c r="G109" s="34" t="str">
        <f t="shared" si="1"/>
        <v>Feb</v>
      </c>
      <c r="H109">
        <v>2</v>
      </c>
      <c r="I109" t="s">
        <v>14</v>
      </c>
      <c r="J109" t="s">
        <v>1228</v>
      </c>
      <c r="K109">
        <v>0.25</v>
      </c>
      <c r="L109">
        <v>259.5</v>
      </c>
      <c r="M109">
        <v>1038</v>
      </c>
      <c r="N109">
        <v>778.5</v>
      </c>
      <c r="O109" t="s">
        <v>16</v>
      </c>
    </row>
    <row r="110" spans="1:15" x14ac:dyDescent="0.25">
      <c r="A110">
        <v>1657</v>
      </c>
      <c r="B110">
        <v>3425</v>
      </c>
      <c r="C110" t="s">
        <v>668</v>
      </c>
      <c r="D110" t="s">
        <v>669</v>
      </c>
      <c r="E110" t="s">
        <v>1248</v>
      </c>
      <c r="F110" s="1">
        <v>45335</v>
      </c>
      <c r="G110" s="34" t="str">
        <f t="shared" si="1"/>
        <v>Feb</v>
      </c>
      <c r="H110">
        <v>2</v>
      </c>
      <c r="I110" t="s">
        <v>14</v>
      </c>
      <c r="J110" t="s">
        <v>1214</v>
      </c>
      <c r="K110">
        <v>0.25</v>
      </c>
      <c r="L110">
        <v>268.75</v>
      </c>
      <c r="M110">
        <v>1075</v>
      </c>
      <c r="N110">
        <v>806.25</v>
      </c>
      <c r="O110" t="s">
        <v>19</v>
      </c>
    </row>
    <row r="111" spans="1:15" x14ac:dyDescent="0.25">
      <c r="A111">
        <v>1789</v>
      </c>
      <c r="B111">
        <v>3557</v>
      </c>
      <c r="C111" t="s">
        <v>815</v>
      </c>
      <c r="D111" t="s">
        <v>816</v>
      </c>
      <c r="E111" t="s">
        <v>1207</v>
      </c>
      <c r="F111" s="1">
        <v>45335</v>
      </c>
      <c r="G111" s="34" t="str">
        <f t="shared" si="1"/>
        <v>Feb</v>
      </c>
      <c r="H111">
        <v>1</v>
      </c>
      <c r="I111" t="s">
        <v>14</v>
      </c>
      <c r="J111" t="s">
        <v>1224</v>
      </c>
      <c r="K111">
        <v>0.2</v>
      </c>
      <c r="L111">
        <v>319</v>
      </c>
      <c r="M111">
        <v>1595</v>
      </c>
      <c r="N111">
        <v>1276</v>
      </c>
      <c r="O111" t="s">
        <v>19</v>
      </c>
    </row>
    <row r="112" spans="1:15" x14ac:dyDescent="0.25">
      <c r="A112">
        <v>2085</v>
      </c>
      <c r="B112">
        <v>3853</v>
      </c>
      <c r="C112" t="s">
        <v>1087</v>
      </c>
      <c r="D112" t="s">
        <v>1088</v>
      </c>
      <c r="E112" t="s">
        <v>1205</v>
      </c>
      <c r="F112" s="1">
        <v>45335</v>
      </c>
      <c r="G112" s="34" t="str">
        <f t="shared" si="1"/>
        <v>Feb</v>
      </c>
      <c r="H112">
        <v>3</v>
      </c>
      <c r="I112" t="s">
        <v>1243</v>
      </c>
      <c r="J112" t="s">
        <v>1214</v>
      </c>
      <c r="K112">
        <v>0.1</v>
      </c>
      <c r="L112">
        <v>171.3</v>
      </c>
      <c r="M112">
        <v>1713</v>
      </c>
      <c r="N112">
        <v>1541.7</v>
      </c>
      <c r="O112" t="s">
        <v>16</v>
      </c>
    </row>
    <row r="113" spans="1:15" x14ac:dyDescent="0.25">
      <c r="A113">
        <v>1418</v>
      </c>
      <c r="B113">
        <v>3185</v>
      </c>
      <c r="C113" t="s">
        <v>349</v>
      </c>
      <c r="D113" t="s">
        <v>350</v>
      </c>
      <c r="E113" t="s">
        <v>1205</v>
      </c>
      <c r="F113" s="1">
        <v>45337</v>
      </c>
      <c r="G113" s="34" t="str">
        <f t="shared" si="1"/>
        <v>Feb</v>
      </c>
      <c r="H113">
        <v>1</v>
      </c>
      <c r="I113" t="s">
        <v>14</v>
      </c>
      <c r="J113" t="s">
        <v>1220</v>
      </c>
      <c r="K113">
        <v>0.1</v>
      </c>
      <c r="L113">
        <v>178.2</v>
      </c>
      <c r="M113">
        <v>1782</v>
      </c>
      <c r="N113">
        <v>1603.8</v>
      </c>
      <c r="O113" t="s">
        <v>19</v>
      </c>
    </row>
    <row r="114" spans="1:15" x14ac:dyDescent="0.25">
      <c r="A114">
        <v>1602</v>
      </c>
      <c r="B114">
        <v>3369</v>
      </c>
      <c r="C114" t="s">
        <v>182</v>
      </c>
      <c r="D114" t="s">
        <v>602</v>
      </c>
      <c r="E114" t="s">
        <v>1248</v>
      </c>
      <c r="F114" s="1">
        <v>45337</v>
      </c>
      <c r="G114" s="34" t="str">
        <f t="shared" si="1"/>
        <v>Feb</v>
      </c>
      <c r="H114">
        <v>3</v>
      </c>
      <c r="I114" t="s">
        <v>14</v>
      </c>
      <c r="J114" t="s">
        <v>1214</v>
      </c>
      <c r="K114">
        <v>0.25</v>
      </c>
      <c r="L114">
        <v>166.75</v>
      </c>
      <c r="M114">
        <v>667</v>
      </c>
      <c r="N114">
        <v>500.25</v>
      </c>
      <c r="O114" t="s">
        <v>16</v>
      </c>
    </row>
    <row r="115" spans="1:15" x14ac:dyDescent="0.25">
      <c r="A115">
        <v>1639</v>
      </c>
      <c r="B115">
        <v>3407</v>
      </c>
      <c r="C115" t="s">
        <v>645</v>
      </c>
      <c r="D115" t="s">
        <v>423</v>
      </c>
      <c r="E115" t="s">
        <v>1207</v>
      </c>
      <c r="F115" s="1">
        <v>45337</v>
      </c>
      <c r="G115" s="34" t="str">
        <f t="shared" si="1"/>
        <v>Feb</v>
      </c>
      <c r="H115">
        <v>2</v>
      </c>
      <c r="I115" t="s">
        <v>18</v>
      </c>
      <c r="J115" t="s">
        <v>1220</v>
      </c>
      <c r="K115">
        <v>0.2</v>
      </c>
      <c r="L115">
        <v>253.6</v>
      </c>
      <c r="M115">
        <v>1268</v>
      </c>
      <c r="N115">
        <v>1014.4</v>
      </c>
      <c r="O115" t="s">
        <v>15</v>
      </c>
    </row>
    <row r="116" spans="1:15" x14ac:dyDescent="0.25">
      <c r="A116">
        <v>1397</v>
      </c>
      <c r="B116">
        <v>3164</v>
      </c>
      <c r="C116" t="s">
        <v>315</v>
      </c>
      <c r="D116" t="s">
        <v>316</v>
      </c>
      <c r="E116" t="s">
        <v>1249</v>
      </c>
      <c r="F116" s="1">
        <v>45338</v>
      </c>
      <c r="G116" s="34" t="str">
        <f t="shared" si="1"/>
        <v>Feb</v>
      </c>
      <c r="H116">
        <v>2</v>
      </c>
      <c r="I116" t="s">
        <v>1242</v>
      </c>
      <c r="J116" t="s">
        <v>1233</v>
      </c>
      <c r="K116">
        <v>0.25</v>
      </c>
      <c r="L116">
        <v>294</v>
      </c>
      <c r="M116">
        <v>1176</v>
      </c>
      <c r="N116">
        <v>882</v>
      </c>
      <c r="O116" t="s">
        <v>13</v>
      </c>
    </row>
    <row r="117" spans="1:15" x14ac:dyDescent="0.25">
      <c r="A117">
        <v>1467</v>
      </c>
      <c r="B117">
        <v>3234</v>
      </c>
      <c r="C117" t="s">
        <v>427</v>
      </c>
      <c r="D117" t="s">
        <v>428</v>
      </c>
      <c r="E117" t="s">
        <v>1205</v>
      </c>
      <c r="F117" s="1">
        <v>45338</v>
      </c>
      <c r="G117" s="34" t="str">
        <f t="shared" si="1"/>
        <v>Feb</v>
      </c>
      <c r="H117">
        <v>3</v>
      </c>
      <c r="I117" t="s">
        <v>1242</v>
      </c>
      <c r="J117" t="s">
        <v>1224</v>
      </c>
      <c r="K117">
        <v>0.1</v>
      </c>
      <c r="L117">
        <v>91.1</v>
      </c>
      <c r="M117">
        <v>911</v>
      </c>
      <c r="N117">
        <v>819.9</v>
      </c>
      <c r="O117" t="s">
        <v>19</v>
      </c>
    </row>
    <row r="118" spans="1:15" x14ac:dyDescent="0.25">
      <c r="A118">
        <v>1923</v>
      </c>
      <c r="B118">
        <v>3691</v>
      </c>
      <c r="C118" t="s">
        <v>952</v>
      </c>
      <c r="D118" t="s">
        <v>953</v>
      </c>
      <c r="E118" t="s">
        <v>1203</v>
      </c>
      <c r="F118" s="1">
        <v>45338</v>
      </c>
      <c r="G118" s="34" t="str">
        <f t="shared" si="1"/>
        <v>Feb</v>
      </c>
      <c r="H118">
        <v>3</v>
      </c>
      <c r="I118" t="s">
        <v>1243</v>
      </c>
      <c r="J118" t="s">
        <v>1228</v>
      </c>
      <c r="K118">
        <v>0.3</v>
      </c>
      <c r="L118">
        <v>12</v>
      </c>
      <c r="M118">
        <v>40</v>
      </c>
      <c r="N118">
        <v>28</v>
      </c>
      <c r="O118" t="s">
        <v>15</v>
      </c>
    </row>
    <row r="119" spans="1:15" x14ac:dyDescent="0.25">
      <c r="A119">
        <v>1638</v>
      </c>
      <c r="B119">
        <v>3406</v>
      </c>
      <c r="C119" t="s">
        <v>644</v>
      </c>
      <c r="D119" t="s">
        <v>501</v>
      </c>
      <c r="E119" t="s">
        <v>1208</v>
      </c>
      <c r="F119" s="1">
        <v>45339</v>
      </c>
      <c r="G119" s="34" t="str">
        <f t="shared" si="1"/>
        <v>Feb</v>
      </c>
      <c r="H119">
        <v>3</v>
      </c>
      <c r="I119" t="s">
        <v>1243</v>
      </c>
      <c r="J119" t="s">
        <v>1216</v>
      </c>
      <c r="K119">
        <v>0.3</v>
      </c>
      <c r="L119">
        <v>319.5</v>
      </c>
      <c r="M119">
        <v>1065</v>
      </c>
      <c r="N119">
        <v>745.5</v>
      </c>
      <c r="O119" t="s">
        <v>15</v>
      </c>
    </row>
    <row r="120" spans="1:15" x14ac:dyDescent="0.25">
      <c r="A120">
        <v>1645</v>
      </c>
      <c r="B120">
        <v>3413</v>
      </c>
      <c r="C120" t="s">
        <v>653</v>
      </c>
      <c r="D120" t="s">
        <v>654</v>
      </c>
      <c r="E120" t="s">
        <v>1249</v>
      </c>
      <c r="F120" s="1">
        <v>45339</v>
      </c>
      <c r="G120" s="34" t="str">
        <f t="shared" si="1"/>
        <v>Feb</v>
      </c>
      <c r="H120">
        <v>3</v>
      </c>
      <c r="I120" t="s">
        <v>14</v>
      </c>
      <c r="J120" t="s">
        <v>1228</v>
      </c>
      <c r="K120">
        <v>0.25</v>
      </c>
      <c r="L120">
        <v>380.75</v>
      </c>
      <c r="M120">
        <v>1523</v>
      </c>
      <c r="N120">
        <v>1142.25</v>
      </c>
      <c r="O120" t="s">
        <v>15</v>
      </c>
    </row>
    <row r="121" spans="1:15" x14ac:dyDescent="0.25">
      <c r="A121">
        <v>1282</v>
      </c>
      <c r="B121">
        <v>3049</v>
      </c>
      <c r="C121" t="s">
        <v>120</v>
      </c>
      <c r="D121" t="s">
        <v>121</v>
      </c>
      <c r="E121" t="s">
        <v>1203</v>
      </c>
      <c r="F121" s="1">
        <v>45340</v>
      </c>
      <c r="G121" s="34" t="str">
        <f t="shared" si="1"/>
        <v>Feb</v>
      </c>
      <c r="H121">
        <v>2</v>
      </c>
      <c r="I121" t="s">
        <v>14</v>
      </c>
      <c r="J121" t="s">
        <v>1224</v>
      </c>
      <c r="K121">
        <v>0.3</v>
      </c>
      <c r="L121">
        <v>522.9</v>
      </c>
      <c r="M121">
        <v>1743</v>
      </c>
      <c r="N121">
        <v>1220.0999999999999</v>
      </c>
      <c r="O121" t="s">
        <v>13</v>
      </c>
    </row>
    <row r="122" spans="1:15" x14ac:dyDescent="0.25">
      <c r="A122">
        <v>1427</v>
      </c>
      <c r="B122">
        <v>3194</v>
      </c>
      <c r="C122" t="s">
        <v>320</v>
      </c>
      <c r="D122" t="s">
        <v>364</v>
      </c>
      <c r="E122" t="s">
        <v>1207</v>
      </c>
      <c r="F122" s="1">
        <v>45340</v>
      </c>
      <c r="G122" s="34" t="str">
        <f t="shared" si="1"/>
        <v>Feb</v>
      </c>
      <c r="H122">
        <v>2</v>
      </c>
      <c r="I122" t="s">
        <v>1242</v>
      </c>
      <c r="J122" t="s">
        <v>1220</v>
      </c>
      <c r="K122">
        <v>0.2</v>
      </c>
      <c r="L122">
        <v>240.4</v>
      </c>
      <c r="M122">
        <v>1202</v>
      </c>
      <c r="N122">
        <v>961.6</v>
      </c>
      <c r="O122" t="s">
        <v>13</v>
      </c>
    </row>
    <row r="123" spans="1:15" x14ac:dyDescent="0.25">
      <c r="A123">
        <v>1490</v>
      </c>
      <c r="B123">
        <v>3257</v>
      </c>
      <c r="C123" t="s">
        <v>463</v>
      </c>
      <c r="D123" t="s">
        <v>181</v>
      </c>
      <c r="E123" t="s">
        <v>1203</v>
      </c>
      <c r="F123" s="1">
        <v>45340</v>
      </c>
      <c r="G123" s="34" t="str">
        <f t="shared" si="1"/>
        <v>Feb</v>
      </c>
      <c r="H123">
        <v>1</v>
      </c>
      <c r="I123" t="s">
        <v>14</v>
      </c>
      <c r="J123" t="s">
        <v>1220</v>
      </c>
      <c r="K123">
        <v>0.3</v>
      </c>
      <c r="L123">
        <v>119.7</v>
      </c>
      <c r="M123">
        <v>399</v>
      </c>
      <c r="N123">
        <v>279.3</v>
      </c>
      <c r="O123" t="s">
        <v>15</v>
      </c>
    </row>
    <row r="124" spans="1:15" x14ac:dyDescent="0.25">
      <c r="A124">
        <v>1780</v>
      </c>
      <c r="B124">
        <v>3548</v>
      </c>
      <c r="C124" t="s">
        <v>805</v>
      </c>
      <c r="D124" t="s">
        <v>806</v>
      </c>
      <c r="E124" t="s">
        <v>1205</v>
      </c>
      <c r="F124" s="1">
        <v>45340</v>
      </c>
      <c r="G124" s="34" t="str">
        <f t="shared" si="1"/>
        <v>Feb</v>
      </c>
      <c r="H124">
        <v>3</v>
      </c>
      <c r="I124" t="s">
        <v>1242</v>
      </c>
      <c r="J124" t="s">
        <v>1233</v>
      </c>
      <c r="K124">
        <v>0.1</v>
      </c>
      <c r="L124">
        <v>94.5</v>
      </c>
      <c r="M124">
        <v>945</v>
      </c>
      <c r="N124">
        <v>850.5</v>
      </c>
      <c r="O124" t="s">
        <v>13</v>
      </c>
    </row>
    <row r="125" spans="1:15" x14ac:dyDescent="0.25">
      <c r="A125">
        <v>1796</v>
      </c>
      <c r="B125">
        <v>3564</v>
      </c>
      <c r="C125" t="s">
        <v>653</v>
      </c>
      <c r="D125" t="s">
        <v>825</v>
      </c>
      <c r="E125" t="s">
        <v>1249</v>
      </c>
      <c r="F125" s="1">
        <v>45340</v>
      </c>
      <c r="G125" s="34" t="str">
        <f t="shared" si="1"/>
        <v>Feb</v>
      </c>
      <c r="H125">
        <v>2</v>
      </c>
      <c r="I125" t="s">
        <v>14</v>
      </c>
      <c r="J125" t="s">
        <v>1224</v>
      </c>
      <c r="K125">
        <v>0.25</v>
      </c>
      <c r="L125">
        <v>348.5</v>
      </c>
      <c r="M125">
        <v>1394</v>
      </c>
      <c r="N125">
        <v>1045.5</v>
      </c>
      <c r="O125" t="s">
        <v>19</v>
      </c>
    </row>
    <row r="126" spans="1:15" x14ac:dyDescent="0.25">
      <c r="A126">
        <v>1839</v>
      </c>
      <c r="B126">
        <v>3607</v>
      </c>
      <c r="C126" t="s">
        <v>515</v>
      </c>
      <c r="D126" t="s">
        <v>698</v>
      </c>
      <c r="E126" t="s">
        <v>1248</v>
      </c>
      <c r="F126" s="1">
        <v>45340</v>
      </c>
      <c r="G126" s="34" t="str">
        <f t="shared" si="1"/>
        <v>Feb</v>
      </c>
      <c r="H126">
        <v>3</v>
      </c>
      <c r="I126" t="s">
        <v>14</v>
      </c>
      <c r="J126" t="s">
        <v>1224</v>
      </c>
      <c r="K126">
        <v>0.25</v>
      </c>
      <c r="L126">
        <v>285.75</v>
      </c>
      <c r="M126">
        <v>1143</v>
      </c>
      <c r="N126">
        <v>857.25</v>
      </c>
      <c r="O126" t="s">
        <v>16</v>
      </c>
    </row>
    <row r="127" spans="1:15" x14ac:dyDescent="0.25">
      <c r="A127">
        <v>1867</v>
      </c>
      <c r="B127">
        <v>3635</v>
      </c>
      <c r="C127" t="s">
        <v>711</v>
      </c>
      <c r="D127" t="s">
        <v>596</v>
      </c>
      <c r="E127" t="s">
        <v>1205</v>
      </c>
      <c r="F127" s="1">
        <v>45340</v>
      </c>
      <c r="G127" s="34" t="str">
        <f t="shared" si="1"/>
        <v>Feb</v>
      </c>
      <c r="H127">
        <v>3</v>
      </c>
      <c r="I127" t="s">
        <v>1243</v>
      </c>
      <c r="J127" t="s">
        <v>1224</v>
      </c>
      <c r="K127">
        <v>0.1</v>
      </c>
      <c r="L127">
        <v>128.30000000000001</v>
      </c>
      <c r="M127">
        <v>1283</v>
      </c>
      <c r="N127">
        <v>1154.7</v>
      </c>
      <c r="O127" t="s">
        <v>15</v>
      </c>
    </row>
    <row r="128" spans="1:15" x14ac:dyDescent="0.25">
      <c r="A128">
        <v>2185</v>
      </c>
      <c r="B128">
        <v>3954</v>
      </c>
      <c r="C128" t="s">
        <v>846</v>
      </c>
      <c r="D128" t="s">
        <v>1056</v>
      </c>
      <c r="E128" t="s">
        <v>1207</v>
      </c>
      <c r="F128" s="1">
        <v>45340</v>
      </c>
      <c r="G128" s="34" t="str">
        <f t="shared" si="1"/>
        <v>Feb</v>
      </c>
      <c r="H128">
        <v>2</v>
      </c>
      <c r="I128" t="s">
        <v>1242</v>
      </c>
      <c r="J128" t="s">
        <v>1224</v>
      </c>
      <c r="K128">
        <v>0.2</v>
      </c>
      <c r="L128">
        <v>291.2</v>
      </c>
      <c r="M128">
        <v>1456</v>
      </c>
      <c r="N128">
        <v>1164.8</v>
      </c>
      <c r="O128" t="s">
        <v>13</v>
      </c>
    </row>
    <row r="129" spans="1:15" x14ac:dyDescent="0.25">
      <c r="A129">
        <v>1629</v>
      </c>
      <c r="B129">
        <v>3397</v>
      </c>
      <c r="C129" t="s">
        <v>146</v>
      </c>
      <c r="D129" t="s">
        <v>300</v>
      </c>
      <c r="E129" t="s">
        <v>1249</v>
      </c>
      <c r="F129" s="1">
        <v>45341</v>
      </c>
      <c r="G129" s="34" t="str">
        <f t="shared" si="1"/>
        <v>Feb</v>
      </c>
      <c r="H129">
        <v>2</v>
      </c>
      <c r="I129" t="s">
        <v>1242</v>
      </c>
      <c r="J129" t="s">
        <v>1233</v>
      </c>
      <c r="K129">
        <v>0.25</v>
      </c>
      <c r="L129">
        <v>289.75</v>
      </c>
      <c r="M129">
        <v>1159</v>
      </c>
      <c r="N129">
        <v>869.25</v>
      </c>
      <c r="O129" t="s">
        <v>15</v>
      </c>
    </row>
    <row r="130" spans="1:15" x14ac:dyDescent="0.25">
      <c r="A130">
        <v>1869</v>
      </c>
      <c r="B130">
        <v>3637</v>
      </c>
      <c r="C130" t="s">
        <v>899</v>
      </c>
      <c r="D130" t="s">
        <v>75</v>
      </c>
      <c r="E130" t="s">
        <v>1248</v>
      </c>
      <c r="F130" s="1">
        <v>45341</v>
      </c>
      <c r="G130" s="34" t="str">
        <f t="shared" ref="G130:G193" si="2">TEXT(F130, "MMM")</f>
        <v>Feb</v>
      </c>
      <c r="H130">
        <v>2</v>
      </c>
      <c r="I130" t="s">
        <v>1243</v>
      </c>
      <c r="J130" t="s">
        <v>1218</v>
      </c>
      <c r="K130">
        <v>0.25</v>
      </c>
      <c r="L130">
        <v>108.25</v>
      </c>
      <c r="M130">
        <v>433</v>
      </c>
      <c r="N130">
        <v>324.75</v>
      </c>
      <c r="O130" t="s">
        <v>19</v>
      </c>
    </row>
    <row r="131" spans="1:15" x14ac:dyDescent="0.25">
      <c r="A131">
        <v>1851</v>
      </c>
      <c r="B131">
        <v>3619</v>
      </c>
      <c r="C131" t="s">
        <v>688</v>
      </c>
      <c r="D131" t="s">
        <v>415</v>
      </c>
      <c r="E131" t="s">
        <v>1208</v>
      </c>
      <c r="F131" s="1">
        <v>45342</v>
      </c>
      <c r="G131" s="34" t="str">
        <f t="shared" si="2"/>
        <v>Feb</v>
      </c>
      <c r="H131">
        <v>2</v>
      </c>
      <c r="I131" t="s">
        <v>18</v>
      </c>
      <c r="J131" t="s">
        <v>1220</v>
      </c>
      <c r="K131">
        <v>0.3</v>
      </c>
      <c r="L131">
        <v>168.3</v>
      </c>
      <c r="M131">
        <v>561</v>
      </c>
      <c r="N131">
        <v>392.7</v>
      </c>
      <c r="O131" t="s">
        <v>1200</v>
      </c>
    </row>
    <row r="132" spans="1:15" x14ac:dyDescent="0.25">
      <c r="A132">
        <v>1909</v>
      </c>
      <c r="B132">
        <v>3677</v>
      </c>
      <c r="C132" t="s">
        <v>50</v>
      </c>
      <c r="D132" t="s">
        <v>304</v>
      </c>
      <c r="E132" t="s">
        <v>1203</v>
      </c>
      <c r="F132" s="1">
        <v>45342</v>
      </c>
      <c r="G132" s="34" t="str">
        <f t="shared" si="2"/>
        <v>Feb</v>
      </c>
      <c r="H132">
        <v>2</v>
      </c>
      <c r="I132" t="s">
        <v>1242</v>
      </c>
      <c r="J132" t="s">
        <v>1224</v>
      </c>
      <c r="K132">
        <v>0.3</v>
      </c>
      <c r="L132">
        <v>459.6</v>
      </c>
      <c r="M132">
        <v>1532</v>
      </c>
      <c r="N132">
        <v>1072.4000000000001</v>
      </c>
      <c r="O132" t="s">
        <v>15</v>
      </c>
    </row>
    <row r="133" spans="1:15" x14ac:dyDescent="0.25">
      <c r="A133">
        <v>1343</v>
      </c>
      <c r="B133">
        <v>3110</v>
      </c>
      <c r="C133" t="s">
        <v>229</v>
      </c>
      <c r="D133" t="s">
        <v>230</v>
      </c>
      <c r="E133" t="s">
        <v>1207</v>
      </c>
      <c r="F133" s="1">
        <v>45343</v>
      </c>
      <c r="G133" s="34" t="str">
        <f t="shared" si="2"/>
        <v>Feb</v>
      </c>
      <c r="H133">
        <v>2</v>
      </c>
      <c r="I133" t="s">
        <v>1242</v>
      </c>
      <c r="J133" t="s">
        <v>1224</v>
      </c>
      <c r="K133">
        <v>0.2</v>
      </c>
      <c r="L133">
        <v>245.2</v>
      </c>
      <c r="M133">
        <v>1226</v>
      </c>
      <c r="N133">
        <v>980.8</v>
      </c>
      <c r="O133" t="s">
        <v>16</v>
      </c>
    </row>
    <row r="134" spans="1:15" x14ac:dyDescent="0.25">
      <c r="A134">
        <v>2067</v>
      </c>
      <c r="B134">
        <v>3835</v>
      </c>
      <c r="C134" t="s">
        <v>1069</v>
      </c>
      <c r="D134" t="s">
        <v>1070</v>
      </c>
      <c r="E134" t="s">
        <v>1249</v>
      </c>
      <c r="F134" s="1">
        <v>45343</v>
      </c>
      <c r="G134" s="34" t="str">
        <f t="shared" si="2"/>
        <v>Feb</v>
      </c>
      <c r="H134">
        <v>1</v>
      </c>
      <c r="I134" t="s">
        <v>18</v>
      </c>
      <c r="J134" t="s">
        <v>1214</v>
      </c>
      <c r="K134">
        <v>0.25</v>
      </c>
      <c r="L134">
        <v>294.5</v>
      </c>
      <c r="M134">
        <v>1178</v>
      </c>
      <c r="N134">
        <v>883.5</v>
      </c>
      <c r="O134" t="s">
        <v>19</v>
      </c>
    </row>
    <row r="135" spans="1:15" x14ac:dyDescent="0.25">
      <c r="A135">
        <v>2156</v>
      </c>
      <c r="B135">
        <v>3925</v>
      </c>
      <c r="C135" t="s">
        <v>1040</v>
      </c>
      <c r="D135" t="s">
        <v>936</v>
      </c>
      <c r="E135" t="s">
        <v>1203</v>
      </c>
      <c r="F135" s="1">
        <v>45343</v>
      </c>
      <c r="G135" s="34" t="str">
        <f t="shared" si="2"/>
        <v>Feb</v>
      </c>
      <c r="H135">
        <v>3</v>
      </c>
      <c r="I135" t="s">
        <v>1242</v>
      </c>
      <c r="J135" t="s">
        <v>1233</v>
      </c>
      <c r="K135">
        <v>0.3</v>
      </c>
      <c r="L135">
        <v>309.3</v>
      </c>
      <c r="M135">
        <v>1031</v>
      </c>
      <c r="N135">
        <v>721.7</v>
      </c>
      <c r="O135" t="s">
        <v>15</v>
      </c>
    </row>
    <row r="136" spans="1:15" x14ac:dyDescent="0.25">
      <c r="A136">
        <v>2172</v>
      </c>
      <c r="B136">
        <v>3941</v>
      </c>
      <c r="C136" t="s">
        <v>952</v>
      </c>
      <c r="D136" t="s">
        <v>209</v>
      </c>
      <c r="E136" t="s">
        <v>1248</v>
      </c>
      <c r="F136" s="1">
        <v>45343</v>
      </c>
      <c r="G136" s="34" t="str">
        <f t="shared" si="2"/>
        <v>Feb</v>
      </c>
      <c r="H136">
        <v>3</v>
      </c>
      <c r="I136" t="s">
        <v>1242</v>
      </c>
      <c r="J136" t="s">
        <v>1222</v>
      </c>
      <c r="K136">
        <v>0.25</v>
      </c>
      <c r="L136">
        <v>4.25</v>
      </c>
      <c r="M136">
        <v>17</v>
      </c>
      <c r="N136">
        <v>12.75</v>
      </c>
      <c r="O136" t="s">
        <v>19</v>
      </c>
    </row>
    <row r="137" spans="1:15" x14ac:dyDescent="0.25">
      <c r="A137">
        <v>1373</v>
      </c>
      <c r="B137">
        <v>3140</v>
      </c>
      <c r="C137" t="s">
        <v>279</v>
      </c>
      <c r="D137" t="s">
        <v>280</v>
      </c>
      <c r="E137" t="s">
        <v>1205</v>
      </c>
      <c r="F137" s="1">
        <v>45344</v>
      </c>
      <c r="G137" s="34" t="str">
        <f t="shared" si="2"/>
        <v>Feb</v>
      </c>
      <c r="H137">
        <v>1</v>
      </c>
      <c r="I137" t="s">
        <v>1243</v>
      </c>
      <c r="J137" t="s">
        <v>1216</v>
      </c>
      <c r="K137">
        <v>0.1</v>
      </c>
      <c r="L137">
        <v>59.1</v>
      </c>
      <c r="M137">
        <v>591</v>
      </c>
      <c r="N137">
        <v>531.9</v>
      </c>
      <c r="O137" t="s">
        <v>16</v>
      </c>
    </row>
    <row r="138" spans="1:15" x14ac:dyDescent="0.25">
      <c r="A138">
        <v>1437</v>
      </c>
      <c r="B138">
        <v>3204</v>
      </c>
      <c r="C138" t="s">
        <v>379</v>
      </c>
      <c r="D138" t="s">
        <v>380</v>
      </c>
      <c r="E138" t="s">
        <v>1207</v>
      </c>
      <c r="F138" s="1">
        <v>45344</v>
      </c>
      <c r="G138" s="34" t="str">
        <f t="shared" si="2"/>
        <v>Feb</v>
      </c>
      <c r="H138">
        <v>1</v>
      </c>
      <c r="I138" t="s">
        <v>14</v>
      </c>
      <c r="J138" t="s">
        <v>1233</v>
      </c>
      <c r="K138">
        <v>0.2</v>
      </c>
      <c r="L138">
        <v>138.4</v>
      </c>
      <c r="M138">
        <v>692</v>
      </c>
      <c r="N138">
        <v>553.6</v>
      </c>
      <c r="O138" t="s">
        <v>13</v>
      </c>
    </row>
    <row r="139" spans="1:15" x14ac:dyDescent="0.25">
      <c r="A139">
        <v>1697</v>
      </c>
      <c r="B139">
        <v>3465</v>
      </c>
      <c r="C139" t="s">
        <v>691</v>
      </c>
      <c r="D139" t="s">
        <v>721</v>
      </c>
      <c r="E139" t="s">
        <v>1207</v>
      </c>
      <c r="F139" s="1">
        <v>45344</v>
      </c>
      <c r="G139" s="34" t="str">
        <f t="shared" si="2"/>
        <v>Feb</v>
      </c>
      <c r="H139">
        <v>1</v>
      </c>
      <c r="I139" t="s">
        <v>1242</v>
      </c>
      <c r="J139" t="s">
        <v>1218</v>
      </c>
      <c r="K139">
        <v>0.2</v>
      </c>
      <c r="L139">
        <v>193</v>
      </c>
      <c r="M139">
        <v>965</v>
      </c>
      <c r="N139">
        <v>772</v>
      </c>
      <c r="O139" t="s">
        <v>1200</v>
      </c>
    </row>
    <row r="140" spans="1:15" x14ac:dyDescent="0.25">
      <c r="A140">
        <v>1379</v>
      </c>
      <c r="B140">
        <v>3146</v>
      </c>
      <c r="C140" t="s">
        <v>290</v>
      </c>
      <c r="D140" t="s">
        <v>291</v>
      </c>
      <c r="E140" t="s">
        <v>1248</v>
      </c>
      <c r="F140" s="1">
        <v>45345</v>
      </c>
      <c r="G140" s="34" t="str">
        <f t="shared" si="2"/>
        <v>Feb</v>
      </c>
      <c r="H140">
        <v>3</v>
      </c>
      <c r="I140" t="s">
        <v>14</v>
      </c>
      <c r="J140" t="s">
        <v>1233</v>
      </c>
      <c r="K140">
        <v>0.25</v>
      </c>
      <c r="L140">
        <v>219</v>
      </c>
      <c r="M140">
        <v>876</v>
      </c>
      <c r="N140">
        <v>657</v>
      </c>
      <c r="O140" t="s">
        <v>16</v>
      </c>
    </row>
    <row r="141" spans="1:15" x14ac:dyDescent="0.25">
      <c r="A141">
        <v>1576</v>
      </c>
      <c r="B141">
        <v>3343</v>
      </c>
      <c r="C141" t="s">
        <v>573</v>
      </c>
      <c r="D141" t="s">
        <v>574</v>
      </c>
      <c r="E141" t="s">
        <v>1207</v>
      </c>
      <c r="F141" s="1">
        <v>45346</v>
      </c>
      <c r="G141" s="34" t="str">
        <f t="shared" si="2"/>
        <v>Feb</v>
      </c>
      <c r="H141">
        <v>3</v>
      </c>
      <c r="I141" t="s">
        <v>14</v>
      </c>
      <c r="J141" t="s">
        <v>1233</v>
      </c>
      <c r="K141">
        <v>0.2</v>
      </c>
      <c r="L141">
        <v>178</v>
      </c>
      <c r="M141">
        <v>890</v>
      </c>
      <c r="N141">
        <v>712</v>
      </c>
      <c r="O141" t="s">
        <v>1200</v>
      </c>
    </row>
    <row r="142" spans="1:15" x14ac:dyDescent="0.25">
      <c r="A142">
        <v>1813</v>
      </c>
      <c r="B142">
        <v>3581</v>
      </c>
      <c r="C142" t="s">
        <v>839</v>
      </c>
      <c r="D142" t="s">
        <v>840</v>
      </c>
      <c r="E142" t="s">
        <v>1248</v>
      </c>
      <c r="F142" s="1">
        <v>45347</v>
      </c>
      <c r="G142" s="34" t="str">
        <f t="shared" si="2"/>
        <v>Feb</v>
      </c>
      <c r="H142">
        <v>1</v>
      </c>
      <c r="I142" t="s">
        <v>14</v>
      </c>
      <c r="J142" t="s">
        <v>1222</v>
      </c>
      <c r="K142">
        <v>0.25</v>
      </c>
      <c r="L142">
        <v>213.5</v>
      </c>
      <c r="M142">
        <v>854</v>
      </c>
      <c r="N142">
        <v>640.5</v>
      </c>
      <c r="O142" t="s">
        <v>15</v>
      </c>
    </row>
    <row r="143" spans="1:15" x14ac:dyDescent="0.25">
      <c r="A143">
        <v>1261</v>
      </c>
      <c r="B143">
        <v>3028</v>
      </c>
      <c r="C143" t="s">
        <v>79</v>
      </c>
      <c r="D143" t="s">
        <v>80</v>
      </c>
      <c r="E143" t="s">
        <v>1249</v>
      </c>
      <c r="F143" s="1">
        <v>45348</v>
      </c>
      <c r="G143" s="34" t="str">
        <f t="shared" si="2"/>
        <v>Feb</v>
      </c>
      <c r="H143">
        <v>2</v>
      </c>
      <c r="I143" t="s">
        <v>1242</v>
      </c>
      <c r="J143" t="s">
        <v>1233</v>
      </c>
      <c r="K143">
        <v>0.25</v>
      </c>
      <c r="L143">
        <v>323.25</v>
      </c>
      <c r="M143">
        <v>1293</v>
      </c>
      <c r="N143">
        <v>969.75</v>
      </c>
      <c r="O143" t="s">
        <v>15</v>
      </c>
    </row>
    <row r="144" spans="1:15" x14ac:dyDescent="0.25">
      <c r="A144">
        <v>1597</v>
      </c>
      <c r="B144">
        <v>3364</v>
      </c>
      <c r="C144" t="s">
        <v>383</v>
      </c>
      <c r="D144" t="s">
        <v>597</v>
      </c>
      <c r="E144" t="s">
        <v>1205</v>
      </c>
      <c r="F144" s="1">
        <v>45348</v>
      </c>
      <c r="G144" s="34" t="str">
        <f t="shared" si="2"/>
        <v>Feb</v>
      </c>
      <c r="H144">
        <v>2</v>
      </c>
      <c r="I144" t="s">
        <v>1242</v>
      </c>
      <c r="J144" t="s">
        <v>1214</v>
      </c>
      <c r="K144">
        <v>0.1</v>
      </c>
      <c r="L144">
        <v>79.400000000000006</v>
      </c>
      <c r="M144">
        <v>794</v>
      </c>
      <c r="N144">
        <v>714.6</v>
      </c>
      <c r="O144" t="s">
        <v>1200</v>
      </c>
    </row>
    <row r="145" spans="1:15" x14ac:dyDescent="0.25">
      <c r="A145">
        <v>1600</v>
      </c>
      <c r="B145">
        <v>3367</v>
      </c>
      <c r="C145" t="s">
        <v>80</v>
      </c>
      <c r="D145" t="s">
        <v>164</v>
      </c>
      <c r="E145" t="s">
        <v>1203</v>
      </c>
      <c r="F145" s="1">
        <v>45349</v>
      </c>
      <c r="G145" s="34" t="str">
        <f t="shared" si="2"/>
        <v>Feb</v>
      </c>
      <c r="H145">
        <v>2</v>
      </c>
      <c r="I145" t="s">
        <v>1243</v>
      </c>
      <c r="J145" t="s">
        <v>1218</v>
      </c>
      <c r="K145">
        <v>0.3</v>
      </c>
      <c r="L145">
        <v>364.5</v>
      </c>
      <c r="M145">
        <v>1215</v>
      </c>
      <c r="N145">
        <v>850.5</v>
      </c>
      <c r="O145" t="s">
        <v>16</v>
      </c>
    </row>
    <row r="146" spans="1:15" x14ac:dyDescent="0.25">
      <c r="A146">
        <v>1484</v>
      </c>
      <c r="B146">
        <v>3251</v>
      </c>
      <c r="C146" t="s">
        <v>301</v>
      </c>
      <c r="D146" t="s">
        <v>405</v>
      </c>
      <c r="E146" t="s">
        <v>1249</v>
      </c>
      <c r="F146" s="1">
        <v>45350</v>
      </c>
      <c r="G146" s="34" t="str">
        <f t="shared" si="2"/>
        <v>Feb</v>
      </c>
      <c r="H146">
        <v>1</v>
      </c>
      <c r="I146" t="s">
        <v>14</v>
      </c>
      <c r="J146" t="s">
        <v>1222</v>
      </c>
      <c r="K146">
        <v>0.25</v>
      </c>
      <c r="L146">
        <v>80.25</v>
      </c>
      <c r="M146">
        <v>321</v>
      </c>
      <c r="N146">
        <v>240.75</v>
      </c>
      <c r="O146" t="s">
        <v>19</v>
      </c>
    </row>
    <row r="147" spans="1:15" x14ac:dyDescent="0.25">
      <c r="A147">
        <v>1497</v>
      </c>
      <c r="B147">
        <v>3264</v>
      </c>
      <c r="C147" t="s">
        <v>36</v>
      </c>
      <c r="D147" t="s">
        <v>471</v>
      </c>
      <c r="E147" t="s">
        <v>1207</v>
      </c>
      <c r="F147" s="1">
        <v>45350</v>
      </c>
      <c r="G147" s="34" t="str">
        <f t="shared" si="2"/>
        <v>Feb</v>
      </c>
      <c r="H147">
        <v>2</v>
      </c>
      <c r="I147" t="s">
        <v>1242</v>
      </c>
      <c r="J147" t="s">
        <v>1222</v>
      </c>
      <c r="K147">
        <v>0.2</v>
      </c>
      <c r="L147">
        <v>298.60000000000002</v>
      </c>
      <c r="M147">
        <v>1493</v>
      </c>
      <c r="N147">
        <v>1194.4000000000001</v>
      </c>
      <c r="O147" t="s">
        <v>1200</v>
      </c>
    </row>
    <row r="148" spans="1:15" x14ac:dyDescent="0.25">
      <c r="A148">
        <v>1859</v>
      </c>
      <c r="B148">
        <v>3627</v>
      </c>
      <c r="C148" t="s">
        <v>887</v>
      </c>
      <c r="D148" t="s">
        <v>888</v>
      </c>
      <c r="E148" t="s">
        <v>1203</v>
      </c>
      <c r="F148" s="1">
        <v>45350</v>
      </c>
      <c r="G148" s="34" t="str">
        <f t="shared" si="2"/>
        <v>Feb</v>
      </c>
      <c r="H148">
        <v>1</v>
      </c>
      <c r="I148" t="s">
        <v>1242</v>
      </c>
      <c r="J148" t="s">
        <v>1220</v>
      </c>
      <c r="K148">
        <v>0.3</v>
      </c>
      <c r="L148">
        <v>351.3</v>
      </c>
      <c r="M148">
        <v>1171</v>
      </c>
      <c r="N148">
        <v>819.7</v>
      </c>
      <c r="O148" t="s">
        <v>1200</v>
      </c>
    </row>
    <row r="149" spans="1:15" x14ac:dyDescent="0.25">
      <c r="A149">
        <v>2072</v>
      </c>
      <c r="B149">
        <v>3840</v>
      </c>
      <c r="C149" t="s">
        <v>212</v>
      </c>
      <c r="D149" t="s">
        <v>79</v>
      </c>
      <c r="E149" t="s">
        <v>1249</v>
      </c>
      <c r="F149" s="1">
        <v>45350</v>
      </c>
      <c r="G149" s="34" t="str">
        <f t="shared" si="2"/>
        <v>Feb</v>
      </c>
      <c r="H149">
        <v>3</v>
      </c>
      <c r="I149" t="s">
        <v>1242</v>
      </c>
      <c r="J149" t="s">
        <v>1224</v>
      </c>
      <c r="K149">
        <v>0.25</v>
      </c>
      <c r="L149">
        <v>40.5</v>
      </c>
      <c r="M149">
        <v>162</v>
      </c>
      <c r="N149">
        <v>121.5</v>
      </c>
      <c r="O149" t="s">
        <v>1200</v>
      </c>
    </row>
    <row r="150" spans="1:15" x14ac:dyDescent="0.25">
      <c r="A150">
        <v>2160</v>
      </c>
      <c r="B150">
        <v>3929</v>
      </c>
      <c r="C150" t="s">
        <v>1013</v>
      </c>
      <c r="D150" t="s">
        <v>1154</v>
      </c>
      <c r="E150" t="s">
        <v>1249</v>
      </c>
      <c r="F150" s="1">
        <v>45350</v>
      </c>
      <c r="G150" s="34" t="str">
        <f t="shared" si="2"/>
        <v>Feb</v>
      </c>
      <c r="H150">
        <v>3</v>
      </c>
      <c r="I150" t="s">
        <v>14</v>
      </c>
      <c r="J150" t="s">
        <v>1214</v>
      </c>
      <c r="K150">
        <v>0.25</v>
      </c>
      <c r="L150">
        <v>356.5</v>
      </c>
      <c r="M150">
        <v>1426</v>
      </c>
      <c r="N150">
        <v>1069.5</v>
      </c>
      <c r="O150" t="s">
        <v>13</v>
      </c>
    </row>
    <row r="151" spans="1:15" x14ac:dyDescent="0.25">
      <c r="A151">
        <v>1665</v>
      </c>
      <c r="B151">
        <v>3433</v>
      </c>
      <c r="C151" t="s">
        <v>677</v>
      </c>
      <c r="D151" t="s">
        <v>678</v>
      </c>
      <c r="E151" t="s">
        <v>1248</v>
      </c>
      <c r="F151" s="1">
        <v>45351</v>
      </c>
      <c r="G151" s="34" t="str">
        <f t="shared" si="2"/>
        <v>Feb</v>
      </c>
      <c r="H151">
        <v>1</v>
      </c>
      <c r="I151" t="s">
        <v>14</v>
      </c>
      <c r="J151" t="s">
        <v>1222</v>
      </c>
      <c r="K151">
        <v>0.25</v>
      </c>
      <c r="L151">
        <v>309.75</v>
      </c>
      <c r="M151">
        <v>1239</v>
      </c>
      <c r="N151">
        <v>929.25</v>
      </c>
      <c r="O151" t="s">
        <v>13</v>
      </c>
    </row>
    <row r="152" spans="1:15" x14ac:dyDescent="0.25">
      <c r="A152">
        <v>2215</v>
      </c>
      <c r="B152">
        <v>3984</v>
      </c>
      <c r="C152" t="s">
        <v>949</v>
      </c>
      <c r="D152" t="s">
        <v>1187</v>
      </c>
      <c r="E152" t="s">
        <v>1205</v>
      </c>
      <c r="F152" s="1">
        <v>45351</v>
      </c>
      <c r="G152" s="34" t="str">
        <f t="shared" si="2"/>
        <v>Feb</v>
      </c>
      <c r="H152">
        <v>1</v>
      </c>
      <c r="I152" t="s">
        <v>1242</v>
      </c>
      <c r="J152" t="s">
        <v>1220</v>
      </c>
      <c r="K152">
        <v>0.1</v>
      </c>
      <c r="L152">
        <v>30.5</v>
      </c>
      <c r="M152">
        <v>305</v>
      </c>
      <c r="N152">
        <v>274.5</v>
      </c>
      <c r="O152" t="s">
        <v>16</v>
      </c>
    </row>
    <row r="153" spans="1:15" x14ac:dyDescent="0.25">
      <c r="A153">
        <v>1632</v>
      </c>
      <c r="B153">
        <v>3400</v>
      </c>
      <c r="C153" t="s">
        <v>636</v>
      </c>
      <c r="D153" t="s">
        <v>431</v>
      </c>
      <c r="E153" t="s">
        <v>1203</v>
      </c>
      <c r="F153" s="1">
        <v>45352</v>
      </c>
      <c r="G153" s="34" t="str">
        <f t="shared" si="2"/>
        <v>Mar</v>
      </c>
      <c r="H153">
        <v>2</v>
      </c>
      <c r="I153" t="s">
        <v>14</v>
      </c>
      <c r="J153" t="s">
        <v>1220</v>
      </c>
      <c r="K153">
        <v>0.3</v>
      </c>
      <c r="L153">
        <v>94.2</v>
      </c>
      <c r="M153">
        <v>314</v>
      </c>
      <c r="N153">
        <v>219.8</v>
      </c>
      <c r="O153" t="s">
        <v>1200</v>
      </c>
    </row>
    <row r="154" spans="1:15" x14ac:dyDescent="0.25">
      <c r="A154">
        <v>1782</v>
      </c>
      <c r="B154">
        <v>3550</v>
      </c>
      <c r="C154" t="s">
        <v>224</v>
      </c>
      <c r="D154" t="s">
        <v>258</v>
      </c>
      <c r="E154" t="s">
        <v>1207</v>
      </c>
      <c r="F154" s="1">
        <v>45352</v>
      </c>
      <c r="G154" s="34" t="str">
        <f t="shared" si="2"/>
        <v>Mar</v>
      </c>
      <c r="H154">
        <v>2</v>
      </c>
      <c r="I154" t="s">
        <v>1242</v>
      </c>
      <c r="J154" t="s">
        <v>1224</v>
      </c>
      <c r="K154">
        <v>0.2</v>
      </c>
      <c r="L154">
        <v>115</v>
      </c>
      <c r="M154">
        <v>575</v>
      </c>
      <c r="N154">
        <v>460</v>
      </c>
      <c r="O154" t="s">
        <v>19</v>
      </c>
    </row>
    <row r="155" spans="1:15" x14ac:dyDescent="0.25">
      <c r="A155">
        <v>2189</v>
      </c>
      <c r="B155">
        <v>3958</v>
      </c>
      <c r="C155" t="s">
        <v>373</v>
      </c>
      <c r="D155" t="s">
        <v>1172</v>
      </c>
      <c r="E155" t="s">
        <v>1249</v>
      </c>
      <c r="F155" s="1">
        <v>45352</v>
      </c>
      <c r="G155" s="34" t="str">
        <f t="shared" si="2"/>
        <v>Mar</v>
      </c>
      <c r="H155">
        <v>3</v>
      </c>
      <c r="I155" t="s">
        <v>1242</v>
      </c>
      <c r="J155" t="s">
        <v>1224</v>
      </c>
      <c r="K155">
        <v>0.25</v>
      </c>
      <c r="L155">
        <v>353.75</v>
      </c>
      <c r="M155">
        <v>1415</v>
      </c>
      <c r="N155">
        <v>1061.25</v>
      </c>
      <c r="O155" t="s">
        <v>13</v>
      </c>
    </row>
    <row r="156" spans="1:15" x14ac:dyDescent="0.25">
      <c r="A156">
        <v>1605</v>
      </c>
      <c r="B156">
        <v>3372</v>
      </c>
      <c r="C156" t="s">
        <v>606</v>
      </c>
      <c r="D156" t="s">
        <v>607</v>
      </c>
      <c r="E156" t="s">
        <v>1249</v>
      </c>
      <c r="F156" s="1">
        <v>45353</v>
      </c>
      <c r="G156" s="34" t="str">
        <f t="shared" si="2"/>
        <v>Mar</v>
      </c>
      <c r="H156">
        <v>3</v>
      </c>
      <c r="I156" t="s">
        <v>1242</v>
      </c>
      <c r="J156" t="s">
        <v>1220</v>
      </c>
      <c r="K156">
        <v>0.25</v>
      </c>
      <c r="L156">
        <v>75.25</v>
      </c>
      <c r="M156">
        <v>301</v>
      </c>
      <c r="N156">
        <v>225.75</v>
      </c>
      <c r="O156" t="s">
        <v>19</v>
      </c>
    </row>
    <row r="157" spans="1:15" x14ac:dyDescent="0.25">
      <c r="A157">
        <v>1691</v>
      </c>
      <c r="B157">
        <v>3459</v>
      </c>
      <c r="C157" t="s">
        <v>713</v>
      </c>
      <c r="D157" t="s">
        <v>714</v>
      </c>
      <c r="E157" t="s">
        <v>1248</v>
      </c>
      <c r="F157" s="1">
        <v>45353</v>
      </c>
      <c r="G157" s="34" t="str">
        <f t="shared" si="2"/>
        <v>Mar</v>
      </c>
      <c r="H157">
        <v>1</v>
      </c>
      <c r="I157" t="s">
        <v>1242</v>
      </c>
      <c r="J157" t="s">
        <v>1233</v>
      </c>
      <c r="K157">
        <v>0.25</v>
      </c>
      <c r="L157">
        <v>403.75</v>
      </c>
      <c r="M157">
        <v>1615</v>
      </c>
      <c r="N157">
        <v>1211.25</v>
      </c>
      <c r="O157" t="s">
        <v>13</v>
      </c>
    </row>
    <row r="158" spans="1:15" x14ac:dyDescent="0.25">
      <c r="A158">
        <v>1827</v>
      </c>
      <c r="B158">
        <v>3595</v>
      </c>
      <c r="C158" t="s">
        <v>854</v>
      </c>
      <c r="D158" t="s">
        <v>855</v>
      </c>
      <c r="E158" t="s">
        <v>1248</v>
      </c>
      <c r="F158" s="1">
        <v>45353</v>
      </c>
      <c r="G158" s="34" t="str">
        <f t="shared" si="2"/>
        <v>Mar</v>
      </c>
      <c r="H158">
        <v>3</v>
      </c>
      <c r="I158" t="s">
        <v>14</v>
      </c>
      <c r="J158" t="s">
        <v>1228</v>
      </c>
      <c r="K158">
        <v>0.25</v>
      </c>
      <c r="L158">
        <v>222.25</v>
      </c>
      <c r="M158">
        <v>889</v>
      </c>
      <c r="N158">
        <v>666.75</v>
      </c>
      <c r="O158" t="s">
        <v>1200</v>
      </c>
    </row>
    <row r="159" spans="1:15" x14ac:dyDescent="0.25">
      <c r="A159">
        <v>2061</v>
      </c>
      <c r="B159">
        <v>3829</v>
      </c>
      <c r="C159" t="s">
        <v>149</v>
      </c>
      <c r="D159" t="s">
        <v>1065</v>
      </c>
      <c r="E159" t="s">
        <v>1249</v>
      </c>
      <c r="F159" s="1">
        <v>45353</v>
      </c>
      <c r="G159" s="34" t="str">
        <f t="shared" si="2"/>
        <v>Mar</v>
      </c>
      <c r="H159">
        <v>3</v>
      </c>
      <c r="I159" t="s">
        <v>1243</v>
      </c>
      <c r="J159" t="s">
        <v>1222</v>
      </c>
      <c r="K159">
        <v>0.25</v>
      </c>
      <c r="L159">
        <v>127.75</v>
      </c>
      <c r="M159">
        <v>511</v>
      </c>
      <c r="N159">
        <v>383.25</v>
      </c>
      <c r="O159" t="s">
        <v>16</v>
      </c>
    </row>
    <row r="160" spans="1:15" x14ac:dyDescent="0.25">
      <c r="A160">
        <v>2170</v>
      </c>
      <c r="B160">
        <v>3939</v>
      </c>
      <c r="C160" t="s">
        <v>1154</v>
      </c>
      <c r="D160" t="s">
        <v>757</v>
      </c>
      <c r="E160" t="s">
        <v>1203</v>
      </c>
      <c r="F160" s="1">
        <v>45353</v>
      </c>
      <c r="G160" s="34" t="str">
        <f t="shared" si="2"/>
        <v>Mar</v>
      </c>
      <c r="H160">
        <v>3</v>
      </c>
      <c r="I160" t="s">
        <v>14</v>
      </c>
      <c r="J160" t="s">
        <v>1216</v>
      </c>
      <c r="K160">
        <v>0.3</v>
      </c>
      <c r="L160">
        <v>5.0999999999999996</v>
      </c>
      <c r="M160">
        <v>17</v>
      </c>
      <c r="N160">
        <v>11.9</v>
      </c>
      <c r="O160" t="s">
        <v>1200</v>
      </c>
    </row>
    <row r="161" spans="1:15" x14ac:dyDescent="0.25">
      <c r="A161">
        <v>2214</v>
      </c>
      <c r="B161">
        <v>3983</v>
      </c>
      <c r="C161" t="s">
        <v>629</v>
      </c>
      <c r="D161" t="s">
        <v>321</v>
      </c>
      <c r="E161" t="s">
        <v>1208</v>
      </c>
      <c r="F161" s="1">
        <v>45353</v>
      </c>
      <c r="G161" s="34" t="str">
        <f t="shared" si="2"/>
        <v>Mar</v>
      </c>
      <c r="H161">
        <v>2</v>
      </c>
      <c r="I161" t="s">
        <v>1242</v>
      </c>
      <c r="J161" t="s">
        <v>1224</v>
      </c>
      <c r="K161">
        <v>0.3</v>
      </c>
      <c r="L161">
        <v>423.3</v>
      </c>
      <c r="M161">
        <v>1411</v>
      </c>
      <c r="N161">
        <v>987.7</v>
      </c>
      <c r="O161" t="s">
        <v>15</v>
      </c>
    </row>
    <row r="162" spans="1:15" x14ac:dyDescent="0.25">
      <c r="A162">
        <v>1301</v>
      </c>
      <c r="B162">
        <v>3068</v>
      </c>
      <c r="C162" t="s">
        <v>154</v>
      </c>
      <c r="D162" t="s">
        <v>155</v>
      </c>
      <c r="E162" t="s">
        <v>1203</v>
      </c>
      <c r="F162" s="1">
        <v>45354</v>
      </c>
      <c r="G162" s="34" t="str">
        <f t="shared" si="2"/>
        <v>Mar</v>
      </c>
      <c r="H162">
        <v>3</v>
      </c>
      <c r="I162" t="s">
        <v>14</v>
      </c>
      <c r="J162" t="s">
        <v>1214</v>
      </c>
      <c r="K162">
        <v>0.3</v>
      </c>
      <c r="L162">
        <v>110.7</v>
      </c>
      <c r="M162">
        <v>369</v>
      </c>
      <c r="N162">
        <v>258.3</v>
      </c>
      <c r="O162" t="s">
        <v>13</v>
      </c>
    </row>
    <row r="163" spans="1:15" x14ac:dyDescent="0.25">
      <c r="A163">
        <v>1363</v>
      </c>
      <c r="B163">
        <v>3130</v>
      </c>
      <c r="C163" t="s">
        <v>261</v>
      </c>
      <c r="D163" t="s">
        <v>262</v>
      </c>
      <c r="E163" t="s">
        <v>1249</v>
      </c>
      <c r="F163" s="1">
        <v>45354</v>
      </c>
      <c r="G163" s="34" t="str">
        <f t="shared" si="2"/>
        <v>Mar</v>
      </c>
      <c r="H163">
        <v>1</v>
      </c>
      <c r="I163" t="s">
        <v>1243</v>
      </c>
      <c r="J163" t="s">
        <v>1222</v>
      </c>
      <c r="K163">
        <v>0.25</v>
      </c>
      <c r="L163">
        <v>168.75</v>
      </c>
      <c r="M163">
        <v>675</v>
      </c>
      <c r="N163">
        <v>506.25</v>
      </c>
      <c r="O163" t="s">
        <v>16</v>
      </c>
    </row>
    <row r="164" spans="1:15" x14ac:dyDescent="0.25">
      <c r="A164">
        <v>1374</v>
      </c>
      <c r="B164">
        <v>3141</v>
      </c>
      <c r="C164" t="s">
        <v>281</v>
      </c>
      <c r="D164" t="s">
        <v>282</v>
      </c>
      <c r="E164" t="s">
        <v>1205</v>
      </c>
      <c r="F164" s="1">
        <v>45354</v>
      </c>
      <c r="G164" s="34" t="str">
        <f t="shared" si="2"/>
        <v>Mar</v>
      </c>
      <c r="H164">
        <v>2</v>
      </c>
      <c r="I164" t="s">
        <v>14</v>
      </c>
      <c r="J164" t="s">
        <v>1216</v>
      </c>
      <c r="K164">
        <v>0.1</v>
      </c>
      <c r="L164">
        <v>58.9</v>
      </c>
      <c r="M164">
        <v>589</v>
      </c>
      <c r="N164">
        <v>530.1</v>
      </c>
      <c r="O164" t="s">
        <v>19</v>
      </c>
    </row>
    <row r="165" spans="1:15" x14ac:dyDescent="0.25">
      <c r="A165">
        <v>1477</v>
      </c>
      <c r="B165">
        <v>3244</v>
      </c>
      <c r="C165" t="s">
        <v>443</v>
      </c>
      <c r="D165" t="s">
        <v>444</v>
      </c>
      <c r="E165" t="s">
        <v>1205</v>
      </c>
      <c r="F165" s="1">
        <v>45354</v>
      </c>
      <c r="G165" s="34" t="str">
        <f t="shared" si="2"/>
        <v>Mar</v>
      </c>
      <c r="H165">
        <v>2</v>
      </c>
      <c r="I165" t="s">
        <v>14</v>
      </c>
      <c r="J165" t="s">
        <v>1216</v>
      </c>
      <c r="K165">
        <v>0.1</v>
      </c>
      <c r="L165">
        <v>173.2</v>
      </c>
      <c r="M165">
        <v>1732</v>
      </c>
      <c r="N165">
        <v>1558.8</v>
      </c>
      <c r="O165" t="s">
        <v>1200</v>
      </c>
    </row>
    <row r="166" spans="1:15" x14ac:dyDescent="0.25">
      <c r="A166">
        <v>1781</v>
      </c>
      <c r="B166">
        <v>3549</v>
      </c>
      <c r="C166" t="s">
        <v>325</v>
      </c>
      <c r="D166" t="s">
        <v>807</v>
      </c>
      <c r="E166" t="s">
        <v>1248</v>
      </c>
      <c r="F166" s="1">
        <v>45354</v>
      </c>
      <c r="G166" s="34" t="str">
        <f t="shared" si="2"/>
        <v>Mar</v>
      </c>
      <c r="H166">
        <v>1</v>
      </c>
      <c r="I166" t="s">
        <v>18</v>
      </c>
      <c r="J166" t="s">
        <v>1218</v>
      </c>
      <c r="K166">
        <v>0.25</v>
      </c>
      <c r="L166">
        <v>439.5</v>
      </c>
      <c r="M166">
        <v>1758</v>
      </c>
      <c r="N166">
        <v>1318.5</v>
      </c>
      <c r="O166" t="s">
        <v>15</v>
      </c>
    </row>
    <row r="167" spans="1:15" x14ac:dyDescent="0.25">
      <c r="A167">
        <v>1414</v>
      </c>
      <c r="B167">
        <v>3181</v>
      </c>
      <c r="C167" t="s">
        <v>341</v>
      </c>
      <c r="D167" t="s">
        <v>342</v>
      </c>
      <c r="E167" t="s">
        <v>1208</v>
      </c>
      <c r="F167" s="1">
        <v>45355</v>
      </c>
      <c r="G167" s="34" t="str">
        <f t="shared" si="2"/>
        <v>Mar</v>
      </c>
      <c r="H167">
        <v>2</v>
      </c>
      <c r="I167" t="s">
        <v>14</v>
      </c>
      <c r="J167" t="s">
        <v>1224</v>
      </c>
      <c r="K167">
        <v>0.3</v>
      </c>
      <c r="L167">
        <v>558</v>
      </c>
      <c r="M167">
        <v>1860</v>
      </c>
      <c r="N167">
        <v>1302</v>
      </c>
      <c r="O167" t="s">
        <v>15</v>
      </c>
    </row>
    <row r="168" spans="1:15" x14ac:dyDescent="0.25">
      <c r="A168">
        <v>1492</v>
      </c>
      <c r="B168">
        <v>3259</v>
      </c>
      <c r="C168" t="s">
        <v>465</v>
      </c>
      <c r="D168" t="s">
        <v>466</v>
      </c>
      <c r="E168" t="s">
        <v>1249</v>
      </c>
      <c r="F168" s="1">
        <v>45355</v>
      </c>
      <c r="G168" s="34" t="str">
        <f t="shared" si="2"/>
        <v>Mar</v>
      </c>
      <c r="H168">
        <v>2</v>
      </c>
      <c r="I168" t="s">
        <v>14</v>
      </c>
      <c r="J168" t="s">
        <v>1224</v>
      </c>
      <c r="K168">
        <v>0.25</v>
      </c>
      <c r="L168">
        <v>309.25</v>
      </c>
      <c r="M168">
        <v>1237</v>
      </c>
      <c r="N168">
        <v>927.75</v>
      </c>
      <c r="O168" t="s">
        <v>15</v>
      </c>
    </row>
    <row r="169" spans="1:15" x14ac:dyDescent="0.25">
      <c r="A169">
        <v>1964</v>
      </c>
      <c r="B169">
        <v>3732</v>
      </c>
      <c r="C169" t="s">
        <v>988</v>
      </c>
      <c r="D169" t="s">
        <v>989</v>
      </c>
      <c r="E169" t="s">
        <v>1205</v>
      </c>
      <c r="F169" s="1">
        <v>45355</v>
      </c>
      <c r="G169" s="34" t="str">
        <f t="shared" si="2"/>
        <v>Mar</v>
      </c>
      <c r="H169">
        <v>1</v>
      </c>
      <c r="I169" t="s">
        <v>1242</v>
      </c>
      <c r="J169" t="s">
        <v>1218</v>
      </c>
      <c r="K169">
        <v>0.1</v>
      </c>
      <c r="L169">
        <v>70.400000000000006</v>
      </c>
      <c r="M169">
        <v>704</v>
      </c>
      <c r="N169">
        <v>633.6</v>
      </c>
      <c r="O169" t="s">
        <v>16</v>
      </c>
    </row>
    <row r="170" spans="1:15" x14ac:dyDescent="0.25">
      <c r="A170">
        <v>1998</v>
      </c>
      <c r="B170">
        <v>3766</v>
      </c>
      <c r="C170" t="s">
        <v>79</v>
      </c>
      <c r="D170" t="s">
        <v>1015</v>
      </c>
      <c r="E170" t="s">
        <v>1249</v>
      </c>
      <c r="F170" s="1">
        <v>45355</v>
      </c>
      <c r="G170" s="34" t="str">
        <f t="shared" si="2"/>
        <v>Mar</v>
      </c>
      <c r="H170">
        <v>2</v>
      </c>
      <c r="I170" t="s">
        <v>18</v>
      </c>
      <c r="J170" t="s">
        <v>1233</v>
      </c>
      <c r="K170">
        <v>0.25</v>
      </c>
      <c r="L170">
        <v>261.25</v>
      </c>
      <c r="M170">
        <v>1045</v>
      </c>
      <c r="N170">
        <v>783.75</v>
      </c>
      <c r="O170" t="s">
        <v>16</v>
      </c>
    </row>
    <row r="171" spans="1:15" x14ac:dyDescent="0.25">
      <c r="A171">
        <v>1443</v>
      </c>
      <c r="B171">
        <v>3210</v>
      </c>
      <c r="C171" t="s">
        <v>389</v>
      </c>
      <c r="D171" t="s">
        <v>390</v>
      </c>
      <c r="E171" t="s">
        <v>1249</v>
      </c>
      <c r="F171" s="1">
        <v>45356</v>
      </c>
      <c r="G171" s="34" t="str">
        <f t="shared" si="2"/>
        <v>Mar</v>
      </c>
      <c r="H171">
        <v>2</v>
      </c>
      <c r="I171" t="s">
        <v>14</v>
      </c>
      <c r="J171" t="s">
        <v>1214</v>
      </c>
      <c r="K171">
        <v>0.25</v>
      </c>
      <c r="L171">
        <v>116.5</v>
      </c>
      <c r="M171">
        <v>466</v>
      </c>
      <c r="N171">
        <v>349.5</v>
      </c>
      <c r="O171" t="s">
        <v>13</v>
      </c>
    </row>
    <row r="172" spans="1:15" x14ac:dyDescent="0.25">
      <c r="A172">
        <v>1990</v>
      </c>
      <c r="B172">
        <v>3758</v>
      </c>
      <c r="C172" t="s">
        <v>648</v>
      </c>
      <c r="D172" t="s">
        <v>1009</v>
      </c>
      <c r="E172" t="s">
        <v>1249</v>
      </c>
      <c r="F172" s="1">
        <v>45356</v>
      </c>
      <c r="G172" s="34" t="str">
        <f t="shared" si="2"/>
        <v>Mar</v>
      </c>
      <c r="H172">
        <v>1</v>
      </c>
      <c r="I172" t="s">
        <v>14</v>
      </c>
      <c r="J172" t="s">
        <v>1214</v>
      </c>
      <c r="K172">
        <v>0.25</v>
      </c>
      <c r="L172">
        <v>66.75</v>
      </c>
      <c r="M172">
        <v>267</v>
      </c>
      <c r="N172">
        <v>200.25</v>
      </c>
      <c r="O172" t="s">
        <v>13</v>
      </c>
    </row>
    <row r="173" spans="1:15" x14ac:dyDescent="0.25">
      <c r="A173">
        <v>1442</v>
      </c>
      <c r="B173">
        <v>3209</v>
      </c>
      <c r="C173" t="s">
        <v>387</v>
      </c>
      <c r="D173" t="s">
        <v>388</v>
      </c>
      <c r="E173" t="s">
        <v>1208</v>
      </c>
      <c r="F173" s="1">
        <v>45357</v>
      </c>
      <c r="G173" s="34" t="str">
        <f t="shared" si="2"/>
        <v>Mar</v>
      </c>
      <c r="H173">
        <v>3</v>
      </c>
      <c r="I173" t="s">
        <v>14</v>
      </c>
      <c r="J173" t="s">
        <v>1220</v>
      </c>
      <c r="K173">
        <v>0.3</v>
      </c>
      <c r="L173">
        <v>228.3</v>
      </c>
      <c r="M173">
        <v>761</v>
      </c>
      <c r="N173">
        <v>532.70000000000005</v>
      </c>
      <c r="O173" t="s">
        <v>1200</v>
      </c>
    </row>
    <row r="174" spans="1:15" x14ac:dyDescent="0.25">
      <c r="A174">
        <v>1935</v>
      </c>
      <c r="B174">
        <v>3703</v>
      </c>
      <c r="C174" t="s">
        <v>432</v>
      </c>
      <c r="D174" t="s">
        <v>363</v>
      </c>
      <c r="E174" t="s">
        <v>1205</v>
      </c>
      <c r="F174" s="1">
        <v>45357</v>
      </c>
      <c r="G174" s="34" t="str">
        <f t="shared" si="2"/>
        <v>Mar</v>
      </c>
      <c r="H174">
        <v>3</v>
      </c>
      <c r="I174" t="s">
        <v>1243</v>
      </c>
      <c r="J174" t="s">
        <v>1224</v>
      </c>
      <c r="K174">
        <v>0.1</v>
      </c>
      <c r="L174">
        <v>96.1</v>
      </c>
      <c r="M174">
        <v>961</v>
      </c>
      <c r="N174">
        <v>864.9</v>
      </c>
      <c r="O174" t="s">
        <v>19</v>
      </c>
    </row>
    <row r="175" spans="1:15" x14ac:dyDescent="0.25">
      <c r="A175">
        <v>2064</v>
      </c>
      <c r="B175">
        <v>3832</v>
      </c>
      <c r="C175" t="s">
        <v>854</v>
      </c>
      <c r="D175" t="s">
        <v>643</v>
      </c>
      <c r="E175" t="s">
        <v>1249</v>
      </c>
      <c r="F175" s="1">
        <v>45357</v>
      </c>
      <c r="G175" s="34" t="str">
        <f t="shared" si="2"/>
        <v>Mar</v>
      </c>
      <c r="H175">
        <v>1</v>
      </c>
      <c r="I175" t="s">
        <v>1242</v>
      </c>
      <c r="J175" t="s">
        <v>1218</v>
      </c>
      <c r="K175">
        <v>0.25</v>
      </c>
      <c r="L175">
        <v>373.5</v>
      </c>
      <c r="M175">
        <v>1494</v>
      </c>
      <c r="N175">
        <v>1120.5</v>
      </c>
      <c r="O175" t="s">
        <v>16</v>
      </c>
    </row>
    <row r="176" spans="1:15" x14ac:dyDescent="0.25">
      <c r="A176">
        <v>1774</v>
      </c>
      <c r="B176">
        <v>3542</v>
      </c>
      <c r="C176" t="s">
        <v>645</v>
      </c>
      <c r="D176" t="s">
        <v>794</v>
      </c>
      <c r="E176" t="s">
        <v>1207</v>
      </c>
      <c r="F176" s="1">
        <v>45358</v>
      </c>
      <c r="G176" s="34" t="str">
        <f t="shared" si="2"/>
        <v>Mar</v>
      </c>
      <c r="H176">
        <v>2</v>
      </c>
      <c r="I176" t="s">
        <v>1242</v>
      </c>
      <c r="J176" t="s">
        <v>1228</v>
      </c>
      <c r="K176">
        <v>0.2</v>
      </c>
      <c r="L176">
        <v>117.8</v>
      </c>
      <c r="M176">
        <v>589</v>
      </c>
      <c r="N176">
        <v>471.2</v>
      </c>
      <c r="O176" t="s">
        <v>15</v>
      </c>
    </row>
    <row r="177" spans="1:15" x14ac:dyDescent="0.25">
      <c r="A177">
        <v>1836</v>
      </c>
      <c r="B177">
        <v>3604</v>
      </c>
      <c r="C177" t="s">
        <v>731</v>
      </c>
      <c r="D177" t="s">
        <v>470</v>
      </c>
      <c r="E177" t="s">
        <v>1249</v>
      </c>
      <c r="F177" s="1">
        <v>45358</v>
      </c>
      <c r="G177" s="34" t="str">
        <f t="shared" si="2"/>
        <v>Mar</v>
      </c>
      <c r="H177">
        <v>3</v>
      </c>
      <c r="I177" t="s">
        <v>1242</v>
      </c>
      <c r="J177" t="s">
        <v>1228</v>
      </c>
      <c r="K177">
        <v>0.25</v>
      </c>
      <c r="L177">
        <v>90.25</v>
      </c>
      <c r="M177">
        <v>361</v>
      </c>
      <c r="N177">
        <v>270.75</v>
      </c>
      <c r="O177" t="s">
        <v>1200</v>
      </c>
    </row>
    <row r="178" spans="1:15" x14ac:dyDescent="0.25">
      <c r="A178">
        <v>1860</v>
      </c>
      <c r="B178">
        <v>3628</v>
      </c>
      <c r="C178" t="s">
        <v>872</v>
      </c>
      <c r="D178" t="s">
        <v>834</v>
      </c>
      <c r="E178" t="s">
        <v>1205</v>
      </c>
      <c r="F178" s="1">
        <v>45358</v>
      </c>
      <c r="G178" s="34" t="str">
        <f t="shared" si="2"/>
        <v>Mar</v>
      </c>
      <c r="H178">
        <v>2</v>
      </c>
      <c r="I178" t="s">
        <v>1242</v>
      </c>
      <c r="J178" t="s">
        <v>1214</v>
      </c>
      <c r="K178">
        <v>0.1</v>
      </c>
      <c r="L178">
        <v>153.19999999999999</v>
      </c>
      <c r="M178">
        <v>1532</v>
      </c>
      <c r="N178">
        <v>1378.8</v>
      </c>
      <c r="O178" t="s">
        <v>13</v>
      </c>
    </row>
    <row r="179" spans="1:15" x14ac:dyDescent="0.25">
      <c r="A179">
        <v>1971</v>
      </c>
      <c r="B179">
        <v>3739</v>
      </c>
      <c r="C179" t="s">
        <v>28</v>
      </c>
      <c r="D179" t="s">
        <v>82</v>
      </c>
      <c r="E179" t="s">
        <v>1249</v>
      </c>
      <c r="F179" s="1">
        <v>45358</v>
      </c>
      <c r="G179" s="34" t="str">
        <f t="shared" si="2"/>
        <v>Mar</v>
      </c>
      <c r="H179">
        <v>1</v>
      </c>
      <c r="I179" t="s">
        <v>14</v>
      </c>
      <c r="J179" t="s">
        <v>1216</v>
      </c>
      <c r="K179">
        <v>0.25</v>
      </c>
      <c r="L179">
        <v>365.25</v>
      </c>
      <c r="M179">
        <v>1461</v>
      </c>
      <c r="N179">
        <v>1095.75</v>
      </c>
      <c r="O179" t="s">
        <v>1200</v>
      </c>
    </row>
    <row r="180" spans="1:15" x14ac:dyDescent="0.25">
      <c r="A180">
        <v>2161</v>
      </c>
      <c r="B180">
        <v>3930</v>
      </c>
      <c r="C180" t="s">
        <v>202</v>
      </c>
      <c r="D180" t="s">
        <v>466</v>
      </c>
      <c r="E180" t="s">
        <v>1249</v>
      </c>
      <c r="F180" s="1">
        <v>45358</v>
      </c>
      <c r="G180" s="34" t="str">
        <f t="shared" si="2"/>
        <v>Mar</v>
      </c>
      <c r="H180">
        <v>2</v>
      </c>
      <c r="I180" t="s">
        <v>14</v>
      </c>
      <c r="J180" t="s">
        <v>1218</v>
      </c>
      <c r="K180">
        <v>0.25</v>
      </c>
      <c r="L180">
        <v>374</v>
      </c>
      <c r="M180">
        <v>1496</v>
      </c>
      <c r="N180">
        <v>1122</v>
      </c>
      <c r="O180" t="s">
        <v>15</v>
      </c>
    </row>
    <row r="181" spans="1:15" x14ac:dyDescent="0.25">
      <c r="A181">
        <v>2171</v>
      </c>
      <c r="B181">
        <v>3940</v>
      </c>
      <c r="C181" t="s">
        <v>1162</v>
      </c>
      <c r="D181" t="s">
        <v>1163</v>
      </c>
      <c r="E181" t="s">
        <v>1249</v>
      </c>
      <c r="F181" s="1">
        <v>45358</v>
      </c>
      <c r="G181" s="34" t="str">
        <f t="shared" si="2"/>
        <v>Mar</v>
      </c>
      <c r="H181">
        <v>2</v>
      </c>
      <c r="I181" t="s">
        <v>1242</v>
      </c>
      <c r="J181" t="s">
        <v>1214</v>
      </c>
      <c r="K181">
        <v>0.25</v>
      </c>
      <c r="L181">
        <v>275</v>
      </c>
      <c r="M181">
        <v>1100</v>
      </c>
      <c r="N181">
        <v>825</v>
      </c>
      <c r="O181" t="s">
        <v>15</v>
      </c>
    </row>
    <row r="182" spans="1:15" x14ac:dyDescent="0.25">
      <c r="A182">
        <v>1325</v>
      </c>
      <c r="B182">
        <v>3092</v>
      </c>
      <c r="C182" t="s">
        <v>197</v>
      </c>
      <c r="D182" t="s">
        <v>155</v>
      </c>
      <c r="E182" t="s">
        <v>1205</v>
      </c>
      <c r="F182" s="1">
        <v>45359</v>
      </c>
      <c r="G182" s="34" t="str">
        <f t="shared" si="2"/>
        <v>Mar</v>
      </c>
      <c r="H182">
        <v>3</v>
      </c>
      <c r="I182" t="s">
        <v>1242</v>
      </c>
      <c r="J182" t="s">
        <v>1224</v>
      </c>
      <c r="K182">
        <v>0.1</v>
      </c>
      <c r="L182">
        <v>148</v>
      </c>
      <c r="M182">
        <v>1480</v>
      </c>
      <c r="N182">
        <v>1332</v>
      </c>
      <c r="O182" t="s">
        <v>19</v>
      </c>
    </row>
    <row r="183" spans="1:15" x14ac:dyDescent="0.25">
      <c r="A183">
        <v>1579</v>
      </c>
      <c r="B183">
        <v>3346</v>
      </c>
      <c r="C183" t="s">
        <v>171</v>
      </c>
      <c r="D183" t="s">
        <v>578</v>
      </c>
      <c r="E183" t="s">
        <v>1249</v>
      </c>
      <c r="F183" s="1">
        <v>45359</v>
      </c>
      <c r="G183" s="34" t="str">
        <f t="shared" si="2"/>
        <v>Mar</v>
      </c>
      <c r="H183">
        <v>2</v>
      </c>
      <c r="I183" t="s">
        <v>1243</v>
      </c>
      <c r="J183" t="s">
        <v>1224</v>
      </c>
      <c r="K183">
        <v>0.25</v>
      </c>
      <c r="L183">
        <v>103.75</v>
      </c>
      <c r="M183">
        <v>415</v>
      </c>
      <c r="N183">
        <v>311.25</v>
      </c>
      <c r="O183" t="s">
        <v>16</v>
      </c>
    </row>
    <row r="184" spans="1:15" x14ac:dyDescent="0.25">
      <c r="A184">
        <v>1967</v>
      </c>
      <c r="B184">
        <v>3735</v>
      </c>
      <c r="C184" t="s">
        <v>324</v>
      </c>
      <c r="D184" t="s">
        <v>326</v>
      </c>
      <c r="E184" t="s">
        <v>1203</v>
      </c>
      <c r="F184" s="1">
        <v>45359</v>
      </c>
      <c r="G184" s="34" t="str">
        <f t="shared" si="2"/>
        <v>Mar</v>
      </c>
      <c r="H184">
        <v>1</v>
      </c>
      <c r="I184" t="s">
        <v>14</v>
      </c>
      <c r="J184" t="s">
        <v>1218</v>
      </c>
      <c r="K184">
        <v>0.3</v>
      </c>
      <c r="L184">
        <v>378</v>
      </c>
      <c r="M184">
        <v>1260</v>
      </c>
      <c r="N184">
        <v>882</v>
      </c>
      <c r="O184" t="s">
        <v>16</v>
      </c>
    </row>
    <row r="185" spans="1:15" x14ac:dyDescent="0.25">
      <c r="A185">
        <v>1983</v>
      </c>
      <c r="B185">
        <v>3751</v>
      </c>
      <c r="C185" t="s">
        <v>15</v>
      </c>
      <c r="D185" t="s">
        <v>1001</v>
      </c>
      <c r="E185" t="s">
        <v>1208</v>
      </c>
      <c r="F185" s="1">
        <v>45359</v>
      </c>
      <c r="G185" s="34" t="str">
        <f t="shared" si="2"/>
        <v>Mar</v>
      </c>
      <c r="H185">
        <v>1</v>
      </c>
      <c r="I185" t="s">
        <v>1243</v>
      </c>
      <c r="J185" t="s">
        <v>1220</v>
      </c>
      <c r="K185">
        <v>0.3</v>
      </c>
      <c r="L185">
        <v>311.7</v>
      </c>
      <c r="M185">
        <v>1039</v>
      </c>
      <c r="N185">
        <v>727.3</v>
      </c>
      <c r="O185" t="s">
        <v>13</v>
      </c>
    </row>
    <row r="186" spans="1:15" x14ac:dyDescent="0.25">
      <c r="A186">
        <v>1263</v>
      </c>
      <c r="B186">
        <v>3030</v>
      </c>
      <c r="C186" t="s">
        <v>83</v>
      </c>
      <c r="D186" t="s">
        <v>84</v>
      </c>
      <c r="E186" t="s">
        <v>1249</v>
      </c>
      <c r="F186" s="1">
        <v>45360</v>
      </c>
      <c r="G186" s="34" t="str">
        <f t="shared" si="2"/>
        <v>Mar</v>
      </c>
      <c r="H186">
        <v>2</v>
      </c>
      <c r="I186" t="s">
        <v>14</v>
      </c>
      <c r="J186" t="s">
        <v>1218</v>
      </c>
      <c r="K186">
        <v>0.25</v>
      </c>
      <c r="L186">
        <v>100.75</v>
      </c>
      <c r="M186">
        <v>403</v>
      </c>
      <c r="N186">
        <v>302.25</v>
      </c>
      <c r="O186" t="s">
        <v>15</v>
      </c>
    </row>
    <row r="187" spans="1:15" x14ac:dyDescent="0.25">
      <c r="A187">
        <v>1502</v>
      </c>
      <c r="B187">
        <v>3269</v>
      </c>
      <c r="C187" t="s">
        <v>478</v>
      </c>
      <c r="D187" t="s">
        <v>479</v>
      </c>
      <c r="E187" t="s">
        <v>1207</v>
      </c>
      <c r="F187" s="1">
        <v>45360</v>
      </c>
      <c r="G187" s="34" t="str">
        <f t="shared" si="2"/>
        <v>Mar</v>
      </c>
      <c r="H187">
        <v>1</v>
      </c>
      <c r="I187" t="s">
        <v>1242</v>
      </c>
      <c r="J187" t="s">
        <v>1216</v>
      </c>
      <c r="K187">
        <v>0.2</v>
      </c>
      <c r="L187">
        <v>129.4</v>
      </c>
      <c r="M187">
        <v>647</v>
      </c>
      <c r="N187">
        <v>517.6</v>
      </c>
      <c r="O187" t="s">
        <v>19</v>
      </c>
    </row>
    <row r="188" spans="1:15" x14ac:dyDescent="0.25">
      <c r="A188">
        <v>1705</v>
      </c>
      <c r="B188">
        <v>3473</v>
      </c>
      <c r="C188" t="s">
        <v>731</v>
      </c>
      <c r="D188" t="s">
        <v>243</v>
      </c>
      <c r="E188" t="s">
        <v>1249</v>
      </c>
      <c r="F188" s="1">
        <v>45360</v>
      </c>
      <c r="G188" s="34" t="str">
        <f t="shared" si="2"/>
        <v>Mar</v>
      </c>
      <c r="H188">
        <v>1</v>
      </c>
      <c r="I188" t="s">
        <v>1242</v>
      </c>
      <c r="J188" t="s">
        <v>1218</v>
      </c>
      <c r="K188">
        <v>0.25</v>
      </c>
      <c r="L188">
        <v>83.5</v>
      </c>
      <c r="M188">
        <v>334</v>
      </c>
      <c r="N188">
        <v>250.5</v>
      </c>
      <c r="O188" t="s">
        <v>16</v>
      </c>
    </row>
    <row r="189" spans="1:15" x14ac:dyDescent="0.25">
      <c r="A189">
        <v>2040</v>
      </c>
      <c r="B189">
        <v>3808</v>
      </c>
      <c r="C189" t="s">
        <v>1044</v>
      </c>
      <c r="D189" t="s">
        <v>256</v>
      </c>
      <c r="E189" t="s">
        <v>1207</v>
      </c>
      <c r="F189" s="1">
        <v>45360</v>
      </c>
      <c r="G189" s="34" t="str">
        <f t="shared" si="2"/>
        <v>Mar</v>
      </c>
      <c r="H189">
        <v>2</v>
      </c>
      <c r="I189" t="s">
        <v>18</v>
      </c>
      <c r="J189" t="s">
        <v>1218</v>
      </c>
      <c r="K189">
        <v>0.2</v>
      </c>
      <c r="L189">
        <v>4.5999999999999996</v>
      </c>
      <c r="M189">
        <v>23</v>
      </c>
      <c r="N189">
        <v>18.399999999999999</v>
      </c>
      <c r="O189" t="s">
        <v>15</v>
      </c>
    </row>
    <row r="190" spans="1:15" x14ac:dyDescent="0.25">
      <c r="A190">
        <v>1310</v>
      </c>
      <c r="B190">
        <v>3077</v>
      </c>
      <c r="C190" t="s">
        <v>171</v>
      </c>
      <c r="D190" t="s">
        <v>94</v>
      </c>
      <c r="E190" t="s">
        <v>1208</v>
      </c>
      <c r="F190" s="1">
        <v>45361</v>
      </c>
      <c r="G190" s="34" t="str">
        <f t="shared" si="2"/>
        <v>Mar</v>
      </c>
      <c r="H190">
        <v>3</v>
      </c>
      <c r="I190" t="s">
        <v>14</v>
      </c>
      <c r="J190" t="s">
        <v>1216</v>
      </c>
      <c r="K190">
        <v>0.3</v>
      </c>
      <c r="L190">
        <v>123.3</v>
      </c>
      <c r="M190">
        <v>411</v>
      </c>
      <c r="N190">
        <v>287.7</v>
      </c>
      <c r="O190" t="s">
        <v>15</v>
      </c>
    </row>
    <row r="191" spans="1:15" x14ac:dyDescent="0.25">
      <c r="A191">
        <v>2007</v>
      </c>
      <c r="B191">
        <v>3775</v>
      </c>
      <c r="C191" t="s">
        <v>368</v>
      </c>
      <c r="D191" t="s">
        <v>890</v>
      </c>
      <c r="E191" t="s">
        <v>1207</v>
      </c>
      <c r="F191" s="1">
        <v>45361</v>
      </c>
      <c r="G191" s="34" t="str">
        <f t="shared" si="2"/>
        <v>Mar</v>
      </c>
      <c r="H191">
        <v>1</v>
      </c>
      <c r="I191" t="s">
        <v>1242</v>
      </c>
      <c r="J191" t="s">
        <v>1218</v>
      </c>
      <c r="K191">
        <v>0.2</v>
      </c>
      <c r="L191">
        <v>141</v>
      </c>
      <c r="M191">
        <v>705</v>
      </c>
      <c r="N191">
        <v>564</v>
      </c>
      <c r="O191" t="s">
        <v>16</v>
      </c>
    </row>
    <row r="192" spans="1:15" x14ac:dyDescent="0.25">
      <c r="A192">
        <v>1521</v>
      </c>
      <c r="B192">
        <v>3288</v>
      </c>
      <c r="C192" t="s">
        <v>195</v>
      </c>
      <c r="D192" t="s">
        <v>503</v>
      </c>
      <c r="E192" t="s">
        <v>1249</v>
      </c>
      <c r="F192" s="1">
        <v>45362</v>
      </c>
      <c r="G192" s="34" t="str">
        <f t="shared" si="2"/>
        <v>Mar</v>
      </c>
      <c r="H192">
        <v>2</v>
      </c>
      <c r="I192" t="s">
        <v>14</v>
      </c>
      <c r="J192" t="s">
        <v>1220</v>
      </c>
      <c r="K192">
        <v>0.25</v>
      </c>
      <c r="L192">
        <v>133</v>
      </c>
      <c r="M192">
        <v>532</v>
      </c>
      <c r="N192">
        <v>399</v>
      </c>
      <c r="O192" t="s">
        <v>16</v>
      </c>
    </row>
    <row r="193" spans="1:15" x14ac:dyDescent="0.25">
      <c r="A193">
        <v>1663</v>
      </c>
      <c r="B193">
        <v>3431</v>
      </c>
      <c r="C193" t="s">
        <v>675</v>
      </c>
      <c r="D193" t="s">
        <v>662</v>
      </c>
      <c r="E193" t="s">
        <v>1207</v>
      </c>
      <c r="F193" s="1">
        <v>45362</v>
      </c>
      <c r="G193" s="34" t="str">
        <f t="shared" si="2"/>
        <v>Mar</v>
      </c>
      <c r="H193">
        <v>3</v>
      </c>
      <c r="I193" t="s">
        <v>1243</v>
      </c>
      <c r="J193" t="s">
        <v>1222</v>
      </c>
      <c r="K193">
        <v>0.2</v>
      </c>
      <c r="L193">
        <v>349.4</v>
      </c>
      <c r="M193">
        <v>1747</v>
      </c>
      <c r="N193">
        <v>1397.6</v>
      </c>
      <c r="O193" t="s">
        <v>1200</v>
      </c>
    </row>
    <row r="194" spans="1:15" x14ac:dyDescent="0.25">
      <c r="A194">
        <v>1417</v>
      </c>
      <c r="B194">
        <v>3184</v>
      </c>
      <c r="C194" t="s">
        <v>347</v>
      </c>
      <c r="D194" t="s">
        <v>348</v>
      </c>
      <c r="E194" t="s">
        <v>1205</v>
      </c>
      <c r="F194" s="1">
        <v>45363</v>
      </c>
      <c r="G194" s="34" t="str">
        <f t="shared" ref="G194:G257" si="3">TEXT(F194, "MMM")</f>
        <v>Mar</v>
      </c>
      <c r="H194">
        <v>3</v>
      </c>
      <c r="I194" t="s">
        <v>14</v>
      </c>
      <c r="J194" t="s">
        <v>1222</v>
      </c>
      <c r="K194">
        <v>0.1</v>
      </c>
      <c r="L194">
        <v>56.1</v>
      </c>
      <c r="M194">
        <v>561</v>
      </c>
      <c r="N194">
        <v>504.9</v>
      </c>
      <c r="O194" t="s">
        <v>19</v>
      </c>
    </row>
    <row r="195" spans="1:15" x14ac:dyDescent="0.25">
      <c r="A195">
        <v>1435</v>
      </c>
      <c r="B195">
        <v>3202</v>
      </c>
      <c r="C195" t="s">
        <v>376</v>
      </c>
      <c r="D195" t="s">
        <v>377</v>
      </c>
      <c r="E195" t="s">
        <v>1248</v>
      </c>
      <c r="F195" s="1">
        <v>45363</v>
      </c>
      <c r="G195" s="34" t="str">
        <f t="shared" si="3"/>
        <v>Mar</v>
      </c>
      <c r="H195">
        <v>2</v>
      </c>
      <c r="I195" t="s">
        <v>14</v>
      </c>
      <c r="J195" t="s">
        <v>1222</v>
      </c>
      <c r="K195">
        <v>0.25</v>
      </c>
      <c r="L195">
        <v>279.25</v>
      </c>
      <c r="M195">
        <v>1117</v>
      </c>
      <c r="N195">
        <v>837.75</v>
      </c>
      <c r="O195" t="s">
        <v>16</v>
      </c>
    </row>
    <row r="196" spans="1:15" x14ac:dyDescent="0.25">
      <c r="A196">
        <v>1866</v>
      </c>
      <c r="B196">
        <v>3634</v>
      </c>
      <c r="C196" t="s">
        <v>896</v>
      </c>
      <c r="D196" t="s">
        <v>247</v>
      </c>
      <c r="E196" t="s">
        <v>1203</v>
      </c>
      <c r="F196" s="1">
        <v>45363</v>
      </c>
      <c r="G196" s="34" t="str">
        <f t="shared" si="3"/>
        <v>Mar</v>
      </c>
      <c r="H196">
        <v>2</v>
      </c>
      <c r="I196" t="s">
        <v>1242</v>
      </c>
      <c r="J196" t="s">
        <v>1216</v>
      </c>
      <c r="K196">
        <v>0.3</v>
      </c>
      <c r="L196">
        <v>273.3</v>
      </c>
      <c r="M196">
        <v>911</v>
      </c>
      <c r="N196">
        <v>637.70000000000005</v>
      </c>
      <c r="O196" t="s">
        <v>16</v>
      </c>
    </row>
    <row r="197" spans="1:15" x14ac:dyDescent="0.25">
      <c r="A197">
        <v>1950</v>
      </c>
      <c r="B197">
        <v>3718</v>
      </c>
      <c r="C197" t="s">
        <v>955</v>
      </c>
      <c r="D197" t="s">
        <v>299</v>
      </c>
      <c r="E197" t="s">
        <v>1248</v>
      </c>
      <c r="F197" s="1">
        <v>45363</v>
      </c>
      <c r="G197" s="34" t="str">
        <f t="shared" si="3"/>
        <v>Mar</v>
      </c>
      <c r="H197">
        <v>2</v>
      </c>
      <c r="I197" t="s">
        <v>14</v>
      </c>
      <c r="J197" t="s">
        <v>1228</v>
      </c>
      <c r="K197">
        <v>0.25</v>
      </c>
      <c r="L197">
        <v>321.25</v>
      </c>
      <c r="M197">
        <v>1285</v>
      </c>
      <c r="N197">
        <v>963.75</v>
      </c>
      <c r="O197" t="s">
        <v>13</v>
      </c>
    </row>
    <row r="198" spans="1:15" x14ac:dyDescent="0.25">
      <c r="A198">
        <v>1976</v>
      </c>
      <c r="B198">
        <v>3744</v>
      </c>
      <c r="C198" t="s">
        <v>994</v>
      </c>
      <c r="D198" t="s">
        <v>995</v>
      </c>
      <c r="E198" t="s">
        <v>1249</v>
      </c>
      <c r="F198" s="1">
        <v>45363</v>
      </c>
      <c r="G198" s="34" t="str">
        <f t="shared" si="3"/>
        <v>Mar</v>
      </c>
      <c r="H198">
        <v>2</v>
      </c>
      <c r="I198" t="s">
        <v>18</v>
      </c>
      <c r="J198" t="s">
        <v>1224</v>
      </c>
      <c r="K198">
        <v>0.25</v>
      </c>
      <c r="L198">
        <v>208</v>
      </c>
      <c r="M198">
        <v>832</v>
      </c>
      <c r="N198">
        <v>624</v>
      </c>
      <c r="O198" t="s">
        <v>19</v>
      </c>
    </row>
    <row r="199" spans="1:15" x14ac:dyDescent="0.25">
      <c r="A199">
        <v>1446</v>
      </c>
      <c r="B199">
        <v>3213</v>
      </c>
      <c r="C199" t="s">
        <v>394</v>
      </c>
      <c r="D199" t="s">
        <v>395</v>
      </c>
      <c r="E199" t="s">
        <v>1208</v>
      </c>
      <c r="F199" s="1">
        <v>45364</v>
      </c>
      <c r="G199" s="34" t="str">
        <f t="shared" si="3"/>
        <v>Mar</v>
      </c>
      <c r="H199">
        <v>3</v>
      </c>
      <c r="I199" t="s">
        <v>14</v>
      </c>
      <c r="J199" t="s">
        <v>1224</v>
      </c>
      <c r="K199">
        <v>0.3</v>
      </c>
      <c r="L199">
        <v>451.5</v>
      </c>
      <c r="M199">
        <v>1505</v>
      </c>
      <c r="N199">
        <v>1053.5</v>
      </c>
      <c r="O199" t="s">
        <v>16</v>
      </c>
    </row>
    <row r="200" spans="1:15" x14ac:dyDescent="0.25">
      <c r="A200">
        <v>1911</v>
      </c>
      <c r="B200">
        <v>3679</v>
      </c>
      <c r="C200" t="s">
        <v>81</v>
      </c>
      <c r="D200" t="s">
        <v>913</v>
      </c>
      <c r="E200" t="s">
        <v>1207</v>
      </c>
      <c r="F200" s="1">
        <v>45364</v>
      </c>
      <c r="G200" s="34" t="str">
        <f t="shared" si="3"/>
        <v>Mar</v>
      </c>
      <c r="H200">
        <v>1</v>
      </c>
      <c r="I200" t="s">
        <v>18</v>
      </c>
      <c r="J200" t="s">
        <v>1228</v>
      </c>
      <c r="K200">
        <v>0.2</v>
      </c>
      <c r="L200">
        <v>275.39999999999998</v>
      </c>
      <c r="M200">
        <v>1377</v>
      </c>
      <c r="N200">
        <v>1101.5999999999999</v>
      </c>
      <c r="O200" t="s">
        <v>1200</v>
      </c>
    </row>
    <row r="201" spans="1:15" x14ac:dyDescent="0.25">
      <c r="A201">
        <v>1997</v>
      </c>
      <c r="B201">
        <v>3765</v>
      </c>
      <c r="C201" t="s">
        <v>784</v>
      </c>
      <c r="D201" t="s">
        <v>1014</v>
      </c>
      <c r="E201" t="s">
        <v>1205</v>
      </c>
      <c r="F201" s="1">
        <v>45364</v>
      </c>
      <c r="G201" s="34" t="str">
        <f t="shared" si="3"/>
        <v>Mar</v>
      </c>
      <c r="H201">
        <v>1</v>
      </c>
      <c r="I201" t="s">
        <v>1242</v>
      </c>
      <c r="J201" t="s">
        <v>1228</v>
      </c>
      <c r="K201">
        <v>0.1</v>
      </c>
      <c r="L201">
        <v>117.6</v>
      </c>
      <c r="M201">
        <v>1176</v>
      </c>
      <c r="N201">
        <v>1058.4000000000001</v>
      </c>
      <c r="O201" t="s">
        <v>1200</v>
      </c>
    </row>
    <row r="202" spans="1:15" x14ac:dyDescent="0.25">
      <c r="A202">
        <v>1349</v>
      </c>
      <c r="B202">
        <v>3116</v>
      </c>
      <c r="C202" t="s">
        <v>237</v>
      </c>
      <c r="D202" t="s">
        <v>238</v>
      </c>
      <c r="E202" t="s">
        <v>1203</v>
      </c>
      <c r="F202" s="1">
        <v>45365</v>
      </c>
      <c r="G202" s="34" t="str">
        <f t="shared" si="3"/>
        <v>Mar</v>
      </c>
      <c r="H202">
        <v>2</v>
      </c>
      <c r="I202" t="s">
        <v>14</v>
      </c>
      <c r="J202" t="s">
        <v>1216</v>
      </c>
      <c r="K202">
        <v>0.3</v>
      </c>
      <c r="L202">
        <v>397.5</v>
      </c>
      <c r="M202">
        <v>1325</v>
      </c>
      <c r="N202">
        <v>927.5</v>
      </c>
      <c r="O202" t="s">
        <v>19</v>
      </c>
    </row>
    <row r="203" spans="1:15" x14ac:dyDescent="0.25">
      <c r="A203">
        <v>1769</v>
      </c>
      <c r="B203">
        <v>3537</v>
      </c>
      <c r="C203" t="s">
        <v>793</v>
      </c>
      <c r="D203" t="s">
        <v>794</v>
      </c>
      <c r="E203" t="s">
        <v>1203</v>
      </c>
      <c r="F203" s="1">
        <v>45365</v>
      </c>
      <c r="G203" s="34" t="str">
        <f t="shared" si="3"/>
        <v>Mar</v>
      </c>
      <c r="H203">
        <v>2</v>
      </c>
      <c r="I203" t="s">
        <v>14</v>
      </c>
      <c r="J203" t="s">
        <v>1233</v>
      </c>
      <c r="K203">
        <v>0.3</v>
      </c>
      <c r="L203">
        <v>162.9</v>
      </c>
      <c r="M203">
        <v>543</v>
      </c>
      <c r="N203">
        <v>380.1</v>
      </c>
      <c r="O203" t="s">
        <v>1200</v>
      </c>
    </row>
    <row r="204" spans="1:15" x14ac:dyDescent="0.25">
      <c r="A204">
        <v>1957</v>
      </c>
      <c r="B204">
        <v>3725</v>
      </c>
      <c r="C204" t="s">
        <v>903</v>
      </c>
      <c r="D204" t="s">
        <v>983</v>
      </c>
      <c r="E204" t="s">
        <v>1205</v>
      </c>
      <c r="F204" s="1">
        <v>45365</v>
      </c>
      <c r="G204" s="34" t="str">
        <f t="shared" si="3"/>
        <v>Mar</v>
      </c>
      <c r="H204">
        <v>3</v>
      </c>
      <c r="I204" t="s">
        <v>14</v>
      </c>
      <c r="J204" t="s">
        <v>1218</v>
      </c>
      <c r="K204">
        <v>0.1</v>
      </c>
      <c r="L204">
        <v>66.8</v>
      </c>
      <c r="M204">
        <v>668</v>
      </c>
      <c r="N204">
        <v>601.20000000000005</v>
      </c>
      <c r="O204" t="s">
        <v>16</v>
      </c>
    </row>
    <row r="205" spans="1:15" x14ac:dyDescent="0.25">
      <c r="A205">
        <v>2166</v>
      </c>
      <c r="B205">
        <v>3935</v>
      </c>
      <c r="C205" t="s">
        <v>722</v>
      </c>
      <c r="D205" t="s">
        <v>1158</v>
      </c>
      <c r="E205" t="s">
        <v>1203</v>
      </c>
      <c r="F205" s="1">
        <v>45365</v>
      </c>
      <c r="G205" s="34" t="str">
        <f t="shared" si="3"/>
        <v>Mar</v>
      </c>
      <c r="H205">
        <v>1</v>
      </c>
      <c r="I205" t="s">
        <v>1242</v>
      </c>
      <c r="J205" t="s">
        <v>1224</v>
      </c>
      <c r="K205">
        <v>0.3</v>
      </c>
      <c r="L205">
        <v>388.8</v>
      </c>
      <c r="M205">
        <v>1296</v>
      </c>
      <c r="N205">
        <v>907.2</v>
      </c>
      <c r="O205" t="s">
        <v>1200</v>
      </c>
    </row>
    <row r="206" spans="1:15" x14ac:dyDescent="0.25">
      <c r="A206">
        <v>1283</v>
      </c>
      <c r="B206">
        <v>3050</v>
      </c>
      <c r="C206" t="s">
        <v>122</v>
      </c>
      <c r="D206" t="s">
        <v>123</v>
      </c>
      <c r="E206" t="s">
        <v>1207</v>
      </c>
      <c r="F206" s="1">
        <v>45368</v>
      </c>
      <c r="G206" s="34" t="str">
        <f t="shared" si="3"/>
        <v>Mar</v>
      </c>
      <c r="H206">
        <v>2</v>
      </c>
      <c r="I206" t="s">
        <v>14</v>
      </c>
      <c r="J206" t="s">
        <v>1218</v>
      </c>
      <c r="K206">
        <v>0.2</v>
      </c>
      <c r="L206">
        <v>338.2</v>
      </c>
      <c r="M206">
        <v>1691</v>
      </c>
      <c r="N206">
        <v>1352.8</v>
      </c>
      <c r="O206" t="s">
        <v>1200</v>
      </c>
    </row>
    <row r="207" spans="1:15" x14ac:dyDescent="0.25">
      <c r="A207">
        <v>1733</v>
      </c>
      <c r="B207">
        <v>3501</v>
      </c>
      <c r="C207" t="s">
        <v>760</v>
      </c>
      <c r="D207" t="s">
        <v>52</v>
      </c>
      <c r="E207" t="s">
        <v>1203</v>
      </c>
      <c r="F207" s="1">
        <v>45368</v>
      </c>
      <c r="G207" s="34" t="str">
        <f t="shared" si="3"/>
        <v>Mar</v>
      </c>
      <c r="H207">
        <v>2</v>
      </c>
      <c r="I207" t="s">
        <v>14</v>
      </c>
      <c r="J207" t="s">
        <v>1214</v>
      </c>
      <c r="K207">
        <v>0.3</v>
      </c>
      <c r="L207">
        <v>515.70000000000005</v>
      </c>
      <c r="M207">
        <v>1719</v>
      </c>
      <c r="N207">
        <v>1203.3</v>
      </c>
      <c r="O207" t="s">
        <v>13</v>
      </c>
    </row>
    <row r="208" spans="1:15" x14ac:dyDescent="0.25">
      <c r="A208">
        <v>1240</v>
      </c>
      <c r="B208">
        <v>3007</v>
      </c>
      <c r="C208" t="s">
        <v>38</v>
      </c>
      <c r="D208" t="s">
        <v>39</v>
      </c>
      <c r="E208" t="s">
        <v>1207</v>
      </c>
      <c r="F208" s="1">
        <v>45369</v>
      </c>
      <c r="G208" s="34" t="str">
        <f t="shared" si="3"/>
        <v>Mar</v>
      </c>
      <c r="H208">
        <v>2</v>
      </c>
      <c r="I208" t="s">
        <v>1242</v>
      </c>
      <c r="J208" t="s">
        <v>1220</v>
      </c>
      <c r="K208">
        <v>0.2</v>
      </c>
      <c r="L208">
        <v>223</v>
      </c>
      <c r="M208">
        <v>1115</v>
      </c>
      <c r="N208">
        <v>892</v>
      </c>
      <c r="O208" t="s">
        <v>15</v>
      </c>
    </row>
    <row r="209" spans="1:15" x14ac:dyDescent="0.25">
      <c r="A209">
        <v>1423</v>
      </c>
      <c r="B209">
        <v>3190</v>
      </c>
      <c r="C209" t="s">
        <v>358</v>
      </c>
      <c r="D209" t="s">
        <v>359</v>
      </c>
      <c r="E209" t="s">
        <v>1249</v>
      </c>
      <c r="F209" s="1">
        <v>45369</v>
      </c>
      <c r="G209" s="34" t="str">
        <f t="shared" si="3"/>
        <v>Mar</v>
      </c>
      <c r="H209">
        <v>1</v>
      </c>
      <c r="I209" t="s">
        <v>1242</v>
      </c>
      <c r="J209" t="s">
        <v>1216</v>
      </c>
      <c r="K209">
        <v>0.25</v>
      </c>
      <c r="L209">
        <v>25.75</v>
      </c>
      <c r="M209">
        <v>103</v>
      </c>
      <c r="N209">
        <v>77.25</v>
      </c>
      <c r="O209" t="s">
        <v>19</v>
      </c>
    </row>
    <row r="210" spans="1:15" x14ac:dyDescent="0.25">
      <c r="A210">
        <v>1698</v>
      </c>
      <c r="B210">
        <v>3466</v>
      </c>
      <c r="C210" t="s">
        <v>722</v>
      </c>
      <c r="D210" t="s">
        <v>723</v>
      </c>
      <c r="E210" t="s">
        <v>1207</v>
      </c>
      <c r="F210" s="1">
        <v>45369</v>
      </c>
      <c r="G210" s="34" t="str">
        <f t="shared" si="3"/>
        <v>Mar</v>
      </c>
      <c r="H210">
        <v>1</v>
      </c>
      <c r="I210" t="s">
        <v>1242</v>
      </c>
      <c r="J210" t="s">
        <v>1220</v>
      </c>
      <c r="K210">
        <v>0.2</v>
      </c>
      <c r="L210">
        <v>108</v>
      </c>
      <c r="M210">
        <v>540</v>
      </c>
      <c r="N210">
        <v>432</v>
      </c>
      <c r="O210" t="s">
        <v>15</v>
      </c>
    </row>
    <row r="211" spans="1:15" x14ac:dyDescent="0.25">
      <c r="A211">
        <v>2001</v>
      </c>
      <c r="B211">
        <v>3769</v>
      </c>
      <c r="C211" t="s">
        <v>111</v>
      </c>
      <c r="D211" t="s">
        <v>597</v>
      </c>
      <c r="E211" t="s">
        <v>1249</v>
      </c>
      <c r="F211" s="1">
        <v>45369</v>
      </c>
      <c r="G211" s="34" t="str">
        <f t="shared" si="3"/>
        <v>Mar</v>
      </c>
      <c r="H211">
        <v>1</v>
      </c>
      <c r="I211" t="s">
        <v>14</v>
      </c>
      <c r="J211" t="s">
        <v>1218</v>
      </c>
      <c r="K211">
        <v>0.25</v>
      </c>
      <c r="L211">
        <v>66.75</v>
      </c>
      <c r="M211">
        <v>267</v>
      </c>
      <c r="N211">
        <v>200.25</v>
      </c>
      <c r="O211" t="s">
        <v>16</v>
      </c>
    </row>
    <row r="212" spans="1:15" x14ac:dyDescent="0.25">
      <c r="A212">
        <v>1606</v>
      </c>
      <c r="B212">
        <v>3373</v>
      </c>
      <c r="C212" t="s">
        <v>608</v>
      </c>
      <c r="D212" t="s">
        <v>344</v>
      </c>
      <c r="E212" t="s">
        <v>1203</v>
      </c>
      <c r="F212" s="1">
        <v>45370</v>
      </c>
      <c r="G212" s="34" t="str">
        <f t="shared" si="3"/>
        <v>Mar</v>
      </c>
      <c r="H212">
        <v>3</v>
      </c>
      <c r="I212" t="s">
        <v>1242</v>
      </c>
      <c r="J212" t="s">
        <v>1228</v>
      </c>
      <c r="K212">
        <v>0.3</v>
      </c>
      <c r="L212">
        <v>365.4</v>
      </c>
      <c r="M212">
        <v>1218</v>
      </c>
      <c r="N212">
        <v>852.6</v>
      </c>
      <c r="O212" t="s">
        <v>15</v>
      </c>
    </row>
    <row r="213" spans="1:15" x14ac:dyDescent="0.25">
      <c r="A213">
        <v>1694</v>
      </c>
      <c r="B213">
        <v>3462</v>
      </c>
      <c r="C213" t="s">
        <v>679</v>
      </c>
      <c r="D213" t="s">
        <v>426</v>
      </c>
      <c r="E213" t="s">
        <v>1249</v>
      </c>
      <c r="F213" s="1">
        <v>45370</v>
      </c>
      <c r="G213" s="34" t="str">
        <f t="shared" si="3"/>
        <v>Mar</v>
      </c>
      <c r="H213">
        <v>3</v>
      </c>
      <c r="I213" t="s">
        <v>1243</v>
      </c>
      <c r="J213" t="s">
        <v>1228</v>
      </c>
      <c r="K213">
        <v>0.25</v>
      </c>
      <c r="L213">
        <v>316.75</v>
      </c>
      <c r="M213">
        <v>1267</v>
      </c>
      <c r="N213">
        <v>950.25</v>
      </c>
      <c r="O213" t="s">
        <v>1200</v>
      </c>
    </row>
    <row r="214" spans="1:15" x14ac:dyDescent="0.25">
      <c r="A214">
        <v>2028</v>
      </c>
      <c r="B214">
        <v>3796</v>
      </c>
      <c r="C214" t="s">
        <v>1036</v>
      </c>
      <c r="D214" t="s">
        <v>686</v>
      </c>
      <c r="E214" t="s">
        <v>1205</v>
      </c>
      <c r="F214" s="1">
        <v>45370</v>
      </c>
      <c r="G214" s="34" t="str">
        <f t="shared" si="3"/>
        <v>Mar</v>
      </c>
      <c r="H214">
        <v>1</v>
      </c>
      <c r="I214" t="s">
        <v>14</v>
      </c>
      <c r="J214" t="s">
        <v>1233</v>
      </c>
      <c r="K214">
        <v>0.1</v>
      </c>
      <c r="L214">
        <v>134.1</v>
      </c>
      <c r="M214">
        <v>1341</v>
      </c>
      <c r="N214">
        <v>1206.9000000000001</v>
      </c>
      <c r="O214" t="s">
        <v>1200</v>
      </c>
    </row>
    <row r="215" spans="1:15" x14ac:dyDescent="0.25">
      <c r="A215">
        <v>2057</v>
      </c>
      <c r="B215">
        <v>3825</v>
      </c>
      <c r="C215" t="s">
        <v>704</v>
      </c>
      <c r="D215" t="s">
        <v>97</v>
      </c>
      <c r="E215" t="s">
        <v>1248</v>
      </c>
      <c r="F215" s="1">
        <v>45370</v>
      </c>
      <c r="G215" s="34" t="str">
        <f t="shared" si="3"/>
        <v>Mar</v>
      </c>
      <c r="H215">
        <v>2</v>
      </c>
      <c r="I215" t="s">
        <v>1242</v>
      </c>
      <c r="J215" t="s">
        <v>1222</v>
      </c>
      <c r="K215">
        <v>0.25</v>
      </c>
      <c r="L215">
        <v>7.5</v>
      </c>
      <c r="M215">
        <v>30</v>
      </c>
      <c r="N215">
        <v>22.5</v>
      </c>
      <c r="O215" t="s">
        <v>19</v>
      </c>
    </row>
    <row r="216" spans="1:15" x14ac:dyDescent="0.25">
      <c r="A216">
        <v>2110</v>
      </c>
      <c r="B216">
        <v>3879</v>
      </c>
      <c r="C216" t="s">
        <v>482</v>
      </c>
      <c r="D216" t="s">
        <v>415</v>
      </c>
      <c r="E216" t="s">
        <v>1249</v>
      </c>
      <c r="F216" s="1">
        <v>45370</v>
      </c>
      <c r="G216" s="34" t="str">
        <f t="shared" si="3"/>
        <v>Mar</v>
      </c>
      <c r="H216">
        <v>1</v>
      </c>
      <c r="I216" t="s">
        <v>1242</v>
      </c>
      <c r="J216" t="s">
        <v>1214</v>
      </c>
      <c r="K216">
        <v>0.25</v>
      </c>
      <c r="L216">
        <v>414.5</v>
      </c>
      <c r="M216">
        <v>1658</v>
      </c>
      <c r="N216">
        <v>1243.5</v>
      </c>
      <c r="O216" t="s">
        <v>16</v>
      </c>
    </row>
    <row r="217" spans="1:15" x14ac:dyDescent="0.25">
      <c r="A217">
        <v>1290</v>
      </c>
      <c r="B217">
        <v>3057</v>
      </c>
      <c r="C217" t="s">
        <v>135</v>
      </c>
      <c r="D217" t="s">
        <v>136</v>
      </c>
      <c r="E217" t="s">
        <v>1248</v>
      </c>
      <c r="F217" s="1">
        <v>45371</v>
      </c>
      <c r="G217" s="34" t="str">
        <f t="shared" si="3"/>
        <v>Mar</v>
      </c>
      <c r="H217">
        <v>1</v>
      </c>
      <c r="I217" t="s">
        <v>1243</v>
      </c>
      <c r="J217" t="s">
        <v>1224</v>
      </c>
      <c r="K217">
        <v>0.25</v>
      </c>
      <c r="L217">
        <v>376.25</v>
      </c>
      <c r="M217">
        <v>1505</v>
      </c>
      <c r="N217">
        <v>1128.75</v>
      </c>
      <c r="O217" t="s">
        <v>19</v>
      </c>
    </row>
    <row r="218" spans="1:15" x14ac:dyDescent="0.25">
      <c r="A218">
        <v>1351</v>
      </c>
      <c r="B218">
        <v>3118</v>
      </c>
      <c r="C218" t="s">
        <v>240</v>
      </c>
      <c r="D218" t="s">
        <v>241</v>
      </c>
      <c r="E218" t="s">
        <v>1203</v>
      </c>
      <c r="F218" s="1">
        <v>45371</v>
      </c>
      <c r="G218" s="34" t="str">
        <f t="shared" si="3"/>
        <v>Mar</v>
      </c>
      <c r="H218">
        <v>3</v>
      </c>
      <c r="I218" t="s">
        <v>1242</v>
      </c>
      <c r="J218" t="s">
        <v>1228</v>
      </c>
      <c r="K218">
        <v>0.3</v>
      </c>
      <c r="L218">
        <v>201.9</v>
      </c>
      <c r="M218">
        <v>673</v>
      </c>
      <c r="N218">
        <v>471.1</v>
      </c>
      <c r="O218" t="s">
        <v>16</v>
      </c>
    </row>
    <row r="219" spans="1:15" x14ac:dyDescent="0.25">
      <c r="A219">
        <v>1494</v>
      </c>
      <c r="B219">
        <v>3261</v>
      </c>
      <c r="C219" t="s">
        <v>468</v>
      </c>
      <c r="D219" t="s">
        <v>151</v>
      </c>
      <c r="E219" t="s">
        <v>1207</v>
      </c>
      <c r="F219" s="1">
        <v>45371</v>
      </c>
      <c r="G219" s="34" t="str">
        <f t="shared" si="3"/>
        <v>Mar</v>
      </c>
      <c r="H219">
        <v>3</v>
      </c>
      <c r="I219" t="s">
        <v>14</v>
      </c>
      <c r="J219" t="s">
        <v>1233</v>
      </c>
      <c r="K219">
        <v>0.2</v>
      </c>
      <c r="L219">
        <v>337.8</v>
      </c>
      <c r="M219">
        <v>1689</v>
      </c>
      <c r="N219">
        <v>1351.2</v>
      </c>
      <c r="O219" t="s">
        <v>16</v>
      </c>
    </row>
    <row r="220" spans="1:15" x14ac:dyDescent="0.25">
      <c r="A220">
        <v>1405</v>
      </c>
      <c r="B220">
        <v>3172</v>
      </c>
      <c r="C220" t="s">
        <v>327</v>
      </c>
      <c r="D220" t="s">
        <v>328</v>
      </c>
      <c r="E220" t="s">
        <v>1208</v>
      </c>
      <c r="F220" s="1">
        <v>45372</v>
      </c>
      <c r="G220" s="34" t="str">
        <f t="shared" si="3"/>
        <v>Mar</v>
      </c>
      <c r="H220">
        <v>1</v>
      </c>
      <c r="I220" t="s">
        <v>1243</v>
      </c>
      <c r="J220" t="s">
        <v>1218</v>
      </c>
      <c r="K220">
        <v>0.3</v>
      </c>
      <c r="L220">
        <v>173.7</v>
      </c>
      <c r="M220">
        <v>579</v>
      </c>
      <c r="N220">
        <v>405.3</v>
      </c>
      <c r="O220" t="s">
        <v>13</v>
      </c>
    </row>
    <row r="221" spans="1:15" x14ac:dyDescent="0.25">
      <c r="A221">
        <v>1522</v>
      </c>
      <c r="B221">
        <v>3289</v>
      </c>
      <c r="C221" t="s">
        <v>64</v>
      </c>
      <c r="D221" t="s">
        <v>504</v>
      </c>
      <c r="E221" t="s">
        <v>1249</v>
      </c>
      <c r="F221" s="1">
        <v>45372</v>
      </c>
      <c r="G221" s="34" t="str">
        <f t="shared" si="3"/>
        <v>Mar</v>
      </c>
      <c r="H221">
        <v>3</v>
      </c>
      <c r="I221" t="s">
        <v>1242</v>
      </c>
      <c r="J221" t="s">
        <v>1220</v>
      </c>
      <c r="K221">
        <v>0.25</v>
      </c>
      <c r="L221">
        <v>132.5</v>
      </c>
      <c r="M221">
        <v>530</v>
      </c>
      <c r="N221">
        <v>397.5</v>
      </c>
      <c r="O221" t="s">
        <v>13</v>
      </c>
    </row>
    <row r="222" spans="1:15" x14ac:dyDescent="0.25">
      <c r="A222">
        <v>1561</v>
      </c>
      <c r="B222">
        <v>3328</v>
      </c>
      <c r="C222" t="s">
        <v>553</v>
      </c>
      <c r="D222" t="s">
        <v>554</v>
      </c>
      <c r="E222" t="s">
        <v>1208</v>
      </c>
      <c r="F222" s="1">
        <v>45372</v>
      </c>
      <c r="G222" s="34" t="str">
        <f t="shared" si="3"/>
        <v>Mar</v>
      </c>
      <c r="H222">
        <v>1</v>
      </c>
      <c r="I222" t="s">
        <v>14</v>
      </c>
      <c r="J222" t="s">
        <v>1216</v>
      </c>
      <c r="K222">
        <v>0.3</v>
      </c>
      <c r="L222">
        <v>454.2</v>
      </c>
      <c r="M222">
        <v>1514</v>
      </c>
      <c r="N222">
        <v>1059.8</v>
      </c>
      <c r="O222" t="s">
        <v>1200</v>
      </c>
    </row>
    <row r="223" spans="1:15" x14ac:dyDescent="0.25">
      <c r="A223">
        <v>1550</v>
      </c>
      <c r="B223">
        <v>3317</v>
      </c>
      <c r="C223" t="s">
        <v>536</v>
      </c>
      <c r="D223" t="s">
        <v>537</v>
      </c>
      <c r="E223" t="s">
        <v>1249</v>
      </c>
      <c r="F223" s="1">
        <v>45373</v>
      </c>
      <c r="G223" s="34" t="str">
        <f t="shared" si="3"/>
        <v>Mar</v>
      </c>
      <c r="H223">
        <v>2</v>
      </c>
      <c r="I223" t="s">
        <v>1243</v>
      </c>
      <c r="J223" t="s">
        <v>1224</v>
      </c>
      <c r="K223">
        <v>0.25</v>
      </c>
      <c r="L223">
        <v>239.25</v>
      </c>
      <c r="M223">
        <v>957</v>
      </c>
      <c r="N223">
        <v>717.75</v>
      </c>
      <c r="O223" t="s">
        <v>19</v>
      </c>
    </row>
    <row r="224" spans="1:15" x14ac:dyDescent="0.25">
      <c r="A224">
        <v>1803</v>
      </c>
      <c r="B224">
        <v>3571</v>
      </c>
      <c r="C224" t="s">
        <v>829</v>
      </c>
      <c r="D224" t="s">
        <v>830</v>
      </c>
      <c r="E224" t="s">
        <v>1249</v>
      </c>
      <c r="F224" s="1">
        <v>45373</v>
      </c>
      <c r="G224" s="34" t="str">
        <f t="shared" si="3"/>
        <v>Mar</v>
      </c>
      <c r="H224">
        <v>2</v>
      </c>
      <c r="I224" t="s">
        <v>1242</v>
      </c>
      <c r="J224" t="s">
        <v>1218</v>
      </c>
      <c r="K224">
        <v>0.25</v>
      </c>
      <c r="L224">
        <v>56.5</v>
      </c>
      <c r="M224">
        <v>226</v>
      </c>
      <c r="N224">
        <v>169.5</v>
      </c>
      <c r="O224" t="s">
        <v>16</v>
      </c>
    </row>
    <row r="225" spans="1:15" x14ac:dyDescent="0.25">
      <c r="A225">
        <v>1938</v>
      </c>
      <c r="B225">
        <v>3706</v>
      </c>
      <c r="C225" t="s">
        <v>969</v>
      </c>
      <c r="D225" t="s">
        <v>970</v>
      </c>
      <c r="E225" t="s">
        <v>1249</v>
      </c>
      <c r="F225" s="1">
        <v>45373</v>
      </c>
      <c r="G225" s="34" t="str">
        <f t="shared" si="3"/>
        <v>Mar</v>
      </c>
      <c r="H225">
        <v>2</v>
      </c>
      <c r="I225" t="s">
        <v>14</v>
      </c>
      <c r="J225" t="s">
        <v>1228</v>
      </c>
      <c r="K225">
        <v>0.25</v>
      </c>
      <c r="L225">
        <v>262</v>
      </c>
      <c r="M225">
        <v>1048</v>
      </c>
      <c r="N225">
        <v>786</v>
      </c>
      <c r="O225" t="s">
        <v>13</v>
      </c>
    </row>
    <row r="226" spans="1:15" x14ac:dyDescent="0.25">
      <c r="A226">
        <v>1426</v>
      </c>
      <c r="B226">
        <v>3193</v>
      </c>
      <c r="C226" t="s">
        <v>91</v>
      </c>
      <c r="D226" t="s">
        <v>363</v>
      </c>
      <c r="E226" t="s">
        <v>1203</v>
      </c>
      <c r="F226" s="1">
        <v>45374</v>
      </c>
      <c r="G226" s="34" t="str">
        <f t="shared" si="3"/>
        <v>Mar</v>
      </c>
      <c r="H226">
        <v>3</v>
      </c>
      <c r="I226" t="s">
        <v>14</v>
      </c>
      <c r="J226" t="s">
        <v>1222</v>
      </c>
      <c r="K226">
        <v>0.3</v>
      </c>
      <c r="L226">
        <v>491.1</v>
      </c>
      <c r="M226">
        <v>1637</v>
      </c>
      <c r="N226">
        <v>1145.9000000000001</v>
      </c>
      <c r="O226" t="s">
        <v>19</v>
      </c>
    </row>
    <row r="227" spans="1:15" x14ac:dyDescent="0.25">
      <c r="A227">
        <v>1969</v>
      </c>
      <c r="B227">
        <v>3737</v>
      </c>
      <c r="C227" t="s">
        <v>991</v>
      </c>
      <c r="D227" t="s">
        <v>992</v>
      </c>
      <c r="E227" t="s">
        <v>1248</v>
      </c>
      <c r="F227" s="1">
        <v>45374</v>
      </c>
      <c r="G227" s="34" t="str">
        <f t="shared" si="3"/>
        <v>Mar</v>
      </c>
      <c r="H227">
        <v>2</v>
      </c>
      <c r="I227" t="s">
        <v>14</v>
      </c>
      <c r="J227" t="s">
        <v>1214</v>
      </c>
      <c r="K227">
        <v>0.25</v>
      </c>
      <c r="L227">
        <v>189</v>
      </c>
      <c r="M227">
        <v>756</v>
      </c>
      <c r="N227">
        <v>567</v>
      </c>
      <c r="O227" t="s">
        <v>19</v>
      </c>
    </row>
    <row r="228" spans="1:15" x14ac:dyDescent="0.25">
      <c r="A228">
        <v>1631</v>
      </c>
      <c r="B228">
        <v>3399</v>
      </c>
      <c r="C228" t="s">
        <v>583</v>
      </c>
      <c r="D228" t="s">
        <v>176</v>
      </c>
      <c r="E228" t="s">
        <v>1248</v>
      </c>
      <c r="F228" s="1">
        <v>45375</v>
      </c>
      <c r="G228" s="34" t="str">
        <f t="shared" si="3"/>
        <v>Mar</v>
      </c>
      <c r="H228">
        <v>2</v>
      </c>
      <c r="I228" t="s">
        <v>14</v>
      </c>
      <c r="J228" t="s">
        <v>1228</v>
      </c>
      <c r="K228">
        <v>0.25</v>
      </c>
      <c r="L228">
        <v>198.5</v>
      </c>
      <c r="M228">
        <v>794</v>
      </c>
      <c r="N228">
        <v>595.5</v>
      </c>
      <c r="O228" t="s">
        <v>15</v>
      </c>
    </row>
    <row r="229" spans="1:15" x14ac:dyDescent="0.25">
      <c r="A229">
        <v>1685</v>
      </c>
      <c r="B229">
        <v>3453</v>
      </c>
      <c r="C229" t="s">
        <v>705</v>
      </c>
      <c r="D229" t="s">
        <v>162</v>
      </c>
      <c r="E229" t="s">
        <v>1205</v>
      </c>
      <c r="F229" s="1">
        <v>45375</v>
      </c>
      <c r="G229" s="34" t="str">
        <f t="shared" si="3"/>
        <v>Mar</v>
      </c>
      <c r="H229">
        <v>2</v>
      </c>
      <c r="I229" t="s">
        <v>14</v>
      </c>
      <c r="J229" t="s">
        <v>1233</v>
      </c>
      <c r="K229">
        <v>0.1</v>
      </c>
      <c r="L229">
        <v>114.5</v>
      </c>
      <c r="M229">
        <v>1145</v>
      </c>
      <c r="N229">
        <v>1030.5</v>
      </c>
      <c r="O229" t="s">
        <v>13</v>
      </c>
    </row>
    <row r="230" spans="1:15" x14ac:dyDescent="0.25">
      <c r="A230">
        <v>1715</v>
      </c>
      <c r="B230">
        <v>3483</v>
      </c>
      <c r="C230" t="s">
        <v>741</v>
      </c>
      <c r="D230" t="s">
        <v>742</v>
      </c>
      <c r="E230" t="s">
        <v>1248</v>
      </c>
      <c r="F230" s="1">
        <v>45375</v>
      </c>
      <c r="G230" s="34" t="str">
        <f t="shared" si="3"/>
        <v>Mar</v>
      </c>
      <c r="H230">
        <v>3</v>
      </c>
      <c r="I230" t="s">
        <v>1242</v>
      </c>
      <c r="J230" t="s">
        <v>1214</v>
      </c>
      <c r="K230">
        <v>0.25</v>
      </c>
      <c r="L230">
        <v>369</v>
      </c>
      <c r="M230">
        <v>1476</v>
      </c>
      <c r="N230">
        <v>1107</v>
      </c>
      <c r="O230" t="s">
        <v>13</v>
      </c>
    </row>
    <row r="231" spans="1:15" x14ac:dyDescent="0.25">
      <c r="A231">
        <v>1912</v>
      </c>
      <c r="B231">
        <v>3680</v>
      </c>
      <c r="C231" t="s">
        <v>449</v>
      </c>
      <c r="D231" t="s">
        <v>921</v>
      </c>
      <c r="E231" t="s">
        <v>1249</v>
      </c>
      <c r="F231" s="1">
        <v>45376</v>
      </c>
      <c r="G231" s="34" t="str">
        <f t="shared" si="3"/>
        <v>Mar</v>
      </c>
      <c r="H231">
        <v>3</v>
      </c>
      <c r="I231" t="s">
        <v>18</v>
      </c>
      <c r="J231" t="s">
        <v>1233</v>
      </c>
      <c r="K231">
        <v>0.25</v>
      </c>
      <c r="L231">
        <v>88</v>
      </c>
      <c r="M231">
        <v>352</v>
      </c>
      <c r="N231">
        <v>264</v>
      </c>
      <c r="O231" t="s">
        <v>1200</v>
      </c>
    </row>
    <row r="232" spans="1:15" x14ac:dyDescent="0.25">
      <c r="A232">
        <v>1974</v>
      </c>
      <c r="B232">
        <v>3742</v>
      </c>
      <c r="C232" t="s">
        <v>380</v>
      </c>
      <c r="D232" t="s">
        <v>354</v>
      </c>
      <c r="E232" t="s">
        <v>1249</v>
      </c>
      <c r="F232" s="1">
        <v>45376</v>
      </c>
      <c r="G232" s="34" t="str">
        <f t="shared" si="3"/>
        <v>Mar</v>
      </c>
      <c r="H232">
        <v>1</v>
      </c>
      <c r="I232" t="s">
        <v>14</v>
      </c>
      <c r="J232" t="s">
        <v>1233</v>
      </c>
      <c r="K232">
        <v>0.25</v>
      </c>
      <c r="L232">
        <v>301.75</v>
      </c>
      <c r="M232">
        <v>1207</v>
      </c>
      <c r="N232">
        <v>905.25</v>
      </c>
      <c r="O232" t="s">
        <v>15</v>
      </c>
    </row>
    <row r="233" spans="1:15" x14ac:dyDescent="0.25">
      <c r="A233">
        <v>2047</v>
      </c>
      <c r="B233">
        <v>3815</v>
      </c>
      <c r="C233" t="s">
        <v>1052</v>
      </c>
      <c r="D233" t="s">
        <v>759</v>
      </c>
      <c r="E233" t="s">
        <v>1208</v>
      </c>
      <c r="F233" s="1">
        <v>45376</v>
      </c>
      <c r="G233" s="34" t="str">
        <f t="shared" si="3"/>
        <v>Mar</v>
      </c>
      <c r="H233">
        <v>2</v>
      </c>
      <c r="I233" t="s">
        <v>1242</v>
      </c>
      <c r="J233" t="s">
        <v>1218</v>
      </c>
      <c r="K233">
        <v>0.3</v>
      </c>
      <c r="L233">
        <v>498.9</v>
      </c>
      <c r="M233">
        <v>1663</v>
      </c>
      <c r="N233">
        <v>1164.0999999999999</v>
      </c>
      <c r="O233" t="s">
        <v>19</v>
      </c>
    </row>
    <row r="234" spans="1:15" x14ac:dyDescent="0.25">
      <c r="A234">
        <v>2184</v>
      </c>
      <c r="B234">
        <v>3953</v>
      </c>
      <c r="C234" t="s">
        <v>198</v>
      </c>
      <c r="D234" t="s">
        <v>114</v>
      </c>
      <c r="E234" t="s">
        <v>1249</v>
      </c>
      <c r="F234" s="1">
        <v>45376</v>
      </c>
      <c r="G234" s="34" t="str">
        <f t="shared" si="3"/>
        <v>Mar</v>
      </c>
      <c r="H234">
        <v>3</v>
      </c>
      <c r="I234" t="s">
        <v>1242</v>
      </c>
      <c r="J234" t="s">
        <v>1222</v>
      </c>
      <c r="K234">
        <v>0.25</v>
      </c>
      <c r="L234">
        <v>190.75</v>
      </c>
      <c r="M234">
        <v>763</v>
      </c>
      <c r="N234">
        <v>572.25</v>
      </c>
      <c r="O234" t="s">
        <v>1200</v>
      </c>
    </row>
    <row r="235" spans="1:15" x14ac:dyDescent="0.25">
      <c r="A235">
        <v>1608</v>
      </c>
      <c r="B235">
        <v>3375</v>
      </c>
      <c r="C235" t="s">
        <v>540</v>
      </c>
      <c r="D235" t="s">
        <v>368</v>
      </c>
      <c r="E235" t="s">
        <v>1205</v>
      </c>
      <c r="F235" s="1">
        <v>45377</v>
      </c>
      <c r="G235" s="34" t="str">
        <f t="shared" si="3"/>
        <v>Mar</v>
      </c>
      <c r="H235">
        <v>1</v>
      </c>
      <c r="I235" t="s">
        <v>1242</v>
      </c>
      <c r="J235" t="s">
        <v>1214</v>
      </c>
      <c r="K235">
        <v>0.1</v>
      </c>
      <c r="L235">
        <v>68</v>
      </c>
      <c r="M235">
        <v>680</v>
      </c>
      <c r="N235">
        <v>612</v>
      </c>
      <c r="O235" t="s">
        <v>1200</v>
      </c>
    </row>
    <row r="236" spans="1:15" x14ac:dyDescent="0.25">
      <c r="A236">
        <v>1326</v>
      </c>
      <c r="B236">
        <v>3093</v>
      </c>
      <c r="C236" t="s">
        <v>198</v>
      </c>
      <c r="D236" t="s">
        <v>199</v>
      </c>
      <c r="E236" t="s">
        <v>1205</v>
      </c>
      <c r="F236" s="1">
        <v>45378</v>
      </c>
      <c r="G236" s="34" t="str">
        <f t="shared" si="3"/>
        <v>Mar</v>
      </c>
      <c r="H236">
        <v>2</v>
      </c>
      <c r="I236" t="s">
        <v>14</v>
      </c>
      <c r="J236" t="s">
        <v>1228</v>
      </c>
      <c r="K236">
        <v>0.1</v>
      </c>
      <c r="L236">
        <v>116.9</v>
      </c>
      <c r="M236">
        <v>1169</v>
      </c>
      <c r="N236">
        <v>1052.0999999999999</v>
      </c>
      <c r="O236" t="s">
        <v>13</v>
      </c>
    </row>
    <row r="237" spans="1:15" x14ac:dyDescent="0.25">
      <c r="A237">
        <v>1615</v>
      </c>
      <c r="B237">
        <v>3383</v>
      </c>
      <c r="C237" t="s">
        <v>617</v>
      </c>
      <c r="D237" t="s">
        <v>618</v>
      </c>
      <c r="E237" t="s">
        <v>1208</v>
      </c>
      <c r="F237" s="1">
        <v>45378</v>
      </c>
      <c r="G237" s="34" t="str">
        <f t="shared" si="3"/>
        <v>Mar</v>
      </c>
      <c r="H237">
        <v>1</v>
      </c>
      <c r="I237" t="s">
        <v>1242</v>
      </c>
      <c r="J237" t="s">
        <v>1228</v>
      </c>
      <c r="K237">
        <v>0.3</v>
      </c>
      <c r="L237">
        <v>141.30000000000001</v>
      </c>
      <c r="M237">
        <v>471</v>
      </c>
      <c r="N237">
        <v>329.7</v>
      </c>
      <c r="O237" t="s">
        <v>15</v>
      </c>
    </row>
    <row r="238" spans="1:15" x14ac:dyDescent="0.25">
      <c r="A238">
        <v>1706</v>
      </c>
      <c r="B238">
        <v>3474</v>
      </c>
      <c r="C238" t="s">
        <v>732</v>
      </c>
      <c r="D238" t="s">
        <v>733</v>
      </c>
      <c r="E238" t="s">
        <v>1248</v>
      </c>
      <c r="F238" s="1">
        <v>45378</v>
      </c>
      <c r="G238" s="34" t="str">
        <f t="shared" si="3"/>
        <v>Mar</v>
      </c>
      <c r="H238">
        <v>1</v>
      </c>
      <c r="I238" t="s">
        <v>1242</v>
      </c>
      <c r="J238" t="s">
        <v>1216</v>
      </c>
      <c r="K238">
        <v>0.25</v>
      </c>
      <c r="L238">
        <v>419</v>
      </c>
      <c r="M238">
        <v>1676</v>
      </c>
      <c r="N238">
        <v>1257</v>
      </c>
      <c r="O238" t="s">
        <v>1200</v>
      </c>
    </row>
    <row r="239" spans="1:15" x14ac:dyDescent="0.25">
      <c r="A239">
        <v>1899</v>
      </c>
      <c r="B239">
        <v>3667</v>
      </c>
      <c r="C239" t="s">
        <v>921</v>
      </c>
      <c r="D239" t="s">
        <v>428</v>
      </c>
      <c r="E239" t="s">
        <v>1205</v>
      </c>
      <c r="F239" s="1">
        <v>45378</v>
      </c>
      <c r="G239" s="34" t="str">
        <f t="shared" si="3"/>
        <v>Mar</v>
      </c>
      <c r="H239">
        <v>1</v>
      </c>
      <c r="I239" t="s">
        <v>14</v>
      </c>
      <c r="J239" t="s">
        <v>1214</v>
      </c>
      <c r="K239">
        <v>0.1</v>
      </c>
      <c r="L239">
        <v>112.5</v>
      </c>
      <c r="M239">
        <v>1125</v>
      </c>
      <c r="N239">
        <v>1012.5</v>
      </c>
      <c r="O239" t="s">
        <v>16</v>
      </c>
    </row>
    <row r="240" spans="1:15" x14ac:dyDescent="0.25">
      <c r="A240">
        <v>2105</v>
      </c>
      <c r="B240">
        <v>3874</v>
      </c>
      <c r="C240" t="s">
        <v>543</v>
      </c>
      <c r="D240" t="s">
        <v>1102</v>
      </c>
      <c r="E240" t="s">
        <v>1249</v>
      </c>
      <c r="F240" s="1">
        <v>45378</v>
      </c>
      <c r="G240" s="34" t="str">
        <f t="shared" si="3"/>
        <v>Mar</v>
      </c>
      <c r="H240">
        <v>1</v>
      </c>
      <c r="I240" t="s">
        <v>1243</v>
      </c>
      <c r="J240" t="s">
        <v>1228</v>
      </c>
      <c r="K240">
        <v>0.25</v>
      </c>
      <c r="L240">
        <v>64</v>
      </c>
      <c r="M240">
        <v>256</v>
      </c>
      <c r="N240">
        <v>192</v>
      </c>
      <c r="O240" t="s">
        <v>15</v>
      </c>
    </row>
    <row r="241" spans="1:15" x14ac:dyDescent="0.25">
      <c r="A241">
        <v>2109</v>
      </c>
      <c r="B241">
        <v>3878</v>
      </c>
      <c r="C241" t="s">
        <v>329</v>
      </c>
      <c r="D241" t="s">
        <v>1107</v>
      </c>
      <c r="E241" t="s">
        <v>1203</v>
      </c>
      <c r="F241" s="1">
        <v>45378</v>
      </c>
      <c r="G241" s="34" t="str">
        <f t="shared" si="3"/>
        <v>Mar</v>
      </c>
      <c r="H241">
        <v>1</v>
      </c>
      <c r="I241" t="s">
        <v>14</v>
      </c>
      <c r="J241" t="s">
        <v>1216</v>
      </c>
      <c r="K241">
        <v>0.3</v>
      </c>
      <c r="L241">
        <v>121.2</v>
      </c>
      <c r="M241">
        <v>404</v>
      </c>
      <c r="N241">
        <v>282.8</v>
      </c>
      <c r="O241" t="s">
        <v>1200</v>
      </c>
    </row>
    <row r="242" spans="1:15" x14ac:dyDescent="0.25">
      <c r="A242">
        <v>1580</v>
      </c>
      <c r="B242">
        <v>3347</v>
      </c>
      <c r="C242" t="s">
        <v>208</v>
      </c>
      <c r="D242" t="s">
        <v>579</v>
      </c>
      <c r="E242" t="s">
        <v>1248</v>
      </c>
      <c r="F242" s="1">
        <v>45379</v>
      </c>
      <c r="G242" s="34" t="str">
        <f t="shared" si="3"/>
        <v>Mar</v>
      </c>
      <c r="H242">
        <v>3</v>
      </c>
      <c r="I242" t="s">
        <v>14</v>
      </c>
      <c r="J242" t="s">
        <v>1233</v>
      </c>
      <c r="K242">
        <v>0.25</v>
      </c>
      <c r="L242">
        <v>229.5</v>
      </c>
      <c r="M242">
        <v>918</v>
      </c>
      <c r="N242">
        <v>688.5</v>
      </c>
      <c r="O242" t="s">
        <v>15</v>
      </c>
    </row>
    <row r="243" spans="1:15" x14ac:dyDescent="0.25">
      <c r="A243">
        <v>1656</v>
      </c>
      <c r="B243">
        <v>3424</v>
      </c>
      <c r="C243" t="s">
        <v>426</v>
      </c>
      <c r="D243" t="s">
        <v>280</v>
      </c>
      <c r="E243" t="s">
        <v>1207</v>
      </c>
      <c r="F243" s="1">
        <v>45379</v>
      </c>
      <c r="G243" s="34" t="str">
        <f t="shared" si="3"/>
        <v>Mar</v>
      </c>
      <c r="H243">
        <v>2</v>
      </c>
      <c r="I243" t="s">
        <v>1242</v>
      </c>
      <c r="J243" t="s">
        <v>1222</v>
      </c>
      <c r="K243">
        <v>0.2</v>
      </c>
      <c r="L243">
        <v>83.4</v>
      </c>
      <c r="M243">
        <v>417</v>
      </c>
      <c r="N243">
        <v>333.6</v>
      </c>
      <c r="O243" t="s">
        <v>13</v>
      </c>
    </row>
    <row r="244" spans="1:15" x14ac:dyDescent="0.25">
      <c r="A244">
        <v>1669</v>
      </c>
      <c r="B244">
        <v>3437</v>
      </c>
      <c r="C244" t="s">
        <v>284</v>
      </c>
      <c r="D244" t="s">
        <v>159</v>
      </c>
      <c r="E244" t="s">
        <v>1207</v>
      </c>
      <c r="F244" s="1">
        <v>45379</v>
      </c>
      <c r="G244" s="34" t="str">
        <f t="shared" si="3"/>
        <v>Mar</v>
      </c>
      <c r="H244">
        <v>1</v>
      </c>
      <c r="I244" t="s">
        <v>1242</v>
      </c>
      <c r="J244" t="s">
        <v>1222</v>
      </c>
      <c r="K244">
        <v>0.2</v>
      </c>
      <c r="L244">
        <v>133.19999999999999</v>
      </c>
      <c r="M244">
        <v>666</v>
      </c>
      <c r="N244">
        <v>532.79999999999995</v>
      </c>
      <c r="O244" t="s">
        <v>1200</v>
      </c>
    </row>
    <row r="245" spans="1:15" x14ac:dyDescent="0.25">
      <c r="A245">
        <v>1745</v>
      </c>
      <c r="B245">
        <v>3513</v>
      </c>
      <c r="C245" t="s">
        <v>772</v>
      </c>
      <c r="D245" t="s">
        <v>773</v>
      </c>
      <c r="E245" t="s">
        <v>1248</v>
      </c>
      <c r="F245" s="1">
        <v>45379</v>
      </c>
      <c r="G245" s="34" t="str">
        <f t="shared" si="3"/>
        <v>Mar</v>
      </c>
      <c r="H245">
        <v>1</v>
      </c>
      <c r="I245" t="s">
        <v>1242</v>
      </c>
      <c r="J245" t="s">
        <v>1214</v>
      </c>
      <c r="K245">
        <v>0.25</v>
      </c>
      <c r="L245">
        <v>214.25</v>
      </c>
      <c r="M245">
        <v>857</v>
      </c>
      <c r="N245">
        <v>642.75</v>
      </c>
      <c r="O245" t="s">
        <v>16</v>
      </c>
    </row>
    <row r="246" spans="1:15" x14ac:dyDescent="0.25">
      <c r="A246">
        <v>1297</v>
      </c>
      <c r="B246">
        <v>3064</v>
      </c>
      <c r="C246" t="s">
        <v>147</v>
      </c>
      <c r="D246" t="s">
        <v>148</v>
      </c>
      <c r="E246" t="s">
        <v>1207</v>
      </c>
      <c r="F246" s="1">
        <v>45382</v>
      </c>
      <c r="G246" s="34" t="str">
        <f t="shared" si="3"/>
        <v>Mar</v>
      </c>
      <c r="H246">
        <v>2</v>
      </c>
      <c r="I246" t="s">
        <v>14</v>
      </c>
      <c r="J246" t="s">
        <v>1233</v>
      </c>
      <c r="K246">
        <v>0.2</v>
      </c>
      <c r="L246">
        <v>184</v>
      </c>
      <c r="M246">
        <v>920</v>
      </c>
      <c r="N246">
        <v>736</v>
      </c>
      <c r="O246" t="s">
        <v>13</v>
      </c>
    </row>
    <row r="247" spans="1:15" x14ac:dyDescent="0.25">
      <c r="A247">
        <v>1748</v>
      </c>
      <c r="B247">
        <v>3516</v>
      </c>
      <c r="C247" t="s">
        <v>507</v>
      </c>
      <c r="D247" t="s">
        <v>204</v>
      </c>
      <c r="E247" t="s">
        <v>1205</v>
      </c>
      <c r="F247" s="1">
        <v>45382</v>
      </c>
      <c r="G247" s="34" t="str">
        <f t="shared" si="3"/>
        <v>Mar</v>
      </c>
      <c r="H247">
        <v>3</v>
      </c>
      <c r="I247" t="s">
        <v>1243</v>
      </c>
      <c r="J247" t="s">
        <v>1224</v>
      </c>
      <c r="K247">
        <v>0.1</v>
      </c>
      <c r="L247">
        <v>17.600000000000001</v>
      </c>
      <c r="M247">
        <v>176</v>
      </c>
      <c r="N247">
        <v>158.4</v>
      </c>
      <c r="O247" t="s">
        <v>13</v>
      </c>
    </row>
    <row r="248" spans="1:15" x14ac:dyDescent="0.25">
      <c r="A248">
        <v>1917</v>
      </c>
      <c r="B248">
        <v>3685</v>
      </c>
      <c r="C248" t="s">
        <v>149</v>
      </c>
      <c r="D248" t="s">
        <v>944</v>
      </c>
      <c r="E248" t="s">
        <v>1249</v>
      </c>
      <c r="F248" s="1">
        <v>45383</v>
      </c>
      <c r="G248" s="34" t="str">
        <f t="shared" si="3"/>
        <v>Apr</v>
      </c>
      <c r="H248">
        <v>2</v>
      </c>
      <c r="I248" t="s">
        <v>1242</v>
      </c>
      <c r="J248" t="s">
        <v>1233</v>
      </c>
      <c r="K248">
        <v>0.25</v>
      </c>
      <c r="L248">
        <v>200.5</v>
      </c>
      <c r="M248">
        <v>802</v>
      </c>
      <c r="N248">
        <v>601.5</v>
      </c>
      <c r="O248" t="s">
        <v>1200</v>
      </c>
    </row>
    <row r="249" spans="1:15" x14ac:dyDescent="0.25">
      <c r="A249">
        <v>1920</v>
      </c>
      <c r="B249">
        <v>3688</v>
      </c>
      <c r="C249" t="s">
        <v>949</v>
      </c>
      <c r="D249" t="s">
        <v>950</v>
      </c>
      <c r="E249" t="s">
        <v>1208</v>
      </c>
      <c r="F249" s="1">
        <v>45383</v>
      </c>
      <c r="G249" s="34" t="str">
        <f t="shared" si="3"/>
        <v>Apr</v>
      </c>
      <c r="H249">
        <v>3</v>
      </c>
      <c r="I249" t="s">
        <v>1242</v>
      </c>
      <c r="J249" t="s">
        <v>1233</v>
      </c>
      <c r="K249">
        <v>0.3</v>
      </c>
      <c r="L249">
        <v>241.8</v>
      </c>
      <c r="M249">
        <v>806</v>
      </c>
      <c r="N249">
        <v>564.20000000000005</v>
      </c>
      <c r="O249" t="s">
        <v>13</v>
      </c>
    </row>
    <row r="250" spans="1:15" x14ac:dyDescent="0.25">
      <c r="A250">
        <v>1805</v>
      </c>
      <c r="B250">
        <v>3573</v>
      </c>
      <c r="C250" t="s">
        <v>675</v>
      </c>
      <c r="D250" t="s">
        <v>90</v>
      </c>
      <c r="E250" t="s">
        <v>1208</v>
      </c>
      <c r="F250" s="1">
        <v>45384</v>
      </c>
      <c r="G250" s="34" t="str">
        <f t="shared" si="3"/>
        <v>Apr</v>
      </c>
      <c r="H250">
        <v>2</v>
      </c>
      <c r="I250" t="s">
        <v>18</v>
      </c>
      <c r="J250" t="s">
        <v>1228</v>
      </c>
      <c r="K250">
        <v>0.3</v>
      </c>
      <c r="L250">
        <v>390.9</v>
      </c>
      <c r="M250">
        <v>1303</v>
      </c>
      <c r="N250">
        <v>912.1</v>
      </c>
      <c r="O250" t="s">
        <v>16</v>
      </c>
    </row>
    <row r="251" spans="1:15" x14ac:dyDescent="0.25">
      <c r="A251">
        <v>1843</v>
      </c>
      <c r="B251">
        <v>3611</v>
      </c>
      <c r="C251" t="s">
        <v>871</v>
      </c>
      <c r="D251" t="s">
        <v>90</v>
      </c>
      <c r="E251" t="s">
        <v>1203</v>
      </c>
      <c r="F251" s="1">
        <v>45384</v>
      </c>
      <c r="G251" s="34" t="str">
        <f t="shared" si="3"/>
        <v>Apr</v>
      </c>
      <c r="H251">
        <v>2</v>
      </c>
      <c r="I251" t="s">
        <v>1242</v>
      </c>
      <c r="J251" t="s">
        <v>1214</v>
      </c>
      <c r="K251">
        <v>0.3</v>
      </c>
      <c r="L251">
        <v>488.4</v>
      </c>
      <c r="M251">
        <v>1628</v>
      </c>
      <c r="N251">
        <v>1139.5999999999999</v>
      </c>
      <c r="O251" t="s">
        <v>1200</v>
      </c>
    </row>
    <row r="252" spans="1:15" x14ac:dyDescent="0.25">
      <c r="A252">
        <v>1404</v>
      </c>
      <c r="B252">
        <v>3171</v>
      </c>
      <c r="C252" t="s">
        <v>326</v>
      </c>
      <c r="D252" t="s">
        <v>157</v>
      </c>
      <c r="E252" t="s">
        <v>1207</v>
      </c>
      <c r="F252" s="1">
        <v>45385</v>
      </c>
      <c r="G252" s="34" t="str">
        <f t="shared" si="3"/>
        <v>Apr</v>
      </c>
      <c r="H252">
        <v>1</v>
      </c>
      <c r="I252" t="s">
        <v>1243</v>
      </c>
      <c r="J252" t="s">
        <v>1220</v>
      </c>
      <c r="K252">
        <v>0.2</v>
      </c>
      <c r="L252">
        <v>28.8</v>
      </c>
      <c r="M252">
        <v>144</v>
      </c>
      <c r="N252">
        <v>115.2</v>
      </c>
      <c r="O252" t="s">
        <v>13</v>
      </c>
    </row>
    <row r="253" spans="1:15" x14ac:dyDescent="0.25">
      <c r="A253">
        <v>1573</v>
      </c>
      <c r="B253">
        <v>3340</v>
      </c>
      <c r="C253" t="s">
        <v>173</v>
      </c>
      <c r="D253" t="s">
        <v>421</v>
      </c>
      <c r="E253" t="s">
        <v>1205</v>
      </c>
      <c r="F253" s="1">
        <v>45385</v>
      </c>
      <c r="G253" s="34" t="str">
        <f t="shared" si="3"/>
        <v>Apr</v>
      </c>
      <c r="H253">
        <v>3</v>
      </c>
      <c r="I253" t="s">
        <v>14</v>
      </c>
      <c r="J253" t="s">
        <v>1222</v>
      </c>
      <c r="K253">
        <v>0.1</v>
      </c>
      <c r="L253">
        <v>138.9</v>
      </c>
      <c r="M253">
        <v>1389</v>
      </c>
      <c r="N253">
        <v>1250.0999999999999</v>
      </c>
      <c r="O253" t="s">
        <v>15</v>
      </c>
    </row>
    <row r="254" spans="1:15" x14ac:dyDescent="0.25">
      <c r="A254">
        <v>1764</v>
      </c>
      <c r="B254">
        <v>3532</v>
      </c>
      <c r="C254" t="s">
        <v>636</v>
      </c>
      <c r="D254" t="s">
        <v>686</v>
      </c>
      <c r="E254" t="s">
        <v>1248</v>
      </c>
      <c r="F254" s="1">
        <v>45385</v>
      </c>
      <c r="G254" s="34" t="str">
        <f t="shared" si="3"/>
        <v>Apr</v>
      </c>
      <c r="H254">
        <v>1</v>
      </c>
      <c r="I254" t="s">
        <v>1242</v>
      </c>
      <c r="J254" t="s">
        <v>1222</v>
      </c>
      <c r="K254">
        <v>0.25</v>
      </c>
      <c r="L254">
        <v>319.5</v>
      </c>
      <c r="M254">
        <v>1278</v>
      </c>
      <c r="N254">
        <v>958.5</v>
      </c>
      <c r="O254" t="s">
        <v>19</v>
      </c>
    </row>
    <row r="255" spans="1:15" x14ac:dyDescent="0.25">
      <c r="A255">
        <v>1410</v>
      </c>
      <c r="B255">
        <v>3177</v>
      </c>
      <c r="C255" t="s">
        <v>334</v>
      </c>
      <c r="D255" t="s">
        <v>335</v>
      </c>
      <c r="E255" t="s">
        <v>1208</v>
      </c>
      <c r="F255" s="1">
        <v>45386</v>
      </c>
      <c r="G255" s="34" t="str">
        <f t="shared" si="3"/>
        <v>Apr</v>
      </c>
      <c r="H255">
        <v>3</v>
      </c>
      <c r="I255" t="s">
        <v>14</v>
      </c>
      <c r="J255" t="s">
        <v>1216</v>
      </c>
      <c r="K255">
        <v>0.3</v>
      </c>
      <c r="L255">
        <v>51.6</v>
      </c>
      <c r="M255">
        <v>172</v>
      </c>
      <c r="N255">
        <v>120.4</v>
      </c>
      <c r="O255" t="s">
        <v>19</v>
      </c>
    </row>
    <row r="256" spans="1:15" x14ac:dyDescent="0.25">
      <c r="A256">
        <v>1558</v>
      </c>
      <c r="B256">
        <v>3325</v>
      </c>
      <c r="C256" t="s">
        <v>549</v>
      </c>
      <c r="D256" t="s">
        <v>53</v>
      </c>
      <c r="E256" t="s">
        <v>1249</v>
      </c>
      <c r="F256" s="1">
        <v>45386</v>
      </c>
      <c r="G256" s="34" t="str">
        <f t="shared" si="3"/>
        <v>Apr</v>
      </c>
      <c r="H256">
        <v>2</v>
      </c>
      <c r="I256" t="s">
        <v>1242</v>
      </c>
      <c r="J256" t="s">
        <v>1228</v>
      </c>
      <c r="K256">
        <v>0.25</v>
      </c>
      <c r="L256">
        <v>224.25</v>
      </c>
      <c r="M256">
        <v>897</v>
      </c>
      <c r="N256">
        <v>672.75</v>
      </c>
      <c r="O256" t="s">
        <v>1200</v>
      </c>
    </row>
    <row r="257" spans="1:15" x14ac:dyDescent="0.25">
      <c r="A257">
        <v>2228</v>
      </c>
      <c r="B257">
        <v>3997</v>
      </c>
      <c r="C257" t="s">
        <v>1197</v>
      </c>
      <c r="D257" t="s">
        <v>1120</v>
      </c>
      <c r="E257" t="s">
        <v>1203</v>
      </c>
      <c r="F257" s="1">
        <v>45386</v>
      </c>
      <c r="G257" s="34" t="str">
        <f t="shared" si="3"/>
        <v>Apr</v>
      </c>
      <c r="H257">
        <v>2</v>
      </c>
      <c r="I257" t="s">
        <v>18</v>
      </c>
      <c r="J257" t="s">
        <v>1220</v>
      </c>
      <c r="K257">
        <v>0.3</v>
      </c>
      <c r="L257">
        <v>315</v>
      </c>
      <c r="M257">
        <v>1050</v>
      </c>
      <c r="N257">
        <v>735</v>
      </c>
      <c r="O257" t="s">
        <v>15</v>
      </c>
    </row>
    <row r="258" spans="1:15" x14ac:dyDescent="0.25">
      <c r="A258">
        <v>1512</v>
      </c>
      <c r="B258">
        <v>3279</v>
      </c>
      <c r="C258" t="s">
        <v>490</v>
      </c>
      <c r="D258" t="s">
        <v>491</v>
      </c>
      <c r="E258" t="s">
        <v>1248</v>
      </c>
      <c r="F258" s="1">
        <v>45387</v>
      </c>
      <c r="G258" s="34" t="str">
        <f t="shared" ref="G258:G321" si="4">TEXT(F258, "MMM")</f>
        <v>Apr</v>
      </c>
      <c r="H258">
        <v>2</v>
      </c>
      <c r="I258" t="s">
        <v>14</v>
      </c>
      <c r="J258" t="s">
        <v>1233</v>
      </c>
      <c r="K258">
        <v>0.25</v>
      </c>
      <c r="L258">
        <v>14.25</v>
      </c>
      <c r="M258">
        <v>57</v>
      </c>
      <c r="N258">
        <v>42.75</v>
      </c>
      <c r="O258" t="s">
        <v>19</v>
      </c>
    </row>
    <row r="259" spans="1:15" x14ac:dyDescent="0.25">
      <c r="A259">
        <v>2102</v>
      </c>
      <c r="B259">
        <v>3871</v>
      </c>
      <c r="C259" t="s">
        <v>1100</v>
      </c>
      <c r="D259" t="s">
        <v>145</v>
      </c>
      <c r="E259" t="s">
        <v>1248</v>
      </c>
      <c r="F259" s="1">
        <v>45387</v>
      </c>
      <c r="G259" s="34" t="str">
        <f t="shared" si="4"/>
        <v>Apr</v>
      </c>
      <c r="H259">
        <v>1</v>
      </c>
      <c r="I259" t="s">
        <v>14</v>
      </c>
      <c r="J259" t="s">
        <v>1220</v>
      </c>
      <c r="K259">
        <v>0.25</v>
      </c>
      <c r="L259">
        <v>40.25</v>
      </c>
      <c r="M259">
        <v>161</v>
      </c>
      <c r="N259">
        <v>120.75</v>
      </c>
      <c r="O259" t="s">
        <v>16</v>
      </c>
    </row>
    <row r="260" spans="1:15" x14ac:dyDescent="0.25">
      <c r="A260">
        <v>2188</v>
      </c>
      <c r="B260">
        <v>3957</v>
      </c>
      <c r="C260" t="s">
        <v>747</v>
      </c>
      <c r="D260" t="s">
        <v>285</v>
      </c>
      <c r="E260" t="s">
        <v>1203</v>
      </c>
      <c r="F260" s="1">
        <v>45387</v>
      </c>
      <c r="G260" s="34" t="str">
        <f t="shared" si="4"/>
        <v>Apr</v>
      </c>
      <c r="H260">
        <v>3</v>
      </c>
      <c r="I260" t="s">
        <v>18</v>
      </c>
      <c r="J260" t="s">
        <v>1220</v>
      </c>
      <c r="K260">
        <v>0.3</v>
      </c>
      <c r="L260">
        <v>313.5</v>
      </c>
      <c r="M260">
        <v>1045</v>
      </c>
      <c r="N260">
        <v>731.5</v>
      </c>
      <c r="O260" t="s">
        <v>1200</v>
      </c>
    </row>
    <row r="261" spans="1:15" x14ac:dyDescent="0.25">
      <c r="A261">
        <v>1360</v>
      </c>
      <c r="B261">
        <v>3127</v>
      </c>
      <c r="C261" t="s">
        <v>226</v>
      </c>
      <c r="D261" t="s">
        <v>256</v>
      </c>
      <c r="E261" t="s">
        <v>1249</v>
      </c>
      <c r="F261" s="1">
        <v>45388</v>
      </c>
      <c r="G261" s="34" t="str">
        <f t="shared" si="4"/>
        <v>Apr</v>
      </c>
      <c r="H261">
        <v>2</v>
      </c>
      <c r="I261" t="s">
        <v>14</v>
      </c>
      <c r="J261" t="s">
        <v>1216</v>
      </c>
      <c r="K261">
        <v>0.25</v>
      </c>
      <c r="L261">
        <v>361.5</v>
      </c>
      <c r="M261">
        <v>1446</v>
      </c>
      <c r="N261">
        <v>1084.5</v>
      </c>
      <c r="O261" t="s">
        <v>19</v>
      </c>
    </row>
    <row r="262" spans="1:15" x14ac:dyDescent="0.25">
      <c r="A262">
        <v>1826</v>
      </c>
      <c r="B262">
        <v>3594</v>
      </c>
      <c r="C262" t="s">
        <v>852</v>
      </c>
      <c r="D262" t="s">
        <v>853</v>
      </c>
      <c r="E262" t="s">
        <v>1249</v>
      </c>
      <c r="F262" s="1">
        <v>45388</v>
      </c>
      <c r="G262" s="34" t="str">
        <f t="shared" si="4"/>
        <v>Apr</v>
      </c>
      <c r="H262">
        <v>3</v>
      </c>
      <c r="I262" t="s">
        <v>18</v>
      </c>
      <c r="J262" t="s">
        <v>1214</v>
      </c>
      <c r="K262">
        <v>0.25</v>
      </c>
      <c r="L262">
        <v>142.75</v>
      </c>
      <c r="M262">
        <v>571</v>
      </c>
      <c r="N262">
        <v>428.25</v>
      </c>
      <c r="O262" t="s">
        <v>1200</v>
      </c>
    </row>
    <row r="263" spans="1:15" x14ac:dyDescent="0.25">
      <c r="A263">
        <v>1395</v>
      </c>
      <c r="B263">
        <v>3162</v>
      </c>
      <c r="C263" t="s">
        <v>169</v>
      </c>
      <c r="D263" t="s">
        <v>313</v>
      </c>
      <c r="E263" t="s">
        <v>1249</v>
      </c>
      <c r="F263" s="1">
        <v>45389</v>
      </c>
      <c r="G263" s="34" t="str">
        <f t="shared" si="4"/>
        <v>Apr</v>
      </c>
      <c r="H263">
        <v>2</v>
      </c>
      <c r="I263" t="s">
        <v>14</v>
      </c>
      <c r="J263" t="s">
        <v>1233</v>
      </c>
      <c r="K263">
        <v>0.25</v>
      </c>
      <c r="L263">
        <v>333</v>
      </c>
      <c r="M263">
        <v>1332</v>
      </c>
      <c r="N263">
        <v>999</v>
      </c>
      <c r="O263" t="s">
        <v>13</v>
      </c>
    </row>
    <row r="264" spans="1:15" x14ac:dyDescent="0.25">
      <c r="A264">
        <v>1918</v>
      </c>
      <c r="B264">
        <v>3686</v>
      </c>
      <c r="C264" t="s">
        <v>945</v>
      </c>
      <c r="D264" t="s">
        <v>946</v>
      </c>
      <c r="E264" t="s">
        <v>1208</v>
      </c>
      <c r="F264" s="1">
        <v>45389</v>
      </c>
      <c r="G264" s="34" t="str">
        <f t="shared" si="4"/>
        <v>Apr</v>
      </c>
      <c r="H264">
        <v>3</v>
      </c>
      <c r="I264" t="s">
        <v>18</v>
      </c>
      <c r="J264" t="s">
        <v>1214</v>
      </c>
      <c r="K264">
        <v>0.3</v>
      </c>
      <c r="L264">
        <v>112.5</v>
      </c>
      <c r="M264">
        <v>375</v>
      </c>
      <c r="N264">
        <v>262.5</v>
      </c>
      <c r="O264" t="s">
        <v>13</v>
      </c>
    </row>
    <row r="265" spans="1:15" x14ac:dyDescent="0.25">
      <c r="A265">
        <v>2032</v>
      </c>
      <c r="B265">
        <v>3800</v>
      </c>
      <c r="C265" t="s">
        <v>813</v>
      </c>
      <c r="D265" t="s">
        <v>953</v>
      </c>
      <c r="E265" t="s">
        <v>1248</v>
      </c>
      <c r="F265" s="1">
        <v>45389</v>
      </c>
      <c r="G265" s="34" t="str">
        <f t="shared" si="4"/>
        <v>Apr</v>
      </c>
      <c r="H265">
        <v>3</v>
      </c>
      <c r="I265" t="s">
        <v>14</v>
      </c>
      <c r="J265" t="s">
        <v>1216</v>
      </c>
      <c r="K265">
        <v>0.25</v>
      </c>
      <c r="L265">
        <v>155.5</v>
      </c>
      <c r="M265">
        <v>622</v>
      </c>
      <c r="N265">
        <v>466.5</v>
      </c>
      <c r="O265" t="s">
        <v>16</v>
      </c>
    </row>
    <row r="266" spans="1:15" x14ac:dyDescent="0.25">
      <c r="A266">
        <v>1385</v>
      </c>
      <c r="B266">
        <v>3152</v>
      </c>
      <c r="C266" t="s">
        <v>36</v>
      </c>
      <c r="D266" t="s">
        <v>300</v>
      </c>
      <c r="E266" t="s">
        <v>1203</v>
      </c>
      <c r="F266" s="1">
        <v>45390</v>
      </c>
      <c r="G266" s="34" t="str">
        <f t="shared" si="4"/>
        <v>Apr</v>
      </c>
      <c r="H266">
        <v>3</v>
      </c>
      <c r="I266" t="s">
        <v>1242</v>
      </c>
      <c r="J266" t="s">
        <v>1214</v>
      </c>
      <c r="K266">
        <v>0.3</v>
      </c>
      <c r="L266">
        <v>288.89999999999998</v>
      </c>
      <c r="M266">
        <v>963</v>
      </c>
      <c r="N266">
        <v>674.1</v>
      </c>
      <c r="O266" t="s">
        <v>16</v>
      </c>
    </row>
    <row r="267" spans="1:15" x14ac:dyDescent="0.25">
      <c r="A267">
        <v>2198</v>
      </c>
      <c r="B267">
        <v>3967</v>
      </c>
      <c r="C267" t="s">
        <v>661</v>
      </c>
      <c r="D267" t="s">
        <v>758</v>
      </c>
      <c r="E267" t="s">
        <v>1203</v>
      </c>
      <c r="F267" s="1">
        <v>45390</v>
      </c>
      <c r="G267" s="34" t="str">
        <f t="shared" si="4"/>
        <v>Apr</v>
      </c>
      <c r="H267">
        <v>3</v>
      </c>
      <c r="I267" t="s">
        <v>1242</v>
      </c>
      <c r="J267" t="s">
        <v>1233</v>
      </c>
      <c r="K267">
        <v>0.3</v>
      </c>
      <c r="L267">
        <v>104.7</v>
      </c>
      <c r="M267">
        <v>349</v>
      </c>
      <c r="N267">
        <v>244.3</v>
      </c>
      <c r="O267" t="s">
        <v>19</v>
      </c>
    </row>
    <row r="268" spans="1:15" x14ac:dyDescent="0.25">
      <c r="A268">
        <v>1415</v>
      </c>
      <c r="B268">
        <v>3182</v>
      </c>
      <c r="C268" t="s">
        <v>343</v>
      </c>
      <c r="D268" t="s">
        <v>344</v>
      </c>
      <c r="E268" t="s">
        <v>1205</v>
      </c>
      <c r="F268" s="1">
        <v>45391</v>
      </c>
      <c r="G268" s="34" t="str">
        <f t="shared" si="4"/>
        <v>Apr</v>
      </c>
      <c r="H268">
        <v>1</v>
      </c>
      <c r="I268" t="s">
        <v>14</v>
      </c>
      <c r="J268" t="s">
        <v>1222</v>
      </c>
      <c r="K268">
        <v>0.1</v>
      </c>
      <c r="L268">
        <v>90.8</v>
      </c>
      <c r="M268">
        <v>908</v>
      </c>
      <c r="N268">
        <v>817.2</v>
      </c>
      <c r="O268" t="s">
        <v>1200</v>
      </c>
    </row>
    <row r="269" spans="1:15" x14ac:dyDescent="0.25">
      <c r="A269">
        <v>1461</v>
      </c>
      <c r="B269">
        <v>3228</v>
      </c>
      <c r="C269" t="s">
        <v>418</v>
      </c>
      <c r="D269" t="s">
        <v>419</v>
      </c>
      <c r="E269" t="s">
        <v>1207</v>
      </c>
      <c r="F269" s="1">
        <v>45391</v>
      </c>
      <c r="G269" s="34" t="str">
        <f t="shared" si="4"/>
        <v>Apr</v>
      </c>
      <c r="H269">
        <v>3</v>
      </c>
      <c r="I269" t="s">
        <v>1242</v>
      </c>
      <c r="J269" t="s">
        <v>1214</v>
      </c>
      <c r="K269">
        <v>0.2</v>
      </c>
      <c r="L269">
        <v>145</v>
      </c>
      <c r="M269">
        <v>725</v>
      </c>
      <c r="N269">
        <v>580</v>
      </c>
      <c r="O269" t="s">
        <v>1200</v>
      </c>
    </row>
    <row r="270" spans="1:15" x14ac:dyDescent="0.25">
      <c r="A270">
        <v>1568</v>
      </c>
      <c r="B270">
        <v>3335</v>
      </c>
      <c r="C270" t="s">
        <v>565</v>
      </c>
      <c r="D270" t="s">
        <v>399</v>
      </c>
      <c r="E270" t="s">
        <v>1208</v>
      </c>
      <c r="F270" s="1">
        <v>45391</v>
      </c>
      <c r="G270" s="34" t="str">
        <f t="shared" si="4"/>
        <v>Apr</v>
      </c>
      <c r="H270">
        <v>2</v>
      </c>
      <c r="I270" t="s">
        <v>14</v>
      </c>
      <c r="J270" t="s">
        <v>1218</v>
      </c>
      <c r="K270">
        <v>0.3</v>
      </c>
      <c r="L270">
        <v>323.10000000000002</v>
      </c>
      <c r="M270">
        <v>1077</v>
      </c>
      <c r="N270">
        <v>753.9</v>
      </c>
      <c r="O270" t="s">
        <v>15</v>
      </c>
    </row>
    <row r="271" spans="1:15" x14ac:dyDescent="0.25">
      <c r="A271">
        <v>1666</v>
      </c>
      <c r="B271">
        <v>3434</v>
      </c>
      <c r="C271" t="s">
        <v>679</v>
      </c>
      <c r="D271" t="s">
        <v>680</v>
      </c>
      <c r="E271" t="s">
        <v>1208</v>
      </c>
      <c r="F271" s="1">
        <v>45391</v>
      </c>
      <c r="G271" s="34" t="str">
        <f t="shared" si="4"/>
        <v>Apr</v>
      </c>
      <c r="H271">
        <v>2</v>
      </c>
      <c r="I271" t="s">
        <v>14</v>
      </c>
      <c r="J271" t="s">
        <v>1233</v>
      </c>
      <c r="K271">
        <v>0.3</v>
      </c>
      <c r="L271">
        <v>108</v>
      </c>
      <c r="M271">
        <v>360</v>
      </c>
      <c r="N271">
        <v>252</v>
      </c>
      <c r="O271" t="s">
        <v>13</v>
      </c>
    </row>
    <row r="272" spans="1:15" x14ac:dyDescent="0.25">
      <c r="A272">
        <v>2210</v>
      </c>
      <c r="B272">
        <v>3979</v>
      </c>
      <c r="C272" t="s">
        <v>198</v>
      </c>
      <c r="D272" t="s">
        <v>853</v>
      </c>
      <c r="E272" t="s">
        <v>1249</v>
      </c>
      <c r="F272" s="1">
        <v>45392</v>
      </c>
      <c r="G272" s="34" t="str">
        <f t="shared" si="4"/>
        <v>Apr</v>
      </c>
      <c r="H272">
        <v>3</v>
      </c>
      <c r="I272" t="s">
        <v>14</v>
      </c>
      <c r="J272" t="s">
        <v>1224</v>
      </c>
      <c r="K272">
        <v>0.25</v>
      </c>
      <c r="L272">
        <v>430.75</v>
      </c>
      <c r="M272">
        <v>1723</v>
      </c>
      <c r="N272">
        <v>1292.25</v>
      </c>
      <c r="O272" t="s">
        <v>15</v>
      </c>
    </row>
    <row r="273" spans="1:15" x14ac:dyDescent="0.25">
      <c r="A273">
        <v>2042</v>
      </c>
      <c r="B273">
        <v>3810</v>
      </c>
      <c r="C273" t="s">
        <v>675</v>
      </c>
      <c r="D273" t="s">
        <v>170</v>
      </c>
      <c r="E273" t="s">
        <v>1248</v>
      </c>
      <c r="F273" s="1">
        <v>45393</v>
      </c>
      <c r="G273" s="34" t="str">
        <f t="shared" si="4"/>
        <v>Apr</v>
      </c>
      <c r="H273">
        <v>2</v>
      </c>
      <c r="I273" t="s">
        <v>14</v>
      </c>
      <c r="J273" t="s">
        <v>1228</v>
      </c>
      <c r="K273">
        <v>0.25</v>
      </c>
      <c r="L273">
        <v>418.5</v>
      </c>
      <c r="M273">
        <v>1674</v>
      </c>
      <c r="N273">
        <v>1255.5</v>
      </c>
      <c r="O273" t="s">
        <v>15</v>
      </c>
    </row>
    <row r="274" spans="1:15" x14ac:dyDescent="0.25">
      <c r="A274">
        <v>1785</v>
      </c>
      <c r="B274">
        <v>3553</v>
      </c>
      <c r="C274" t="s">
        <v>240</v>
      </c>
      <c r="D274" t="s">
        <v>404</v>
      </c>
      <c r="E274" t="s">
        <v>1203</v>
      </c>
      <c r="F274" s="1">
        <v>45394</v>
      </c>
      <c r="G274" s="34" t="str">
        <f t="shared" si="4"/>
        <v>Apr</v>
      </c>
      <c r="H274">
        <v>1</v>
      </c>
      <c r="I274" t="s">
        <v>18</v>
      </c>
      <c r="J274" t="s">
        <v>1218</v>
      </c>
      <c r="K274">
        <v>0.3</v>
      </c>
      <c r="L274">
        <v>299.10000000000002</v>
      </c>
      <c r="M274">
        <v>997</v>
      </c>
      <c r="N274">
        <v>697.9</v>
      </c>
      <c r="O274" t="s">
        <v>15</v>
      </c>
    </row>
    <row r="275" spans="1:15" x14ac:dyDescent="0.25">
      <c r="A275">
        <v>1498</v>
      </c>
      <c r="B275">
        <v>3265</v>
      </c>
      <c r="C275" t="s">
        <v>456</v>
      </c>
      <c r="D275" t="s">
        <v>472</v>
      </c>
      <c r="E275" t="s">
        <v>1208</v>
      </c>
      <c r="F275" s="1">
        <v>45395</v>
      </c>
      <c r="G275" s="34" t="str">
        <f t="shared" si="4"/>
        <v>Apr</v>
      </c>
      <c r="H275">
        <v>2</v>
      </c>
      <c r="I275" t="s">
        <v>14</v>
      </c>
      <c r="J275" t="s">
        <v>1214</v>
      </c>
      <c r="K275">
        <v>0.3</v>
      </c>
      <c r="L275">
        <v>414.6</v>
      </c>
      <c r="M275">
        <v>1382</v>
      </c>
      <c r="N275">
        <v>967.4</v>
      </c>
      <c r="O275" t="s">
        <v>15</v>
      </c>
    </row>
    <row r="276" spans="1:15" x14ac:dyDescent="0.25">
      <c r="A276">
        <v>1962</v>
      </c>
      <c r="B276">
        <v>3730</v>
      </c>
      <c r="C276" t="s">
        <v>242</v>
      </c>
      <c r="D276" t="s">
        <v>853</v>
      </c>
      <c r="E276" t="s">
        <v>1203</v>
      </c>
      <c r="F276" s="1">
        <v>45395</v>
      </c>
      <c r="G276" s="34" t="str">
        <f t="shared" si="4"/>
        <v>Apr</v>
      </c>
      <c r="H276">
        <v>1</v>
      </c>
      <c r="I276" t="s">
        <v>18</v>
      </c>
      <c r="J276" t="s">
        <v>1220</v>
      </c>
      <c r="K276">
        <v>0.3</v>
      </c>
      <c r="L276">
        <v>375</v>
      </c>
      <c r="M276">
        <v>1250</v>
      </c>
      <c r="N276">
        <v>875</v>
      </c>
      <c r="O276" t="s">
        <v>15</v>
      </c>
    </row>
    <row r="277" spans="1:15" x14ac:dyDescent="0.25">
      <c r="A277">
        <v>2175</v>
      </c>
      <c r="B277">
        <v>3944</v>
      </c>
      <c r="C277" t="s">
        <v>26</v>
      </c>
      <c r="D277" t="s">
        <v>1164</v>
      </c>
      <c r="E277" t="s">
        <v>1249</v>
      </c>
      <c r="F277" s="1">
        <v>45395</v>
      </c>
      <c r="G277" s="34" t="str">
        <f t="shared" si="4"/>
        <v>Apr</v>
      </c>
      <c r="H277">
        <v>2</v>
      </c>
      <c r="I277" t="s">
        <v>1243</v>
      </c>
      <c r="J277" t="s">
        <v>1218</v>
      </c>
      <c r="K277">
        <v>0.25</v>
      </c>
      <c r="L277">
        <v>25</v>
      </c>
      <c r="M277">
        <v>100</v>
      </c>
      <c r="N277">
        <v>75</v>
      </c>
      <c r="O277" t="s">
        <v>15</v>
      </c>
    </row>
    <row r="278" spans="1:15" x14ac:dyDescent="0.25">
      <c r="A278">
        <v>2225</v>
      </c>
      <c r="B278">
        <v>3994</v>
      </c>
      <c r="C278" t="s">
        <v>770</v>
      </c>
      <c r="D278" t="s">
        <v>968</v>
      </c>
      <c r="E278" t="s">
        <v>1203</v>
      </c>
      <c r="F278" s="1">
        <v>45395</v>
      </c>
      <c r="G278" s="34" t="str">
        <f t="shared" si="4"/>
        <v>Apr</v>
      </c>
      <c r="H278">
        <v>3</v>
      </c>
      <c r="I278" t="s">
        <v>14</v>
      </c>
      <c r="J278" t="s">
        <v>1214</v>
      </c>
      <c r="K278">
        <v>0.3</v>
      </c>
      <c r="L278">
        <v>331.5</v>
      </c>
      <c r="M278">
        <v>1105</v>
      </c>
      <c r="N278">
        <v>773.5</v>
      </c>
      <c r="O278" t="s">
        <v>1200</v>
      </c>
    </row>
    <row r="279" spans="1:15" x14ac:dyDescent="0.25">
      <c r="A279">
        <v>1308</v>
      </c>
      <c r="B279">
        <v>3075</v>
      </c>
      <c r="C279" t="s">
        <v>167</v>
      </c>
      <c r="D279" t="s">
        <v>168</v>
      </c>
      <c r="E279" t="s">
        <v>1207</v>
      </c>
      <c r="F279" s="1">
        <v>45396</v>
      </c>
      <c r="G279" s="34" t="str">
        <f t="shared" si="4"/>
        <v>Apr</v>
      </c>
      <c r="H279">
        <v>2</v>
      </c>
      <c r="I279" t="s">
        <v>14</v>
      </c>
      <c r="J279" t="s">
        <v>1233</v>
      </c>
      <c r="K279">
        <v>0.2</v>
      </c>
      <c r="L279">
        <v>198</v>
      </c>
      <c r="M279">
        <v>990</v>
      </c>
      <c r="N279">
        <v>792</v>
      </c>
      <c r="O279" t="s">
        <v>1200</v>
      </c>
    </row>
    <row r="280" spans="1:15" x14ac:dyDescent="0.25">
      <c r="A280">
        <v>1329</v>
      </c>
      <c r="B280">
        <v>3096</v>
      </c>
      <c r="C280" t="s">
        <v>204</v>
      </c>
      <c r="D280" t="s">
        <v>205</v>
      </c>
      <c r="E280" t="s">
        <v>1248</v>
      </c>
      <c r="F280" s="1">
        <v>45396</v>
      </c>
      <c r="G280" s="34" t="str">
        <f t="shared" si="4"/>
        <v>Apr</v>
      </c>
      <c r="H280">
        <v>3</v>
      </c>
      <c r="I280" t="s">
        <v>14</v>
      </c>
      <c r="J280" t="s">
        <v>1222</v>
      </c>
      <c r="K280">
        <v>0.25</v>
      </c>
      <c r="L280">
        <v>151</v>
      </c>
      <c r="M280">
        <v>604</v>
      </c>
      <c r="N280">
        <v>453</v>
      </c>
      <c r="O280" t="s">
        <v>19</v>
      </c>
    </row>
    <row r="281" spans="1:15" x14ac:dyDescent="0.25">
      <c r="A281">
        <v>1587</v>
      </c>
      <c r="B281">
        <v>3354</v>
      </c>
      <c r="C281" t="s">
        <v>213</v>
      </c>
      <c r="D281" t="s">
        <v>586</v>
      </c>
      <c r="E281" t="s">
        <v>1249</v>
      </c>
      <c r="F281" s="1">
        <v>45396</v>
      </c>
      <c r="G281" s="34" t="str">
        <f t="shared" si="4"/>
        <v>Apr</v>
      </c>
      <c r="H281">
        <v>1</v>
      </c>
      <c r="I281" t="s">
        <v>14</v>
      </c>
      <c r="J281" t="s">
        <v>1218</v>
      </c>
      <c r="K281">
        <v>0.25</v>
      </c>
      <c r="L281">
        <v>295.25</v>
      </c>
      <c r="M281">
        <v>1181</v>
      </c>
      <c r="N281">
        <v>885.75</v>
      </c>
      <c r="O281" t="s">
        <v>1200</v>
      </c>
    </row>
    <row r="282" spans="1:15" x14ac:dyDescent="0.25">
      <c r="A282">
        <v>2191</v>
      </c>
      <c r="B282">
        <v>3960</v>
      </c>
      <c r="C282" t="s">
        <v>1174</v>
      </c>
      <c r="D282" t="s">
        <v>132</v>
      </c>
      <c r="E282" t="s">
        <v>1205</v>
      </c>
      <c r="F282" s="1">
        <v>45396</v>
      </c>
      <c r="G282" s="34" t="str">
        <f t="shared" si="4"/>
        <v>Apr</v>
      </c>
      <c r="H282">
        <v>3</v>
      </c>
      <c r="I282" t="s">
        <v>14</v>
      </c>
      <c r="J282" t="s">
        <v>1218</v>
      </c>
      <c r="K282">
        <v>0.1</v>
      </c>
      <c r="L282">
        <v>136.19999999999999</v>
      </c>
      <c r="M282">
        <v>1362</v>
      </c>
      <c r="N282">
        <v>1225.8</v>
      </c>
      <c r="O282" t="s">
        <v>16</v>
      </c>
    </row>
    <row r="283" spans="1:15" x14ac:dyDescent="0.25">
      <c r="A283">
        <v>1321</v>
      </c>
      <c r="B283">
        <v>3088</v>
      </c>
      <c r="C283" t="s">
        <v>190</v>
      </c>
      <c r="D283" t="s">
        <v>191</v>
      </c>
      <c r="E283" t="s">
        <v>1205</v>
      </c>
      <c r="F283" s="1">
        <v>45398</v>
      </c>
      <c r="G283" s="34" t="str">
        <f t="shared" si="4"/>
        <v>Apr</v>
      </c>
      <c r="H283">
        <v>3</v>
      </c>
      <c r="I283" t="s">
        <v>14</v>
      </c>
      <c r="J283" t="s">
        <v>1228</v>
      </c>
      <c r="K283">
        <v>0.1</v>
      </c>
      <c r="L283">
        <v>77.599999999999994</v>
      </c>
      <c r="M283">
        <v>776</v>
      </c>
      <c r="N283">
        <v>698.4</v>
      </c>
      <c r="O283" t="s">
        <v>19</v>
      </c>
    </row>
    <row r="284" spans="1:15" x14ac:dyDescent="0.25">
      <c r="A284">
        <v>1861</v>
      </c>
      <c r="B284">
        <v>3629</v>
      </c>
      <c r="C284" t="s">
        <v>889</v>
      </c>
      <c r="D284" t="s">
        <v>890</v>
      </c>
      <c r="E284" t="s">
        <v>1208</v>
      </c>
      <c r="F284" s="1">
        <v>45398</v>
      </c>
      <c r="G284" s="34" t="str">
        <f t="shared" si="4"/>
        <v>Apr</v>
      </c>
      <c r="H284">
        <v>3</v>
      </c>
      <c r="I284" t="s">
        <v>14</v>
      </c>
      <c r="J284" t="s">
        <v>1222</v>
      </c>
      <c r="K284">
        <v>0.3</v>
      </c>
      <c r="L284">
        <v>205.8</v>
      </c>
      <c r="M284">
        <v>686</v>
      </c>
      <c r="N284">
        <v>480.2</v>
      </c>
      <c r="O284" t="s">
        <v>16</v>
      </c>
    </row>
    <row r="285" spans="1:15" x14ac:dyDescent="0.25">
      <c r="A285">
        <v>1895</v>
      </c>
      <c r="B285">
        <v>3663</v>
      </c>
      <c r="C285" t="s">
        <v>926</v>
      </c>
      <c r="D285" t="s">
        <v>927</v>
      </c>
      <c r="E285" t="s">
        <v>1205</v>
      </c>
      <c r="F285" s="1">
        <v>45398</v>
      </c>
      <c r="G285" s="34" t="str">
        <f t="shared" si="4"/>
        <v>Apr</v>
      </c>
      <c r="H285">
        <v>1</v>
      </c>
      <c r="I285" t="s">
        <v>1242</v>
      </c>
      <c r="J285" t="s">
        <v>1228</v>
      </c>
      <c r="K285">
        <v>0.1</v>
      </c>
      <c r="L285">
        <v>27.6</v>
      </c>
      <c r="M285">
        <v>276</v>
      </c>
      <c r="N285">
        <v>248.4</v>
      </c>
      <c r="O285" t="s">
        <v>15</v>
      </c>
    </row>
    <row r="286" spans="1:15" x14ac:dyDescent="0.25">
      <c r="A286">
        <v>1937</v>
      </c>
      <c r="B286">
        <v>3705</v>
      </c>
      <c r="C286" t="s">
        <v>967</v>
      </c>
      <c r="D286" t="s">
        <v>968</v>
      </c>
      <c r="E286" t="s">
        <v>1205</v>
      </c>
      <c r="F286" s="1">
        <v>45398</v>
      </c>
      <c r="G286" s="34" t="str">
        <f t="shared" si="4"/>
        <v>Apr</v>
      </c>
      <c r="H286">
        <v>3</v>
      </c>
      <c r="I286" t="s">
        <v>14</v>
      </c>
      <c r="J286" t="s">
        <v>1216</v>
      </c>
      <c r="K286">
        <v>0.1</v>
      </c>
      <c r="L286">
        <v>5.2</v>
      </c>
      <c r="M286">
        <v>52</v>
      </c>
      <c r="N286">
        <v>46.8</v>
      </c>
      <c r="O286" t="s">
        <v>1200</v>
      </c>
    </row>
    <row r="287" spans="1:15" x14ac:dyDescent="0.25">
      <c r="A287">
        <v>2118</v>
      </c>
      <c r="B287">
        <v>3887</v>
      </c>
      <c r="C287" t="s">
        <v>1117</v>
      </c>
      <c r="D287" t="s">
        <v>749</v>
      </c>
      <c r="E287" t="s">
        <v>1203</v>
      </c>
      <c r="F287" s="1">
        <v>45398</v>
      </c>
      <c r="G287" s="34" t="str">
        <f t="shared" si="4"/>
        <v>Apr</v>
      </c>
      <c r="H287">
        <v>2</v>
      </c>
      <c r="I287" t="s">
        <v>1243</v>
      </c>
      <c r="J287" t="s">
        <v>1228</v>
      </c>
      <c r="K287">
        <v>0.3</v>
      </c>
      <c r="L287">
        <v>403.5</v>
      </c>
      <c r="M287">
        <v>1345</v>
      </c>
      <c r="N287">
        <v>941.5</v>
      </c>
      <c r="O287" t="s">
        <v>19</v>
      </c>
    </row>
    <row r="288" spans="1:15" x14ac:dyDescent="0.25">
      <c r="A288">
        <v>1356</v>
      </c>
      <c r="B288">
        <v>3123</v>
      </c>
      <c r="C288" t="s">
        <v>248</v>
      </c>
      <c r="D288" t="s">
        <v>249</v>
      </c>
      <c r="E288" t="s">
        <v>1207</v>
      </c>
      <c r="F288" s="1">
        <v>45399</v>
      </c>
      <c r="G288" s="34" t="str">
        <f t="shared" si="4"/>
        <v>Apr</v>
      </c>
      <c r="H288">
        <v>3</v>
      </c>
      <c r="I288" t="s">
        <v>1242</v>
      </c>
      <c r="J288" t="s">
        <v>1216</v>
      </c>
      <c r="K288">
        <v>0.2</v>
      </c>
      <c r="L288">
        <v>304.60000000000002</v>
      </c>
      <c r="M288">
        <v>1523</v>
      </c>
      <c r="N288">
        <v>1218.4000000000001</v>
      </c>
      <c r="O288" t="s">
        <v>19</v>
      </c>
    </row>
    <row r="289" spans="1:15" x14ac:dyDescent="0.25">
      <c r="A289">
        <v>1256</v>
      </c>
      <c r="B289">
        <v>3023</v>
      </c>
      <c r="C289" t="s">
        <v>70</v>
      </c>
      <c r="D289" t="s">
        <v>71</v>
      </c>
      <c r="E289" t="s">
        <v>1249</v>
      </c>
      <c r="F289" s="1">
        <v>45400</v>
      </c>
      <c r="G289" s="34" t="str">
        <f t="shared" si="4"/>
        <v>Apr</v>
      </c>
      <c r="H289">
        <v>3</v>
      </c>
      <c r="I289" t="s">
        <v>1242</v>
      </c>
      <c r="J289" t="s">
        <v>1214</v>
      </c>
      <c r="K289">
        <v>0.25</v>
      </c>
      <c r="L289">
        <v>154.25</v>
      </c>
      <c r="M289">
        <v>617</v>
      </c>
      <c r="N289">
        <v>462.75</v>
      </c>
      <c r="O289" t="s">
        <v>16</v>
      </c>
    </row>
    <row r="290" spans="1:15" x14ac:dyDescent="0.25">
      <c r="A290">
        <v>1340</v>
      </c>
      <c r="B290">
        <v>3107</v>
      </c>
      <c r="C290" t="s">
        <v>224</v>
      </c>
      <c r="D290" t="s">
        <v>225</v>
      </c>
      <c r="E290" t="s">
        <v>1207</v>
      </c>
      <c r="F290" s="1">
        <v>45400</v>
      </c>
      <c r="G290" s="34" t="str">
        <f t="shared" si="4"/>
        <v>Apr</v>
      </c>
      <c r="H290">
        <v>1</v>
      </c>
      <c r="I290" t="s">
        <v>14</v>
      </c>
      <c r="J290" t="s">
        <v>1214</v>
      </c>
      <c r="K290">
        <v>0.2</v>
      </c>
      <c r="L290">
        <v>24</v>
      </c>
      <c r="M290">
        <v>120</v>
      </c>
      <c r="N290">
        <v>96</v>
      </c>
      <c r="O290" t="s">
        <v>13</v>
      </c>
    </row>
    <row r="291" spans="1:15" x14ac:dyDescent="0.25">
      <c r="A291">
        <v>1425</v>
      </c>
      <c r="B291">
        <v>3192</v>
      </c>
      <c r="C291" t="s">
        <v>361</v>
      </c>
      <c r="D291" t="s">
        <v>362</v>
      </c>
      <c r="E291" t="s">
        <v>1208</v>
      </c>
      <c r="F291" s="1">
        <v>45400</v>
      </c>
      <c r="G291" s="34" t="str">
        <f t="shared" si="4"/>
        <v>Apr</v>
      </c>
      <c r="H291">
        <v>3</v>
      </c>
      <c r="I291" t="s">
        <v>1242</v>
      </c>
      <c r="J291" t="s">
        <v>1220</v>
      </c>
      <c r="K291">
        <v>0.3</v>
      </c>
      <c r="L291">
        <v>182.4</v>
      </c>
      <c r="M291">
        <v>608</v>
      </c>
      <c r="N291">
        <v>425.6</v>
      </c>
      <c r="O291" t="s">
        <v>16</v>
      </c>
    </row>
    <row r="292" spans="1:15" x14ac:dyDescent="0.25">
      <c r="A292">
        <v>1537</v>
      </c>
      <c r="B292">
        <v>3304</v>
      </c>
      <c r="C292" t="s">
        <v>317</v>
      </c>
      <c r="D292" t="s">
        <v>102</v>
      </c>
      <c r="E292" t="s">
        <v>1205</v>
      </c>
      <c r="F292" s="1">
        <v>45400</v>
      </c>
      <c r="G292" s="34" t="str">
        <f t="shared" si="4"/>
        <v>Apr</v>
      </c>
      <c r="H292">
        <v>1</v>
      </c>
      <c r="I292" t="s">
        <v>14</v>
      </c>
      <c r="J292" t="s">
        <v>1220</v>
      </c>
      <c r="K292">
        <v>0.1</v>
      </c>
      <c r="L292">
        <v>142.5</v>
      </c>
      <c r="M292">
        <v>1425</v>
      </c>
      <c r="N292">
        <v>1282.5</v>
      </c>
      <c r="O292" t="s">
        <v>16</v>
      </c>
    </row>
    <row r="293" spans="1:15" x14ac:dyDescent="0.25">
      <c r="A293">
        <v>1545</v>
      </c>
      <c r="B293">
        <v>3312</v>
      </c>
      <c r="C293" t="s">
        <v>530</v>
      </c>
      <c r="D293" t="s">
        <v>302</v>
      </c>
      <c r="E293" t="s">
        <v>1205</v>
      </c>
      <c r="F293" s="1">
        <v>45401</v>
      </c>
      <c r="G293" s="34" t="str">
        <f t="shared" si="4"/>
        <v>Apr</v>
      </c>
      <c r="H293">
        <v>2</v>
      </c>
      <c r="I293" t="s">
        <v>1242</v>
      </c>
      <c r="J293" t="s">
        <v>1228</v>
      </c>
      <c r="K293">
        <v>0.1</v>
      </c>
      <c r="L293">
        <v>159.5</v>
      </c>
      <c r="M293">
        <v>1595</v>
      </c>
      <c r="N293">
        <v>1435.5</v>
      </c>
      <c r="O293" t="s">
        <v>19</v>
      </c>
    </row>
    <row r="294" spans="1:15" x14ac:dyDescent="0.25">
      <c r="A294">
        <v>1794</v>
      </c>
      <c r="B294">
        <v>3562</v>
      </c>
      <c r="C294" t="s">
        <v>822</v>
      </c>
      <c r="D294" t="s">
        <v>414</v>
      </c>
      <c r="E294" t="s">
        <v>1205</v>
      </c>
      <c r="F294" s="1">
        <v>45401</v>
      </c>
      <c r="G294" s="34" t="str">
        <f t="shared" si="4"/>
        <v>Apr</v>
      </c>
      <c r="H294">
        <v>3</v>
      </c>
      <c r="I294" t="s">
        <v>14</v>
      </c>
      <c r="J294" t="s">
        <v>1220</v>
      </c>
      <c r="K294">
        <v>0.1</v>
      </c>
      <c r="L294">
        <v>170.8</v>
      </c>
      <c r="M294">
        <v>1708</v>
      </c>
      <c r="N294">
        <v>1537.2</v>
      </c>
      <c r="O294" t="s">
        <v>1200</v>
      </c>
    </row>
    <row r="295" spans="1:15" x14ac:dyDescent="0.25">
      <c r="A295">
        <v>1816</v>
      </c>
      <c r="B295">
        <v>3584</v>
      </c>
      <c r="C295" t="s">
        <v>843</v>
      </c>
      <c r="D295" t="s">
        <v>844</v>
      </c>
      <c r="E295" t="s">
        <v>1205</v>
      </c>
      <c r="F295" s="1">
        <v>45401</v>
      </c>
      <c r="G295" s="34" t="str">
        <f t="shared" si="4"/>
        <v>Apr</v>
      </c>
      <c r="H295">
        <v>2</v>
      </c>
      <c r="I295" t="s">
        <v>1242</v>
      </c>
      <c r="J295" t="s">
        <v>1228</v>
      </c>
      <c r="K295">
        <v>0.1</v>
      </c>
      <c r="L295">
        <v>9.5</v>
      </c>
      <c r="M295">
        <v>95</v>
      </c>
      <c r="N295">
        <v>85.5</v>
      </c>
      <c r="O295" t="s">
        <v>15</v>
      </c>
    </row>
    <row r="296" spans="1:15" x14ac:dyDescent="0.25">
      <c r="A296">
        <v>2048</v>
      </c>
      <c r="B296">
        <v>3816</v>
      </c>
      <c r="C296" t="s">
        <v>40</v>
      </c>
      <c r="D296" t="s">
        <v>1053</v>
      </c>
      <c r="E296" t="s">
        <v>1208</v>
      </c>
      <c r="F296" s="1">
        <v>45401</v>
      </c>
      <c r="G296" s="34" t="str">
        <f t="shared" si="4"/>
        <v>Apr</v>
      </c>
      <c r="H296">
        <v>2</v>
      </c>
      <c r="I296" t="s">
        <v>18</v>
      </c>
      <c r="J296" t="s">
        <v>1222</v>
      </c>
      <c r="K296">
        <v>0.3</v>
      </c>
      <c r="L296">
        <v>35.1</v>
      </c>
      <c r="M296">
        <v>117</v>
      </c>
      <c r="N296">
        <v>81.900000000000006</v>
      </c>
      <c r="O296" t="s">
        <v>15</v>
      </c>
    </row>
    <row r="297" spans="1:15" x14ac:dyDescent="0.25">
      <c r="A297">
        <v>1695</v>
      </c>
      <c r="B297">
        <v>3463</v>
      </c>
      <c r="C297" t="s">
        <v>474</v>
      </c>
      <c r="D297" t="s">
        <v>718</v>
      </c>
      <c r="E297" t="s">
        <v>1248</v>
      </c>
      <c r="F297" s="1">
        <v>45402</v>
      </c>
      <c r="G297" s="34" t="str">
        <f t="shared" si="4"/>
        <v>Apr</v>
      </c>
      <c r="H297">
        <v>1</v>
      </c>
      <c r="I297" t="s">
        <v>14</v>
      </c>
      <c r="J297" t="s">
        <v>1214</v>
      </c>
      <c r="K297">
        <v>0.25</v>
      </c>
      <c r="L297">
        <v>30</v>
      </c>
      <c r="M297">
        <v>120</v>
      </c>
      <c r="N297">
        <v>90</v>
      </c>
      <c r="O297" t="s">
        <v>19</v>
      </c>
    </row>
    <row r="298" spans="1:15" x14ac:dyDescent="0.25">
      <c r="A298">
        <v>1877</v>
      </c>
      <c r="B298">
        <v>3645</v>
      </c>
      <c r="C298" t="s">
        <v>906</v>
      </c>
      <c r="D298" t="s">
        <v>907</v>
      </c>
      <c r="E298" t="s">
        <v>1208</v>
      </c>
      <c r="F298" s="1">
        <v>45402</v>
      </c>
      <c r="G298" s="34" t="str">
        <f t="shared" si="4"/>
        <v>Apr</v>
      </c>
      <c r="H298">
        <v>2</v>
      </c>
      <c r="I298" t="s">
        <v>14</v>
      </c>
      <c r="J298" t="s">
        <v>1220</v>
      </c>
      <c r="K298">
        <v>0.3</v>
      </c>
      <c r="L298">
        <v>455.4</v>
      </c>
      <c r="M298">
        <v>1518</v>
      </c>
      <c r="N298">
        <v>1062.5999999999999</v>
      </c>
      <c r="O298" t="s">
        <v>13</v>
      </c>
    </row>
    <row r="299" spans="1:15" x14ac:dyDescent="0.25">
      <c r="A299">
        <v>1396</v>
      </c>
      <c r="B299">
        <v>3163</v>
      </c>
      <c r="C299" t="s">
        <v>314</v>
      </c>
      <c r="D299" t="s">
        <v>90</v>
      </c>
      <c r="E299" t="s">
        <v>1208</v>
      </c>
      <c r="F299" s="1">
        <v>45403</v>
      </c>
      <c r="G299" s="34" t="str">
        <f t="shared" si="4"/>
        <v>Apr</v>
      </c>
      <c r="H299">
        <v>2</v>
      </c>
      <c r="I299" t="s">
        <v>14</v>
      </c>
      <c r="J299" t="s">
        <v>1214</v>
      </c>
      <c r="K299">
        <v>0.3</v>
      </c>
      <c r="L299">
        <v>463.8</v>
      </c>
      <c r="M299">
        <v>1546</v>
      </c>
      <c r="N299">
        <v>1082.2</v>
      </c>
      <c r="O299" t="s">
        <v>19</v>
      </c>
    </row>
    <row r="300" spans="1:15" x14ac:dyDescent="0.25">
      <c r="A300">
        <v>1852</v>
      </c>
      <c r="B300">
        <v>3620</v>
      </c>
      <c r="C300" t="s">
        <v>624</v>
      </c>
      <c r="D300" t="s">
        <v>878</v>
      </c>
      <c r="E300" t="s">
        <v>1207</v>
      </c>
      <c r="F300" s="1">
        <v>45403</v>
      </c>
      <c r="G300" s="34" t="str">
        <f t="shared" si="4"/>
        <v>Apr</v>
      </c>
      <c r="H300">
        <v>2</v>
      </c>
      <c r="I300" t="s">
        <v>14</v>
      </c>
      <c r="J300" t="s">
        <v>1214</v>
      </c>
      <c r="K300">
        <v>0.2</v>
      </c>
      <c r="L300">
        <v>9.8000000000000007</v>
      </c>
      <c r="M300">
        <v>49</v>
      </c>
      <c r="N300">
        <v>39.200000000000003</v>
      </c>
      <c r="O300" t="s">
        <v>16</v>
      </c>
    </row>
    <row r="301" spans="1:15" x14ac:dyDescent="0.25">
      <c r="A301">
        <v>1293</v>
      </c>
      <c r="B301">
        <v>3060</v>
      </c>
      <c r="C301" t="s">
        <v>140</v>
      </c>
      <c r="D301" t="s">
        <v>141</v>
      </c>
      <c r="E301" t="s">
        <v>1249</v>
      </c>
      <c r="F301" s="1">
        <v>45404</v>
      </c>
      <c r="G301" s="34" t="str">
        <f t="shared" si="4"/>
        <v>Apr</v>
      </c>
      <c r="H301">
        <v>3</v>
      </c>
      <c r="I301" t="s">
        <v>1242</v>
      </c>
      <c r="J301" t="s">
        <v>1218</v>
      </c>
      <c r="K301">
        <v>0.25</v>
      </c>
      <c r="L301">
        <v>152.25</v>
      </c>
      <c r="M301">
        <v>609</v>
      </c>
      <c r="N301">
        <v>456.75</v>
      </c>
      <c r="O301" t="s">
        <v>13</v>
      </c>
    </row>
    <row r="302" spans="1:15" x14ac:dyDescent="0.25">
      <c r="A302">
        <v>1930</v>
      </c>
      <c r="B302">
        <v>3698</v>
      </c>
      <c r="C302" t="s">
        <v>962</v>
      </c>
      <c r="D302" t="s">
        <v>750</v>
      </c>
      <c r="E302" t="s">
        <v>1203</v>
      </c>
      <c r="F302" s="1">
        <v>45404</v>
      </c>
      <c r="G302" s="34" t="str">
        <f t="shared" si="4"/>
        <v>Apr</v>
      </c>
      <c r="H302">
        <v>3</v>
      </c>
      <c r="I302" t="s">
        <v>1242</v>
      </c>
      <c r="J302" t="s">
        <v>1233</v>
      </c>
      <c r="K302">
        <v>0.3</v>
      </c>
      <c r="L302">
        <v>126.9</v>
      </c>
      <c r="M302">
        <v>423</v>
      </c>
      <c r="N302">
        <v>296.10000000000002</v>
      </c>
      <c r="O302" t="s">
        <v>16</v>
      </c>
    </row>
    <row r="303" spans="1:15" x14ac:dyDescent="0.25">
      <c r="A303">
        <v>2037</v>
      </c>
      <c r="B303">
        <v>3805</v>
      </c>
      <c r="C303" t="s">
        <v>1042</v>
      </c>
      <c r="D303" t="s">
        <v>1043</v>
      </c>
      <c r="E303" t="s">
        <v>1248</v>
      </c>
      <c r="F303" s="1">
        <v>45404</v>
      </c>
      <c r="G303" s="34" t="str">
        <f t="shared" si="4"/>
        <v>Apr</v>
      </c>
      <c r="H303">
        <v>3</v>
      </c>
      <c r="I303" t="s">
        <v>1242</v>
      </c>
      <c r="J303" t="s">
        <v>1228</v>
      </c>
      <c r="K303">
        <v>0.25</v>
      </c>
      <c r="L303">
        <v>107</v>
      </c>
      <c r="M303">
        <v>428</v>
      </c>
      <c r="N303">
        <v>321</v>
      </c>
      <c r="O303" t="s">
        <v>13</v>
      </c>
    </row>
    <row r="304" spans="1:15" x14ac:dyDescent="0.25">
      <c r="A304">
        <v>2222</v>
      </c>
      <c r="B304">
        <v>3991</v>
      </c>
      <c r="C304" t="s">
        <v>869</v>
      </c>
      <c r="D304" t="s">
        <v>933</v>
      </c>
      <c r="E304" t="s">
        <v>1249</v>
      </c>
      <c r="F304" s="1">
        <v>45404</v>
      </c>
      <c r="G304" s="34" t="str">
        <f t="shared" si="4"/>
        <v>Apr</v>
      </c>
      <c r="H304">
        <v>3</v>
      </c>
      <c r="I304" t="s">
        <v>14</v>
      </c>
      <c r="J304" t="s">
        <v>1214</v>
      </c>
      <c r="K304">
        <v>0.25</v>
      </c>
      <c r="L304">
        <v>62.5</v>
      </c>
      <c r="M304">
        <v>250</v>
      </c>
      <c r="N304">
        <v>187.5</v>
      </c>
      <c r="O304" t="s">
        <v>1200</v>
      </c>
    </row>
    <row r="305" spans="1:15" x14ac:dyDescent="0.25">
      <c r="A305">
        <v>1538</v>
      </c>
      <c r="B305">
        <v>3305</v>
      </c>
      <c r="C305" t="s">
        <v>521</v>
      </c>
      <c r="D305" t="s">
        <v>518</v>
      </c>
      <c r="E305" t="s">
        <v>1208</v>
      </c>
      <c r="F305" s="1">
        <v>45405</v>
      </c>
      <c r="G305" s="34" t="str">
        <f t="shared" si="4"/>
        <v>Apr</v>
      </c>
      <c r="H305">
        <v>2</v>
      </c>
      <c r="I305" t="s">
        <v>1242</v>
      </c>
      <c r="J305" t="s">
        <v>1214</v>
      </c>
      <c r="K305">
        <v>0.3</v>
      </c>
      <c r="L305">
        <v>51.9</v>
      </c>
      <c r="M305">
        <v>173</v>
      </c>
      <c r="N305">
        <v>121.1</v>
      </c>
      <c r="O305" t="s">
        <v>19</v>
      </c>
    </row>
    <row r="306" spans="1:15" x14ac:dyDescent="0.25">
      <c r="A306">
        <v>1373</v>
      </c>
      <c r="B306">
        <v>3382</v>
      </c>
      <c r="C306" t="s">
        <v>279</v>
      </c>
      <c r="D306" t="s">
        <v>280</v>
      </c>
      <c r="E306" t="s">
        <v>1249</v>
      </c>
      <c r="F306" s="1">
        <v>45405</v>
      </c>
      <c r="G306" s="34" t="str">
        <f t="shared" si="4"/>
        <v>Apr</v>
      </c>
      <c r="H306">
        <v>2</v>
      </c>
      <c r="I306" t="s">
        <v>1242</v>
      </c>
      <c r="J306" t="s">
        <v>1233</v>
      </c>
      <c r="K306">
        <v>0.25</v>
      </c>
      <c r="L306">
        <v>144.75</v>
      </c>
      <c r="M306">
        <v>579</v>
      </c>
      <c r="N306">
        <v>434.25</v>
      </c>
      <c r="O306" t="s">
        <v>1200</v>
      </c>
    </row>
    <row r="307" spans="1:15" x14ac:dyDescent="0.25">
      <c r="A307">
        <v>1328</v>
      </c>
      <c r="B307">
        <v>3095</v>
      </c>
      <c r="C307" t="s">
        <v>202</v>
      </c>
      <c r="D307" t="s">
        <v>203</v>
      </c>
      <c r="E307" t="s">
        <v>1249</v>
      </c>
      <c r="F307" s="1">
        <v>45406</v>
      </c>
      <c r="G307" s="34" t="str">
        <f t="shared" si="4"/>
        <v>Apr</v>
      </c>
      <c r="H307">
        <v>2</v>
      </c>
      <c r="I307" t="s">
        <v>18</v>
      </c>
      <c r="J307" t="s">
        <v>1233</v>
      </c>
      <c r="K307">
        <v>0.25</v>
      </c>
      <c r="L307">
        <v>85.25</v>
      </c>
      <c r="M307">
        <v>341</v>
      </c>
      <c r="N307">
        <v>255.75</v>
      </c>
      <c r="O307" t="s">
        <v>1200</v>
      </c>
    </row>
    <row r="308" spans="1:15" x14ac:dyDescent="0.25">
      <c r="A308">
        <v>1334</v>
      </c>
      <c r="B308">
        <v>3101</v>
      </c>
      <c r="C308" t="s">
        <v>214</v>
      </c>
      <c r="D308" t="s">
        <v>215</v>
      </c>
      <c r="E308" t="s">
        <v>1205</v>
      </c>
      <c r="F308" s="1">
        <v>45407</v>
      </c>
      <c r="G308" s="34" t="str">
        <f t="shared" si="4"/>
        <v>Apr</v>
      </c>
      <c r="H308">
        <v>1</v>
      </c>
      <c r="I308" t="s">
        <v>14</v>
      </c>
      <c r="J308" t="s">
        <v>1233</v>
      </c>
      <c r="K308">
        <v>0.1</v>
      </c>
      <c r="L308">
        <v>155.4</v>
      </c>
      <c r="M308">
        <v>1554</v>
      </c>
      <c r="N308">
        <v>1398.6</v>
      </c>
      <c r="O308" t="s">
        <v>1200</v>
      </c>
    </row>
    <row r="309" spans="1:15" x14ac:dyDescent="0.25">
      <c r="A309">
        <v>1485</v>
      </c>
      <c r="B309">
        <v>3252</v>
      </c>
      <c r="C309" t="s">
        <v>454</v>
      </c>
      <c r="D309" t="s">
        <v>455</v>
      </c>
      <c r="E309" t="s">
        <v>1205</v>
      </c>
      <c r="F309" s="1">
        <v>45409</v>
      </c>
      <c r="G309" s="34" t="str">
        <f t="shared" si="4"/>
        <v>Apr</v>
      </c>
      <c r="H309">
        <v>1</v>
      </c>
      <c r="I309" t="s">
        <v>1242</v>
      </c>
      <c r="J309" t="s">
        <v>1222</v>
      </c>
      <c r="K309">
        <v>0.1</v>
      </c>
      <c r="L309">
        <v>23.5</v>
      </c>
      <c r="M309">
        <v>235</v>
      </c>
      <c r="N309">
        <v>211.5</v>
      </c>
      <c r="O309" t="s">
        <v>19</v>
      </c>
    </row>
    <row r="310" spans="1:15" x14ac:dyDescent="0.25">
      <c r="A310">
        <v>1500</v>
      </c>
      <c r="B310">
        <v>3267</v>
      </c>
      <c r="C310" t="s">
        <v>474</v>
      </c>
      <c r="D310" t="s">
        <v>475</v>
      </c>
      <c r="E310" t="s">
        <v>1249</v>
      </c>
      <c r="F310" s="1">
        <v>45409</v>
      </c>
      <c r="G310" s="34" t="str">
        <f t="shared" si="4"/>
        <v>Apr</v>
      </c>
      <c r="H310">
        <v>1</v>
      </c>
      <c r="I310" t="s">
        <v>1242</v>
      </c>
      <c r="J310" t="s">
        <v>1220</v>
      </c>
      <c r="K310">
        <v>0.25</v>
      </c>
      <c r="L310">
        <v>115.5</v>
      </c>
      <c r="M310">
        <v>462</v>
      </c>
      <c r="N310">
        <v>346.5</v>
      </c>
      <c r="O310" t="s">
        <v>15</v>
      </c>
    </row>
    <row r="311" spans="1:15" x14ac:dyDescent="0.25">
      <c r="A311">
        <v>1730</v>
      </c>
      <c r="B311">
        <v>3498</v>
      </c>
      <c r="C311" t="s">
        <v>206</v>
      </c>
      <c r="D311" t="s">
        <v>757</v>
      </c>
      <c r="E311" t="s">
        <v>1249</v>
      </c>
      <c r="F311" s="1">
        <v>45409</v>
      </c>
      <c r="G311" s="34" t="str">
        <f t="shared" si="4"/>
        <v>Apr</v>
      </c>
      <c r="H311">
        <v>3</v>
      </c>
      <c r="I311" t="s">
        <v>1242</v>
      </c>
      <c r="J311" t="s">
        <v>1220</v>
      </c>
      <c r="K311">
        <v>0.25</v>
      </c>
      <c r="L311">
        <v>337.75</v>
      </c>
      <c r="M311">
        <v>1351</v>
      </c>
      <c r="N311">
        <v>1013.25</v>
      </c>
      <c r="O311" t="s">
        <v>16</v>
      </c>
    </row>
    <row r="312" spans="1:15" x14ac:dyDescent="0.25">
      <c r="A312">
        <v>1453</v>
      </c>
      <c r="B312">
        <v>3220</v>
      </c>
      <c r="C312" t="s">
        <v>406</v>
      </c>
      <c r="D312" t="s">
        <v>407</v>
      </c>
      <c r="E312" t="s">
        <v>1249</v>
      </c>
      <c r="F312" s="1">
        <v>45410</v>
      </c>
      <c r="G312" s="34" t="str">
        <f t="shared" si="4"/>
        <v>Apr</v>
      </c>
      <c r="H312">
        <v>2</v>
      </c>
      <c r="I312" t="s">
        <v>1242</v>
      </c>
      <c r="J312" t="s">
        <v>1228</v>
      </c>
      <c r="K312">
        <v>0.25</v>
      </c>
      <c r="L312">
        <v>396.5</v>
      </c>
      <c r="M312">
        <v>1586</v>
      </c>
      <c r="N312">
        <v>1189.5</v>
      </c>
      <c r="O312" t="s">
        <v>16</v>
      </c>
    </row>
    <row r="313" spans="1:15" x14ac:dyDescent="0.25">
      <c r="A313">
        <v>1319</v>
      </c>
      <c r="B313">
        <v>3086</v>
      </c>
      <c r="C313" t="s">
        <v>186</v>
      </c>
      <c r="D313" t="s">
        <v>187</v>
      </c>
      <c r="E313" t="s">
        <v>1249</v>
      </c>
      <c r="F313" s="1">
        <v>45411</v>
      </c>
      <c r="G313" s="34" t="str">
        <f t="shared" si="4"/>
        <v>Apr</v>
      </c>
      <c r="H313">
        <v>3</v>
      </c>
      <c r="I313" t="s">
        <v>14</v>
      </c>
      <c r="J313" t="s">
        <v>1228</v>
      </c>
      <c r="K313">
        <v>0.25</v>
      </c>
      <c r="L313">
        <v>32.5</v>
      </c>
      <c r="M313">
        <v>130</v>
      </c>
      <c r="N313">
        <v>97.5</v>
      </c>
      <c r="O313" t="s">
        <v>13</v>
      </c>
    </row>
    <row r="314" spans="1:15" x14ac:dyDescent="0.25">
      <c r="A314">
        <v>1572</v>
      </c>
      <c r="B314">
        <v>3339</v>
      </c>
      <c r="C314" t="s">
        <v>570</v>
      </c>
      <c r="D314" t="s">
        <v>159</v>
      </c>
      <c r="E314" t="s">
        <v>1208</v>
      </c>
      <c r="F314" s="1">
        <v>45411</v>
      </c>
      <c r="G314" s="34" t="str">
        <f t="shared" si="4"/>
        <v>Apr</v>
      </c>
      <c r="H314">
        <v>1</v>
      </c>
      <c r="I314" t="s">
        <v>1242</v>
      </c>
      <c r="J314" t="s">
        <v>1228</v>
      </c>
      <c r="K314">
        <v>0.3</v>
      </c>
      <c r="L314">
        <v>28.2</v>
      </c>
      <c r="M314">
        <v>94</v>
      </c>
      <c r="N314">
        <v>65.8</v>
      </c>
      <c r="O314" t="s">
        <v>15</v>
      </c>
    </row>
    <row r="315" spans="1:15" x14ac:dyDescent="0.25">
      <c r="A315">
        <v>1585</v>
      </c>
      <c r="B315">
        <v>3352</v>
      </c>
      <c r="C315" t="s">
        <v>585</v>
      </c>
      <c r="D315" t="s">
        <v>346</v>
      </c>
      <c r="E315" t="s">
        <v>1249</v>
      </c>
      <c r="F315" s="1">
        <v>45411</v>
      </c>
      <c r="G315" s="34" t="str">
        <f t="shared" si="4"/>
        <v>Apr</v>
      </c>
      <c r="H315">
        <v>2</v>
      </c>
      <c r="I315" t="s">
        <v>18</v>
      </c>
      <c r="J315" t="s">
        <v>1214</v>
      </c>
      <c r="K315">
        <v>0.25</v>
      </c>
      <c r="L315">
        <v>173</v>
      </c>
      <c r="M315">
        <v>692</v>
      </c>
      <c r="N315">
        <v>519</v>
      </c>
      <c r="O315" t="s">
        <v>19</v>
      </c>
    </row>
    <row r="316" spans="1:15" x14ac:dyDescent="0.25">
      <c r="A316">
        <v>1864</v>
      </c>
      <c r="B316">
        <v>3632</v>
      </c>
      <c r="C316" t="s">
        <v>894</v>
      </c>
      <c r="D316" t="s">
        <v>444</v>
      </c>
      <c r="E316" t="s">
        <v>1208</v>
      </c>
      <c r="F316" s="1">
        <v>45411</v>
      </c>
      <c r="G316" s="34" t="str">
        <f t="shared" si="4"/>
        <v>Apr</v>
      </c>
      <c r="H316">
        <v>1</v>
      </c>
      <c r="I316" t="s">
        <v>14</v>
      </c>
      <c r="J316" t="s">
        <v>1218</v>
      </c>
      <c r="K316">
        <v>0.3</v>
      </c>
      <c r="L316">
        <v>200.7</v>
      </c>
      <c r="M316">
        <v>669</v>
      </c>
      <c r="N316">
        <v>468.3</v>
      </c>
      <c r="O316" t="s">
        <v>1200</v>
      </c>
    </row>
    <row r="317" spans="1:15" x14ac:dyDescent="0.25">
      <c r="A317">
        <v>1936</v>
      </c>
      <c r="B317">
        <v>3704</v>
      </c>
      <c r="C317" t="s">
        <v>954</v>
      </c>
      <c r="D317" t="s">
        <v>833</v>
      </c>
      <c r="E317" t="s">
        <v>1208</v>
      </c>
      <c r="F317" s="1">
        <v>45411</v>
      </c>
      <c r="G317" s="34" t="str">
        <f t="shared" si="4"/>
        <v>Apr</v>
      </c>
      <c r="H317">
        <v>2</v>
      </c>
      <c r="I317" t="s">
        <v>1242</v>
      </c>
      <c r="J317" t="s">
        <v>1216</v>
      </c>
      <c r="K317">
        <v>0.3</v>
      </c>
      <c r="L317">
        <v>166.2</v>
      </c>
      <c r="M317">
        <v>554</v>
      </c>
      <c r="N317">
        <v>387.8</v>
      </c>
      <c r="O317" t="s">
        <v>13</v>
      </c>
    </row>
    <row r="318" spans="1:15" x14ac:dyDescent="0.25">
      <c r="A318">
        <v>2056</v>
      </c>
      <c r="B318">
        <v>3824</v>
      </c>
      <c r="C318" t="s">
        <v>629</v>
      </c>
      <c r="D318" t="s">
        <v>596</v>
      </c>
      <c r="E318" t="s">
        <v>1207</v>
      </c>
      <c r="F318" s="1">
        <v>45411</v>
      </c>
      <c r="G318" s="34" t="str">
        <f t="shared" si="4"/>
        <v>Apr</v>
      </c>
      <c r="H318">
        <v>3</v>
      </c>
      <c r="I318" t="s">
        <v>14</v>
      </c>
      <c r="J318" t="s">
        <v>1228</v>
      </c>
      <c r="K318">
        <v>0.2</v>
      </c>
      <c r="L318">
        <v>201.8</v>
      </c>
      <c r="M318">
        <v>1009</v>
      </c>
      <c r="N318">
        <v>807.2</v>
      </c>
      <c r="O318" t="s">
        <v>1200</v>
      </c>
    </row>
    <row r="319" spans="1:15" x14ac:dyDescent="0.25">
      <c r="A319">
        <v>1342</v>
      </c>
      <c r="B319">
        <v>3109</v>
      </c>
      <c r="C319" t="s">
        <v>227</v>
      </c>
      <c r="D319" t="s">
        <v>228</v>
      </c>
      <c r="E319" t="s">
        <v>1249</v>
      </c>
      <c r="F319" s="1">
        <v>45412</v>
      </c>
      <c r="G319" s="34" t="str">
        <f t="shared" si="4"/>
        <v>Apr</v>
      </c>
      <c r="H319">
        <v>3</v>
      </c>
      <c r="I319" t="s">
        <v>1242</v>
      </c>
      <c r="J319" t="s">
        <v>1222</v>
      </c>
      <c r="K319">
        <v>0.25</v>
      </c>
      <c r="L319">
        <v>444.25</v>
      </c>
      <c r="M319">
        <v>1777</v>
      </c>
      <c r="N319">
        <v>1332.75</v>
      </c>
      <c r="O319" t="s">
        <v>19</v>
      </c>
    </row>
    <row r="320" spans="1:15" x14ac:dyDescent="0.25">
      <c r="A320">
        <v>1515</v>
      </c>
      <c r="B320">
        <v>3282</v>
      </c>
      <c r="C320" t="s">
        <v>495</v>
      </c>
      <c r="D320" t="s">
        <v>496</v>
      </c>
      <c r="E320" t="s">
        <v>1248</v>
      </c>
      <c r="F320" s="1">
        <v>45413</v>
      </c>
      <c r="G320" s="34" t="str">
        <f t="shared" si="4"/>
        <v>May</v>
      </c>
      <c r="H320">
        <v>3</v>
      </c>
      <c r="I320" t="s">
        <v>1242</v>
      </c>
      <c r="J320" t="s">
        <v>1224</v>
      </c>
      <c r="K320">
        <v>0.25</v>
      </c>
      <c r="L320">
        <v>65</v>
      </c>
      <c r="M320">
        <v>260</v>
      </c>
      <c r="N320">
        <v>195</v>
      </c>
      <c r="O320" t="s">
        <v>1200</v>
      </c>
    </row>
    <row r="321" spans="1:15" x14ac:dyDescent="0.25">
      <c r="A321">
        <v>2086</v>
      </c>
      <c r="B321">
        <v>3854</v>
      </c>
      <c r="C321" t="s">
        <v>378</v>
      </c>
      <c r="D321" t="s">
        <v>1032</v>
      </c>
      <c r="E321" t="s">
        <v>1203</v>
      </c>
      <c r="F321" s="1">
        <v>45413</v>
      </c>
      <c r="G321" s="34" t="str">
        <f t="shared" si="4"/>
        <v>May</v>
      </c>
      <c r="H321">
        <v>3</v>
      </c>
      <c r="I321" t="s">
        <v>1242</v>
      </c>
      <c r="J321" t="s">
        <v>1220</v>
      </c>
      <c r="K321">
        <v>0.3</v>
      </c>
      <c r="L321">
        <v>510.6</v>
      </c>
      <c r="M321">
        <v>1702</v>
      </c>
      <c r="N321">
        <v>1191.4000000000001</v>
      </c>
      <c r="O321" t="s">
        <v>15</v>
      </c>
    </row>
    <row r="322" spans="1:15" x14ac:dyDescent="0.25">
      <c r="A322">
        <v>1244</v>
      </c>
      <c r="B322">
        <v>3011</v>
      </c>
      <c r="C322" t="s">
        <v>46</v>
      </c>
      <c r="D322" t="s">
        <v>47</v>
      </c>
      <c r="E322" t="s">
        <v>1205</v>
      </c>
      <c r="F322" s="1">
        <v>45414</v>
      </c>
      <c r="G322" s="34" t="str">
        <f t="shared" ref="G322:G385" si="5">TEXT(F322, "MMM")</f>
        <v>May</v>
      </c>
      <c r="H322">
        <v>1</v>
      </c>
      <c r="I322" t="s">
        <v>14</v>
      </c>
      <c r="J322" t="s">
        <v>1222</v>
      </c>
      <c r="K322">
        <v>0.1</v>
      </c>
      <c r="L322">
        <v>95.3</v>
      </c>
      <c r="M322">
        <v>953</v>
      </c>
      <c r="N322">
        <v>857.7</v>
      </c>
      <c r="O322" t="s">
        <v>16</v>
      </c>
    </row>
    <row r="323" spans="1:15" x14ac:dyDescent="0.25">
      <c r="A323">
        <v>1459</v>
      </c>
      <c r="B323">
        <v>3226</v>
      </c>
      <c r="C323" t="s">
        <v>404</v>
      </c>
      <c r="D323" t="s">
        <v>415</v>
      </c>
      <c r="E323" t="s">
        <v>1208</v>
      </c>
      <c r="F323" s="1">
        <v>45414</v>
      </c>
      <c r="G323" s="34" t="str">
        <f t="shared" si="5"/>
        <v>May</v>
      </c>
      <c r="H323">
        <v>1</v>
      </c>
      <c r="I323" t="s">
        <v>1242</v>
      </c>
      <c r="J323" t="s">
        <v>1228</v>
      </c>
      <c r="K323">
        <v>0.3</v>
      </c>
      <c r="L323">
        <v>457.2</v>
      </c>
      <c r="M323">
        <v>1524</v>
      </c>
      <c r="N323">
        <v>1066.8</v>
      </c>
      <c r="O323" t="s">
        <v>15</v>
      </c>
    </row>
    <row r="324" spans="1:15" x14ac:dyDescent="0.25">
      <c r="A324">
        <v>1642</v>
      </c>
      <c r="B324">
        <v>3410</v>
      </c>
      <c r="C324" t="s">
        <v>650</v>
      </c>
      <c r="D324" t="s">
        <v>651</v>
      </c>
      <c r="E324" t="s">
        <v>1248</v>
      </c>
      <c r="F324" s="1">
        <v>45414</v>
      </c>
      <c r="G324" s="34" t="str">
        <f t="shared" si="5"/>
        <v>May</v>
      </c>
      <c r="H324">
        <v>3</v>
      </c>
      <c r="I324" t="s">
        <v>1243</v>
      </c>
      <c r="J324" t="s">
        <v>1222</v>
      </c>
      <c r="K324">
        <v>0.25</v>
      </c>
      <c r="L324">
        <v>280</v>
      </c>
      <c r="M324">
        <v>1120</v>
      </c>
      <c r="N324">
        <v>840</v>
      </c>
      <c r="O324" t="s">
        <v>15</v>
      </c>
    </row>
    <row r="325" spans="1:15" x14ac:dyDescent="0.25">
      <c r="A325">
        <v>1953</v>
      </c>
      <c r="B325">
        <v>3721</v>
      </c>
      <c r="C325" t="s">
        <v>275</v>
      </c>
      <c r="D325" t="s">
        <v>824</v>
      </c>
      <c r="E325" t="s">
        <v>1207</v>
      </c>
      <c r="F325" s="1">
        <v>45414</v>
      </c>
      <c r="G325" s="34" t="str">
        <f t="shared" si="5"/>
        <v>May</v>
      </c>
      <c r="H325">
        <v>2</v>
      </c>
      <c r="I325" t="s">
        <v>14</v>
      </c>
      <c r="J325" t="s">
        <v>1228</v>
      </c>
      <c r="K325">
        <v>0.2</v>
      </c>
      <c r="L325">
        <v>83.8</v>
      </c>
      <c r="M325">
        <v>419</v>
      </c>
      <c r="N325">
        <v>335.2</v>
      </c>
      <c r="O325" t="s">
        <v>16</v>
      </c>
    </row>
    <row r="326" spans="1:15" x14ac:dyDescent="0.25">
      <c r="A326">
        <v>1618</v>
      </c>
      <c r="B326">
        <v>3386</v>
      </c>
      <c r="C326" t="s">
        <v>483</v>
      </c>
      <c r="D326" t="s">
        <v>622</v>
      </c>
      <c r="E326" t="s">
        <v>1248</v>
      </c>
      <c r="F326" s="1">
        <v>45415</v>
      </c>
      <c r="G326" s="34" t="str">
        <f t="shared" si="5"/>
        <v>May</v>
      </c>
      <c r="H326">
        <v>1</v>
      </c>
      <c r="I326" t="s">
        <v>14</v>
      </c>
      <c r="J326" t="s">
        <v>1216</v>
      </c>
      <c r="K326">
        <v>0.25</v>
      </c>
      <c r="L326">
        <v>386.5</v>
      </c>
      <c r="M326">
        <v>1546</v>
      </c>
      <c r="N326">
        <v>1159.5</v>
      </c>
      <c r="O326" t="s">
        <v>19</v>
      </c>
    </row>
    <row r="327" spans="1:15" x14ac:dyDescent="0.25">
      <c r="A327">
        <v>1520</v>
      </c>
      <c r="B327">
        <v>3287</v>
      </c>
      <c r="C327" t="s">
        <v>502</v>
      </c>
      <c r="D327" t="s">
        <v>344</v>
      </c>
      <c r="E327" t="s">
        <v>1207</v>
      </c>
      <c r="F327" s="1">
        <v>45416</v>
      </c>
      <c r="G327" s="34" t="str">
        <f t="shared" si="5"/>
        <v>May</v>
      </c>
      <c r="H327">
        <v>2</v>
      </c>
      <c r="I327" t="s">
        <v>1242</v>
      </c>
      <c r="J327" t="s">
        <v>1224</v>
      </c>
      <c r="K327">
        <v>0.2</v>
      </c>
      <c r="L327">
        <v>198.6</v>
      </c>
      <c r="M327">
        <v>993</v>
      </c>
      <c r="N327">
        <v>794.4</v>
      </c>
      <c r="O327" t="s">
        <v>19</v>
      </c>
    </row>
    <row r="328" spans="1:15" x14ac:dyDescent="0.25">
      <c r="A328">
        <v>1471</v>
      </c>
      <c r="B328">
        <v>3238</v>
      </c>
      <c r="C328" t="s">
        <v>36</v>
      </c>
      <c r="D328" t="s">
        <v>432</v>
      </c>
      <c r="E328" t="s">
        <v>1249</v>
      </c>
      <c r="F328" s="1">
        <v>45417</v>
      </c>
      <c r="G328" s="34" t="str">
        <f t="shared" si="5"/>
        <v>May</v>
      </c>
      <c r="H328">
        <v>1</v>
      </c>
      <c r="I328" t="s">
        <v>14</v>
      </c>
      <c r="J328" t="s">
        <v>1224</v>
      </c>
      <c r="K328">
        <v>0.25</v>
      </c>
      <c r="L328">
        <v>389.5</v>
      </c>
      <c r="M328">
        <v>1558</v>
      </c>
      <c r="N328">
        <v>1168.5</v>
      </c>
      <c r="O328" t="s">
        <v>1200</v>
      </c>
    </row>
    <row r="329" spans="1:15" x14ac:dyDescent="0.25">
      <c r="A329">
        <v>1821</v>
      </c>
      <c r="B329">
        <v>3589</v>
      </c>
      <c r="C329" t="s">
        <v>117</v>
      </c>
      <c r="D329" t="s">
        <v>774</v>
      </c>
      <c r="E329" t="s">
        <v>1205</v>
      </c>
      <c r="F329" s="1">
        <v>45417</v>
      </c>
      <c r="G329" s="34" t="str">
        <f t="shared" si="5"/>
        <v>May</v>
      </c>
      <c r="H329">
        <v>3</v>
      </c>
      <c r="I329" t="s">
        <v>1242</v>
      </c>
      <c r="J329" t="s">
        <v>1224</v>
      </c>
      <c r="K329">
        <v>0.1</v>
      </c>
      <c r="L329">
        <v>1.1000000000000001</v>
      </c>
      <c r="M329">
        <v>11</v>
      </c>
      <c r="N329">
        <v>9.9</v>
      </c>
      <c r="O329" t="s">
        <v>15</v>
      </c>
    </row>
    <row r="330" spans="1:15" x14ac:dyDescent="0.25">
      <c r="A330">
        <v>1955</v>
      </c>
      <c r="B330">
        <v>3723</v>
      </c>
      <c r="C330" t="s">
        <v>841</v>
      </c>
      <c r="D330" t="s">
        <v>982</v>
      </c>
      <c r="E330" t="s">
        <v>1248</v>
      </c>
      <c r="F330" s="1">
        <v>45417</v>
      </c>
      <c r="G330" s="34" t="str">
        <f t="shared" si="5"/>
        <v>May</v>
      </c>
      <c r="H330">
        <v>3</v>
      </c>
      <c r="I330" t="s">
        <v>18</v>
      </c>
      <c r="J330" t="s">
        <v>1222</v>
      </c>
      <c r="K330">
        <v>0.25</v>
      </c>
      <c r="L330">
        <v>58</v>
      </c>
      <c r="M330">
        <v>232</v>
      </c>
      <c r="N330">
        <v>174</v>
      </c>
      <c r="O330" t="s">
        <v>13</v>
      </c>
    </row>
    <row r="331" spans="1:15" x14ac:dyDescent="0.25">
      <c r="A331">
        <v>1234</v>
      </c>
      <c r="B331">
        <v>3001</v>
      </c>
      <c r="C331" t="s">
        <v>26</v>
      </c>
      <c r="D331" t="s">
        <v>27</v>
      </c>
      <c r="E331" t="s">
        <v>1205</v>
      </c>
      <c r="F331" s="1">
        <v>45418</v>
      </c>
      <c r="G331" s="34" t="str">
        <f t="shared" si="5"/>
        <v>May</v>
      </c>
      <c r="H331">
        <v>3</v>
      </c>
      <c r="I331" t="s">
        <v>14</v>
      </c>
      <c r="J331" t="s">
        <v>1214</v>
      </c>
      <c r="K331">
        <v>0.1</v>
      </c>
      <c r="L331">
        <v>56.4</v>
      </c>
      <c r="M331">
        <v>564</v>
      </c>
      <c r="N331">
        <v>507.6</v>
      </c>
      <c r="O331" t="s">
        <v>15</v>
      </c>
    </row>
    <row r="332" spans="1:15" x14ac:dyDescent="0.25">
      <c r="A332">
        <v>1885</v>
      </c>
      <c r="B332">
        <v>3653</v>
      </c>
      <c r="C332" t="s">
        <v>283</v>
      </c>
      <c r="D332" t="s">
        <v>914</v>
      </c>
      <c r="E332" t="s">
        <v>1207</v>
      </c>
      <c r="F332" s="1">
        <v>45418</v>
      </c>
      <c r="G332" s="34" t="str">
        <f t="shared" si="5"/>
        <v>May</v>
      </c>
      <c r="H332">
        <v>1</v>
      </c>
      <c r="I332" t="s">
        <v>1242</v>
      </c>
      <c r="J332" t="s">
        <v>1224</v>
      </c>
      <c r="K332">
        <v>0.2</v>
      </c>
      <c r="L332">
        <v>197</v>
      </c>
      <c r="M332">
        <v>985</v>
      </c>
      <c r="N332">
        <v>788</v>
      </c>
      <c r="O332" t="s">
        <v>16</v>
      </c>
    </row>
    <row r="333" spans="1:15" x14ac:dyDescent="0.25">
      <c r="A333">
        <v>1634</v>
      </c>
      <c r="B333">
        <v>3402</v>
      </c>
      <c r="C333" t="s">
        <v>638</v>
      </c>
      <c r="D333" t="s">
        <v>639</v>
      </c>
      <c r="E333" t="s">
        <v>1208</v>
      </c>
      <c r="F333" s="1">
        <v>45419</v>
      </c>
      <c r="G333" s="34" t="str">
        <f t="shared" si="5"/>
        <v>May</v>
      </c>
      <c r="H333">
        <v>1</v>
      </c>
      <c r="I333" t="s">
        <v>1242</v>
      </c>
      <c r="J333" t="s">
        <v>1233</v>
      </c>
      <c r="K333">
        <v>0.3</v>
      </c>
      <c r="L333">
        <v>318.89999999999998</v>
      </c>
      <c r="M333">
        <v>1063</v>
      </c>
      <c r="N333">
        <v>744.1</v>
      </c>
      <c r="O333" t="s">
        <v>16</v>
      </c>
    </row>
    <row r="334" spans="1:15" x14ac:dyDescent="0.25">
      <c r="A334">
        <v>1991</v>
      </c>
      <c r="B334">
        <v>3759</v>
      </c>
      <c r="C334" t="s">
        <v>50</v>
      </c>
      <c r="D334" t="s">
        <v>1010</v>
      </c>
      <c r="E334" t="s">
        <v>1248</v>
      </c>
      <c r="F334" s="1">
        <v>45419</v>
      </c>
      <c r="G334" s="34" t="str">
        <f t="shared" si="5"/>
        <v>May</v>
      </c>
      <c r="H334">
        <v>2</v>
      </c>
      <c r="I334" t="s">
        <v>14</v>
      </c>
      <c r="J334" t="s">
        <v>1233</v>
      </c>
      <c r="K334">
        <v>0.25</v>
      </c>
      <c r="L334">
        <v>67.75</v>
      </c>
      <c r="M334">
        <v>271</v>
      </c>
      <c r="N334">
        <v>203.25</v>
      </c>
      <c r="O334" t="s">
        <v>16</v>
      </c>
    </row>
    <row r="335" spans="1:15" x14ac:dyDescent="0.25">
      <c r="A335">
        <v>2068</v>
      </c>
      <c r="B335">
        <v>3836</v>
      </c>
      <c r="C335" t="s">
        <v>1071</v>
      </c>
      <c r="D335" t="s">
        <v>1072</v>
      </c>
      <c r="E335" t="s">
        <v>1207</v>
      </c>
      <c r="F335" s="1">
        <v>45419</v>
      </c>
      <c r="G335" s="34" t="str">
        <f t="shared" si="5"/>
        <v>May</v>
      </c>
      <c r="H335">
        <v>3</v>
      </c>
      <c r="I335" t="s">
        <v>14</v>
      </c>
      <c r="J335" t="s">
        <v>1214</v>
      </c>
      <c r="K335">
        <v>0.2</v>
      </c>
      <c r="L335">
        <v>86.6</v>
      </c>
      <c r="M335">
        <v>433</v>
      </c>
      <c r="N335">
        <v>346.4</v>
      </c>
      <c r="O335" t="s">
        <v>13</v>
      </c>
    </row>
    <row r="336" spans="1:15" x14ac:dyDescent="0.25">
      <c r="A336">
        <v>2101</v>
      </c>
      <c r="B336">
        <v>3870</v>
      </c>
      <c r="C336" t="s">
        <v>307</v>
      </c>
      <c r="D336" t="s">
        <v>1099</v>
      </c>
      <c r="E336" t="s">
        <v>1249</v>
      </c>
      <c r="F336" s="1">
        <v>45419</v>
      </c>
      <c r="G336" s="34" t="str">
        <f t="shared" si="5"/>
        <v>May</v>
      </c>
      <c r="H336">
        <v>1</v>
      </c>
      <c r="I336" t="s">
        <v>1242</v>
      </c>
      <c r="J336" t="s">
        <v>1224</v>
      </c>
      <c r="K336">
        <v>0.25</v>
      </c>
      <c r="L336">
        <v>410</v>
      </c>
      <c r="M336">
        <v>1640</v>
      </c>
      <c r="N336">
        <v>1230</v>
      </c>
      <c r="O336" t="s">
        <v>16</v>
      </c>
    </row>
    <row r="337" spans="1:15" x14ac:dyDescent="0.25">
      <c r="A337">
        <v>1548</v>
      </c>
      <c r="B337">
        <v>3315</v>
      </c>
      <c r="C337" t="s">
        <v>534</v>
      </c>
      <c r="D337" t="s">
        <v>37</v>
      </c>
      <c r="E337" t="s">
        <v>1203</v>
      </c>
      <c r="F337" s="1">
        <v>45421</v>
      </c>
      <c r="G337" s="34" t="str">
        <f t="shared" si="5"/>
        <v>May</v>
      </c>
      <c r="H337">
        <v>2</v>
      </c>
      <c r="I337" t="s">
        <v>1242</v>
      </c>
      <c r="J337" t="s">
        <v>1214</v>
      </c>
      <c r="K337">
        <v>0.3</v>
      </c>
      <c r="L337">
        <v>210.9</v>
      </c>
      <c r="M337">
        <v>703</v>
      </c>
      <c r="N337">
        <v>492.1</v>
      </c>
      <c r="O337" t="s">
        <v>16</v>
      </c>
    </row>
    <row r="338" spans="1:15" x14ac:dyDescent="0.25">
      <c r="A338">
        <v>2089</v>
      </c>
      <c r="B338">
        <v>3857</v>
      </c>
      <c r="C338" t="s">
        <v>650</v>
      </c>
      <c r="D338" t="s">
        <v>1091</v>
      </c>
      <c r="E338" t="s">
        <v>1205</v>
      </c>
      <c r="F338" s="1">
        <v>45421</v>
      </c>
      <c r="G338" s="34" t="str">
        <f t="shared" si="5"/>
        <v>May</v>
      </c>
      <c r="H338">
        <v>2</v>
      </c>
      <c r="I338" t="s">
        <v>18</v>
      </c>
      <c r="J338" t="s">
        <v>1220</v>
      </c>
      <c r="K338">
        <v>0.1</v>
      </c>
      <c r="L338">
        <v>43.6</v>
      </c>
      <c r="M338">
        <v>436</v>
      </c>
      <c r="N338">
        <v>392.4</v>
      </c>
      <c r="O338" t="s">
        <v>1200</v>
      </c>
    </row>
    <row r="339" spans="1:15" x14ac:dyDescent="0.25">
      <c r="A339">
        <v>1654</v>
      </c>
      <c r="B339">
        <v>3422</v>
      </c>
      <c r="C339" t="s">
        <v>665</v>
      </c>
      <c r="D339" t="s">
        <v>666</v>
      </c>
      <c r="E339" t="s">
        <v>1249</v>
      </c>
      <c r="F339" s="1">
        <v>45422</v>
      </c>
      <c r="G339" s="34" t="str">
        <f t="shared" si="5"/>
        <v>May</v>
      </c>
      <c r="H339">
        <v>3</v>
      </c>
      <c r="I339" t="s">
        <v>14</v>
      </c>
      <c r="J339" t="s">
        <v>1214</v>
      </c>
      <c r="K339">
        <v>0.25</v>
      </c>
      <c r="L339">
        <v>32.25</v>
      </c>
      <c r="M339">
        <v>129</v>
      </c>
      <c r="N339">
        <v>96.75</v>
      </c>
      <c r="O339" t="s">
        <v>15</v>
      </c>
    </row>
    <row r="340" spans="1:15" x14ac:dyDescent="0.25">
      <c r="A340">
        <v>1919</v>
      </c>
      <c r="B340">
        <v>3687</v>
      </c>
      <c r="C340" t="s">
        <v>947</v>
      </c>
      <c r="D340" t="s">
        <v>948</v>
      </c>
      <c r="E340" t="s">
        <v>1248</v>
      </c>
      <c r="F340" s="1">
        <v>45422</v>
      </c>
      <c r="G340" s="34" t="str">
        <f t="shared" si="5"/>
        <v>May</v>
      </c>
      <c r="H340">
        <v>2</v>
      </c>
      <c r="I340" t="s">
        <v>1242</v>
      </c>
      <c r="J340" t="s">
        <v>1216</v>
      </c>
      <c r="K340">
        <v>0.25</v>
      </c>
      <c r="L340">
        <v>95.75</v>
      </c>
      <c r="M340">
        <v>383</v>
      </c>
      <c r="N340">
        <v>287.25</v>
      </c>
      <c r="O340" t="s">
        <v>15</v>
      </c>
    </row>
    <row r="341" spans="1:15" x14ac:dyDescent="0.25">
      <c r="A341">
        <v>1547</v>
      </c>
      <c r="B341">
        <v>3314</v>
      </c>
      <c r="C341" t="s">
        <v>532</v>
      </c>
      <c r="D341" t="s">
        <v>533</v>
      </c>
      <c r="E341" t="s">
        <v>1249</v>
      </c>
      <c r="F341" s="1">
        <v>45423</v>
      </c>
      <c r="G341" s="34" t="str">
        <f t="shared" si="5"/>
        <v>May</v>
      </c>
      <c r="H341">
        <v>2</v>
      </c>
      <c r="I341" t="s">
        <v>1243</v>
      </c>
      <c r="J341" t="s">
        <v>1220</v>
      </c>
      <c r="K341">
        <v>0.25</v>
      </c>
      <c r="L341">
        <v>436.75</v>
      </c>
      <c r="M341">
        <v>1747</v>
      </c>
      <c r="N341">
        <v>1310.25</v>
      </c>
      <c r="O341" t="s">
        <v>1200</v>
      </c>
    </row>
    <row r="342" spans="1:15" x14ac:dyDescent="0.25">
      <c r="A342">
        <v>1854</v>
      </c>
      <c r="B342">
        <v>3622</v>
      </c>
      <c r="C342" t="s">
        <v>398</v>
      </c>
      <c r="D342" t="s">
        <v>879</v>
      </c>
      <c r="E342" t="s">
        <v>1207</v>
      </c>
      <c r="F342" s="1">
        <v>45423</v>
      </c>
      <c r="G342" s="34" t="str">
        <f t="shared" si="5"/>
        <v>May</v>
      </c>
      <c r="H342">
        <v>2</v>
      </c>
      <c r="I342" t="s">
        <v>14</v>
      </c>
      <c r="J342" t="s">
        <v>1216</v>
      </c>
      <c r="K342">
        <v>0.2</v>
      </c>
      <c r="L342">
        <v>212.4</v>
      </c>
      <c r="M342">
        <v>1062</v>
      </c>
      <c r="N342">
        <v>849.6</v>
      </c>
      <c r="O342" t="s">
        <v>1200</v>
      </c>
    </row>
    <row r="343" spans="1:15" x14ac:dyDescent="0.25">
      <c r="A343">
        <v>1898</v>
      </c>
      <c r="B343">
        <v>3666</v>
      </c>
      <c r="C343" t="s">
        <v>930</v>
      </c>
      <c r="D343" t="s">
        <v>931</v>
      </c>
      <c r="E343" t="s">
        <v>1249</v>
      </c>
      <c r="F343" s="1">
        <v>45423</v>
      </c>
      <c r="G343" s="34" t="str">
        <f t="shared" si="5"/>
        <v>May</v>
      </c>
      <c r="H343">
        <v>1</v>
      </c>
      <c r="I343" t="s">
        <v>14</v>
      </c>
      <c r="J343" t="s">
        <v>1222</v>
      </c>
      <c r="K343">
        <v>0.25</v>
      </c>
      <c r="L343">
        <v>261.75</v>
      </c>
      <c r="M343">
        <v>1047</v>
      </c>
      <c r="N343">
        <v>785.25</v>
      </c>
      <c r="O343" t="s">
        <v>13</v>
      </c>
    </row>
    <row r="344" spans="1:15" x14ac:dyDescent="0.25">
      <c r="A344">
        <v>1927</v>
      </c>
      <c r="B344">
        <v>3695</v>
      </c>
      <c r="C344" t="s">
        <v>957</v>
      </c>
      <c r="D344" t="s">
        <v>958</v>
      </c>
      <c r="E344" t="s">
        <v>1249</v>
      </c>
      <c r="F344" s="1">
        <v>45423</v>
      </c>
      <c r="G344" s="34" t="str">
        <f t="shared" si="5"/>
        <v>May</v>
      </c>
      <c r="H344">
        <v>1</v>
      </c>
      <c r="I344" t="s">
        <v>1242</v>
      </c>
      <c r="J344" t="s">
        <v>1216</v>
      </c>
      <c r="K344">
        <v>0.25</v>
      </c>
      <c r="L344">
        <v>156.75</v>
      </c>
      <c r="M344">
        <v>627</v>
      </c>
      <c r="N344">
        <v>470.25</v>
      </c>
      <c r="O344" t="s">
        <v>16</v>
      </c>
    </row>
    <row r="345" spans="1:15" x14ac:dyDescent="0.25">
      <c r="A345">
        <v>2104</v>
      </c>
      <c r="B345">
        <v>3873</v>
      </c>
      <c r="C345" t="s">
        <v>463</v>
      </c>
      <c r="D345" t="s">
        <v>921</v>
      </c>
      <c r="E345" t="s">
        <v>1207</v>
      </c>
      <c r="F345" s="1">
        <v>45423</v>
      </c>
      <c r="G345" s="34" t="str">
        <f t="shared" si="5"/>
        <v>May</v>
      </c>
      <c r="H345">
        <v>3</v>
      </c>
      <c r="I345" t="s">
        <v>14</v>
      </c>
      <c r="J345" t="s">
        <v>1218</v>
      </c>
      <c r="K345">
        <v>0.2</v>
      </c>
      <c r="L345">
        <v>253.4</v>
      </c>
      <c r="M345">
        <v>1267</v>
      </c>
      <c r="N345">
        <v>1013.6</v>
      </c>
      <c r="O345" t="s">
        <v>13</v>
      </c>
    </row>
    <row r="346" spans="1:15" x14ac:dyDescent="0.25">
      <c r="A346">
        <v>2230</v>
      </c>
      <c r="B346">
        <v>3999</v>
      </c>
      <c r="C346" t="s">
        <v>1139</v>
      </c>
      <c r="D346" t="s">
        <v>344</v>
      </c>
      <c r="E346" t="s">
        <v>1249</v>
      </c>
      <c r="F346" s="1">
        <v>45423</v>
      </c>
      <c r="G346" s="34" t="str">
        <f t="shared" si="5"/>
        <v>May</v>
      </c>
      <c r="H346">
        <v>3</v>
      </c>
      <c r="I346" t="s">
        <v>1242</v>
      </c>
      <c r="J346" t="s">
        <v>1224</v>
      </c>
      <c r="K346">
        <v>0.25</v>
      </c>
      <c r="L346">
        <v>279</v>
      </c>
      <c r="M346">
        <v>1116</v>
      </c>
      <c r="N346">
        <v>837</v>
      </c>
      <c r="O346" t="s">
        <v>19</v>
      </c>
    </row>
    <row r="347" spans="1:15" x14ac:dyDescent="0.25">
      <c r="A347">
        <v>1687</v>
      </c>
      <c r="B347">
        <v>3455</v>
      </c>
      <c r="C347" t="s">
        <v>707</v>
      </c>
      <c r="D347" t="s">
        <v>499</v>
      </c>
      <c r="E347" t="s">
        <v>1207</v>
      </c>
      <c r="F347" s="1">
        <v>45424</v>
      </c>
      <c r="G347" s="34" t="str">
        <f t="shared" si="5"/>
        <v>May</v>
      </c>
      <c r="H347">
        <v>1</v>
      </c>
      <c r="I347" t="s">
        <v>1242</v>
      </c>
      <c r="J347" t="s">
        <v>1222</v>
      </c>
      <c r="K347">
        <v>0.2</v>
      </c>
      <c r="L347">
        <v>170.8</v>
      </c>
      <c r="M347">
        <v>854</v>
      </c>
      <c r="N347">
        <v>683.2</v>
      </c>
      <c r="O347" t="s">
        <v>1200</v>
      </c>
    </row>
    <row r="348" spans="1:15" x14ac:dyDescent="0.25">
      <c r="A348">
        <v>1710</v>
      </c>
      <c r="B348">
        <v>3478</v>
      </c>
      <c r="C348" t="s">
        <v>379</v>
      </c>
      <c r="D348" t="s">
        <v>700</v>
      </c>
      <c r="E348" t="s">
        <v>1207</v>
      </c>
      <c r="F348" s="1">
        <v>45424</v>
      </c>
      <c r="G348" s="34" t="str">
        <f t="shared" si="5"/>
        <v>May</v>
      </c>
      <c r="H348">
        <v>2</v>
      </c>
      <c r="I348" t="s">
        <v>14</v>
      </c>
      <c r="J348" t="s">
        <v>1220</v>
      </c>
      <c r="K348">
        <v>0.2</v>
      </c>
      <c r="L348">
        <v>120.4</v>
      </c>
      <c r="M348">
        <v>602</v>
      </c>
      <c r="N348">
        <v>481.6</v>
      </c>
      <c r="O348" t="s">
        <v>15</v>
      </c>
    </row>
    <row r="349" spans="1:15" x14ac:dyDescent="0.25">
      <c r="A349">
        <v>1948</v>
      </c>
      <c r="B349">
        <v>3716</v>
      </c>
      <c r="C349" t="s">
        <v>977</v>
      </c>
      <c r="D349" t="s">
        <v>951</v>
      </c>
      <c r="E349" t="s">
        <v>1203</v>
      </c>
      <c r="F349" s="1">
        <v>45424</v>
      </c>
      <c r="G349" s="34" t="str">
        <f t="shared" si="5"/>
        <v>May</v>
      </c>
      <c r="H349">
        <v>3</v>
      </c>
      <c r="I349" t="s">
        <v>14</v>
      </c>
      <c r="J349" t="s">
        <v>1218</v>
      </c>
      <c r="K349">
        <v>0.3</v>
      </c>
      <c r="L349">
        <v>388.2</v>
      </c>
      <c r="M349">
        <v>1294</v>
      </c>
      <c r="N349">
        <v>905.8</v>
      </c>
      <c r="O349" t="s">
        <v>13</v>
      </c>
    </row>
    <row r="350" spans="1:15" x14ac:dyDescent="0.25">
      <c r="A350">
        <v>1434</v>
      </c>
      <c r="B350">
        <v>3201</v>
      </c>
      <c r="C350" t="s">
        <v>375</v>
      </c>
      <c r="D350" t="s">
        <v>84</v>
      </c>
      <c r="E350" t="s">
        <v>1205</v>
      </c>
      <c r="F350" s="1">
        <v>45425</v>
      </c>
      <c r="G350" s="34" t="str">
        <f t="shared" si="5"/>
        <v>May</v>
      </c>
      <c r="H350">
        <v>1</v>
      </c>
      <c r="I350" t="s">
        <v>18</v>
      </c>
      <c r="J350" t="s">
        <v>1220</v>
      </c>
      <c r="K350">
        <v>0.1</v>
      </c>
      <c r="L350">
        <v>5</v>
      </c>
      <c r="M350">
        <v>50</v>
      </c>
      <c r="N350">
        <v>45</v>
      </c>
      <c r="O350" t="s">
        <v>15</v>
      </c>
    </row>
    <row r="351" spans="1:15" x14ac:dyDescent="0.25">
      <c r="A351">
        <v>1518</v>
      </c>
      <c r="B351">
        <v>3285</v>
      </c>
      <c r="C351" t="s">
        <v>473</v>
      </c>
      <c r="D351" t="s">
        <v>499</v>
      </c>
      <c r="E351" t="s">
        <v>1249</v>
      </c>
      <c r="F351" s="1">
        <v>45425</v>
      </c>
      <c r="G351" s="34" t="str">
        <f t="shared" si="5"/>
        <v>May</v>
      </c>
      <c r="H351">
        <v>3</v>
      </c>
      <c r="I351" t="s">
        <v>18</v>
      </c>
      <c r="J351" t="s">
        <v>1218</v>
      </c>
      <c r="K351">
        <v>0.25</v>
      </c>
      <c r="L351">
        <v>59.75</v>
      </c>
      <c r="M351">
        <v>239</v>
      </c>
      <c r="N351">
        <v>179.25</v>
      </c>
      <c r="O351" t="s">
        <v>1200</v>
      </c>
    </row>
    <row r="352" spans="1:15" x14ac:dyDescent="0.25">
      <c r="A352">
        <v>1700</v>
      </c>
      <c r="B352">
        <v>3468</v>
      </c>
      <c r="C352" t="s">
        <v>519</v>
      </c>
      <c r="D352" t="s">
        <v>292</v>
      </c>
      <c r="E352" t="s">
        <v>1207</v>
      </c>
      <c r="F352" s="1">
        <v>45425</v>
      </c>
      <c r="G352" s="34" t="str">
        <f t="shared" si="5"/>
        <v>May</v>
      </c>
      <c r="H352">
        <v>1</v>
      </c>
      <c r="I352" t="s">
        <v>1242</v>
      </c>
      <c r="J352" t="s">
        <v>1224</v>
      </c>
      <c r="K352">
        <v>0.2</v>
      </c>
      <c r="L352">
        <v>143.4</v>
      </c>
      <c r="M352">
        <v>717</v>
      </c>
      <c r="N352">
        <v>573.6</v>
      </c>
      <c r="O352" t="s">
        <v>19</v>
      </c>
    </row>
    <row r="353" spans="1:15" x14ac:dyDescent="0.25">
      <c r="A353">
        <v>2016</v>
      </c>
      <c r="B353">
        <v>3784</v>
      </c>
      <c r="C353" t="s">
        <v>1025</v>
      </c>
      <c r="D353" t="s">
        <v>1026</v>
      </c>
      <c r="E353" t="s">
        <v>1249</v>
      </c>
      <c r="F353" s="1">
        <v>45426</v>
      </c>
      <c r="G353" s="34" t="str">
        <f t="shared" si="5"/>
        <v>May</v>
      </c>
      <c r="H353">
        <v>2</v>
      </c>
      <c r="I353" t="s">
        <v>14</v>
      </c>
      <c r="J353" t="s">
        <v>1214</v>
      </c>
      <c r="K353">
        <v>0.25</v>
      </c>
      <c r="L353">
        <v>312</v>
      </c>
      <c r="M353">
        <v>1248</v>
      </c>
      <c r="N353">
        <v>936</v>
      </c>
      <c r="O353" t="s">
        <v>13</v>
      </c>
    </row>
    <row r="354" spans="1:15" x14ac:dyDescent="0.25">
      <c r="A354">
        <v>1428</v>
      </c>
      <c r="B354">
        <v>3195</v>
      </c>
      <c r="C354" t="s">
        <v>365</v>
      </c>
      <c r="D354" t="s">
        <v>366</v>
      </c>
      <c r="E354" t="s">
        <v>1205</v>
      </c>
      <c r="F354" s="1">
        <v>45427</v>
      </c>
      <c r="G354" s="34" t="str">
        <f t="shared" si="5"/>
        <v>May</v>
      </c>
      <c r="H354">
        <v>1</v>
      </c>
      <c r="I354" t="s">
        <v>14</v>
      </c>
      <c r="J354" t="s">
        <v>1214</v>
      </c>
      <c r="K354">
        <v>0.1</v>
      </c>
      <c r="L354">
        <v>130.4</v>
      </c>
      <c r="M354">
        <v>1304</v>
      </c>
      <c r="N354">
        <v>1173.5999999999999</v>
      </c>
      <c r="O354" t="s">
        <v>19</v>
      </c>
    </row>
    <row r="355" spans="1:15" x14ac:dyDescent="0.25">
      <c r="A355">
        <v>1951</v>
      </c>
      <c r="B355">
        <v>3719</v>
      </c>
      <c r="C355" t="s">
        <v>835</v>
      </c>
      <c r="D355" t="s">
        <v>980</v>
      </c>
      <c r="E355" t="s">
        <v>1208</v>
      </c>
      <c r="F355" s="1">
        <v>45427</v>
      </c>
      <c r="G355" s="34" t="str">
        <f t="shared" si="5"/>
        <v>May</v>
      </c>
      <c r="H355">
        <v>1</v>
      </c>
      <c r="I355" t="s">
        <v>14</v>
      </c>
      <c r="J355" t="s">
        <v>1233</v>
      </c>
      <c r="K355">
        <v>0.3</v>
      </c>
      <c r="L355">
        <v>272.7</v>
      </c>
      <c r="M355">
        <v>909</v>
      </c>
      <c r="N355">
        <v>636.29999999999995</v>
      </c>
      <c r="O355" t="s">
        <v>13</v>
      </c>
    </row>
    <row r="356" spans="1:15" x14ac:dyDescent="0.25">
      <c r="A356">
        <v>2196</v>
      </c>
      <c r="B356">
        <v>3965</v>
      </c>
      <c r="C356" t="s">
        <v>1175</v>
      </c>
      <c r="D356" t="s">
        <v>296</v>
      </c>
      <c r="E356" t="s">
        <v>1207</v>
      </c>
      <c r="F356" s="1">
        <v>45427</v>
      </c>
      <c r="G356" s="34" t="str">
        <f t="shared" si="5"/>
        <v>May</v>
      </c>
      <c r="H356">
        <v>3</v>
      </c>
      <c r="I356" t="s">
        <v>1242</v>
      </c>
      <c r="J356" t="s">
        <v>1220</v>
      </c>
      <c r="K356">
        <v>0.2</v>
      </c>
      <c r="L356">
        <v>194</v>
      </c>
      <c r="M356">
        <v>970</v>
      </c>
      <c r="N356">
        <v>776</v>
      </c>
      <c r="O356" t="s">
        <v>13</v>
      </c>
    </row>
    <row r="357" spans="1:15" x14ac:dyDescent="0.25">
      <c r="A357">
        <v>1474</v>
      </c>
      <c r="B357">
        <v>3241</v>
      </c>
      <c r="C357" t="s">
        <v>437</v>
      </c>
      <c r="D357" t="s">
        <v>438</v>
      </c>
      <c r="E357" t="s">
        <v>1208</v>
      </c>
      <c r="F357" s="1">
        <v>45428</v>
      </c>
      <c r="G357" s="34" t="str">
        <f t="shared" si="5"/>
        <v>May</v>
      </c>
      <c r="H357">
        <v>2</v>
      </c>
      <c r="I357" t="s">
        <v>1242</v>
      </c>
      <c r="J357" t="s">
        <v>1222</v>
      </c>
      <c r="K357">
        <v>0.3</v>
      </c>
      <c r="L357">
        <v>240</v>
      </c>
      <c r="M357">
        <v>800</v>
      </c>
      <c r="N357">
        <v>560</v>
      </c>
      <c r="O357" t="s">
        <v>19</v>
      </c>
    </row>
    <row r="358" spans="1:15" x14ac:dyDescent="0.25">
      <c r="A358">
        <v>1543</v>
      </c>
      <c r="B358">
        <v>3310</v>
      </c>
      <c r="C358" t="s">
        <v>528</v>
      </c>
      <c r="D358" t="s">
        <v>45</v>
      </c>
      <c r="E358" t="s">
        <v>1207</v>
      </c>
      <c r="F358" s="1">
        <v>45428</v>
      </c>
      <c r="G358" s="34" t="str">
        <f t="shared" si="5"/>
        <v>May</v>
      </c>
      <c r="H358">
        <v>3</v>
      </c>
      <c r="I358" t="s">
        <v>18</v>
      </c>
      <c r="J358" t="s">
        <v>1220</v>
      </c>
      <c r="K358">
        <v>0.2</v>
      </c>
      <c r="L358">
        <v>205.4</v>
      </c>
      <c r="M358">
        <v>1027</v>
      </c>
      <c r="N358">
        <v>821.6</v>
      </c>
      <c r="O358" t="s">
        <v>15</v>
      </c>
    </row>
    <row r="359" spans="1:15" x14ac:dyDescent="0.25">
      <c r="A359">
        <v>1555</v>
      </c>
      <c r="B359">
        <v>3322</v>
      </c>
      <c r="C359" t="s">
        <v>543</v>
      </c>
      <c r="D359" t="s">
        <v>544</v>
      </c>
      <c r="E359" t="s">
        <v>1208</v>
      </c>
      <c r="F359" s="1">
        <v>45428</v>
      </c>
      <c r="G359" s="34" t="str">
        <f t="shared" si="5"/>
        <v>May</v>
      </c>
      <c r="H359">
        <v>2</v>
      </c>
      <c r="I359" t="s">
        <v>1242</v>
      </c>
      <c r="J359" t="s">
        <v>1224</v>
      </c>
      <c r="K359">
        <v>0.3</v>
      </c>
      <c r="L359">
        <v>33.9</v>
      </c>
      <c r="M359">
        <v>113</v>
      </c>
      <c r="N359">
        <v>79.099999999999994</v>
      </c>
      <c r="O359" t="s">
        <v>1200</v>
      </c>
    </row>
    <row r="360" spans="1:15" x14ac:dyDescent="0.25">
      <c r="A360">
        <v>1790</v>
      </c>
      <c r="B360">
        <v>3558</v>
      </c>
      <c r="C360" t="s">
        <v>610</v>
      </c>
      <c r="D360" t="s">
        <v>817</v>
      </c>
      <c r="E360" t="s">
        <v>1248</v>
      </c>
      <c r="F360" s="1">
        <v>45428</v>
      </c>
      <c r="G360" s="34" t="str">
        <f t="shared" si="5"/>
        <v>May</v>
      </c>
      <c r="H360">
        <v>2</v>
      </c>
      <c r="I360" t="s">
        <v>1242</v>
      </c>
      <c r="J360" t="s">
        <v>1220</v>
      </c>
      <c r="K360">
        <v>0.25</v>
      </c>
      <c r="L360">
        <v>230</v>
      </c>
      <c r="M360">
        <v>920</v>
      </c>
      <c r="N360">
        <v>690</v>
      </c>
      <c r="O360" t="s">
        <v>15</v>
      </c>
    </row>
    <row r="361" spans="1:15" x14ac:dyDescent="0.25">
      <c r="A361">
        <v>1812</v>
      </c>
      <c r="B361">
        <v>3580</v>
      </c>
      <c r="C361" t="s">
        <v>573</v>
      </c>
      <c r="D361" t="s">
        <v>838</v>
      </c>
      <c r="E361" t="s">
        <v>1249</v>
      </c>
      <c r="F361" s="1">
        <v>45428</v>
      </c>
      <c r="G361" s="34" t="str">
        <f t="shared" si="5"/>
        <v>May</v>
      </c>
      <c r="H361">
        <v>3</v>
      </c>
      <c r="I361" t="s">
        <v>14</v>
      </c>
      <c r="J361" t="s">
        <v>1228</v>
      </c>
      <c r="K361">
        <v>0.25</v>
      </c>
      <c r="L361">
        <v>144</v>
      </c>
      <c r="M361">
        <v>576</v>
      </c>
      <c r="N361">
        <v>432</v>
      </c>
      <c r="O361" t="s">
        <v>13</v>
      </c>
    </row>
    <row r="362" spans="1:15" x14ac:dyDescent="0.25">
      <c r="A362">
        <v>1371</v>
      </c>
      <c r="B362">
        <v>3138</v>
      </c>
      <c r="C362" t="s">
        <v>275</v>
      </c>
      <c r="D362" t="s">
        <v>276</v>
      </c>
      <c r="E362" t="s">
        <v>1203</v>
      </c>
      <c r="F362" s="1">
        <v>45429</v>
      </c>
      <c r="G362" s="34" t="str">
        <f t="shared" si="5"/>
        <v>May</v>
      </c>
      <c r="H362">
        <v>1</v>
      </c>
      <c r="I362" t="s">
        <v>14</v>
      </c>
      <c r="J362" t="s">
        <v>1218</v>
      </c>
      <c r="K362">
        <v>0.3</v>
      </c>
      <c r="L362">
        <v>51.3</v>
      </c>
      <c r="M362">
        <v>171</v>
      </c>
      <c r="N362">
        <v>119.7</v>
      </c>
      <c r="O362" t="s">
        <v>15</v>
      </c>
    </row>
    <row r="363" spans="1:15" x14ac:dyDescent="0.25">
      <c r="A363">
        <v>1330</v>
      </c>
      <c r="B363">
        <v>3097</v>
      </c>
      <c r="C363" t="s">
        <v>206</v>
      </c>
      <c r="D363" t="s">
        <v>207</v>
      </c>
      <c r="E363" t="s">
        <v>1205</v>
      </c>
      <c r="F363" s="1">
        <v>45430</v>
      </c>
      <c r="G363" s="34" t="str">
        <f t="shared" si="5"/>
        <v>May</v>
      </c>
      <c r="H363">
        <v>1</v>
      </c>
      <c r="I363" t="s">
        <v>1242</v>
      </c>
      <c r="J363" t="s">
        <v>1228</v>
      </c>
      <c r="K363">
        <v>0.1</v>
      </c>
      <c r="L363">
        <v>19.3</v>
      </c>
      <c r="M363">
        <v>193</v>
      </c>
      <c r="N363">
        <v>173.7</v>
      </c>
      <c r="O363" t="s">
        <v>15</v>
      </c>
    </row>
    <row r="364" spans="1:15" x14ac:dyDescent="0.25">
      <c r="A364">
        <v>1273</v>
      </c>
      <c r="B364">
        <v>3040</v>
      </c>
      <c r="C364" t="s">
        <v>103</v>
      </c>
      <c r="D364" t="s">
        <v>104</v>
      </c>
      <c r="E364" t="s">
        <v>1208</v>
      </c>
      <c r="F364" s="1">
        <v>45431</v>
      </c>
      <c r="G364" s="34" t="str">
        <f t="shared" si="5"/>
        <v>May</v>
      </c>
      <c r="H364">
        <v>2</v>
      </c>
      <c r="I364" t="s">
        <v>1242</v>
      </c>
      <c r="J364" t="s">
        <v>1220</v>
      </c>
      <c r="K364">
        <v>0.3</v>
      </c>
      <c r="L364">
        <v>299.7</v>
      </c>
      <c r="M364">
        <v>999</v>
      </c>
      <c r="N364">
        <v>699.3</v>
      </c>
      <c r="O364" t="s">
        <v>16</v>
      </c>
    </row>
    <row r="365" spans="1:15" x14ac:dyDescent="0.25">
      <c r="A365">
        <v>1335</v>
      </c>
      <c r="B365">
        <v>3102</v>
      </c>
      <c r="C365" t="s">
        <v>111</v>
      </c>
      <c r="D365" t="s">
        <v>216</v>
      </c>
      <c r="E365" t="s">
        <v>1207</v>
      </c>
      <c r="F365" s="1">
        <v>45431</v>
      </c>
      <c r="G365" s="34" t="str">
        <f t="shared" si="5"/>
        <v>May</v>
      </c>
      <c r="H365">
        <v>1</v>
      </c>
      <c r="I365" t="s">
        <v>14</v>
      </c>
      <c r="J365" t="s">
        <v>1214</v>
      </c>
      <c r="K365">
        <v>0.2</v>
      </c>
      <c r="L365">
        <v>331.6</v>
      </c>
      <c r="M365">
        <v>1658</v>
      </c>
      <c r="N365">
        <v>1326.4</v>
      </c>
      <c r="O365" t="s">
        <v>19</v>
      </c>
    </row>
    <row r="366" spans="1:15" x14ac:dyDescent="0.25">
      <c r="A366">
        <v>1810</v>
      </c>
      <c r="B366">
        <v>3578</v>
      </c>
      <c r="C366" t="s">
        <v>684</v>
      </c>
      <c r="D366" t="s">
        <v>836</v>
      </c>
      <c r="E366" t="s">
        <v>1249</v>
      </c>
      <c r="F366" s="1">
        <v>45431</v>
      </c>
      <c r="G366" s="34" t="str">
        <f t="shared" si="5"/>
        <v>May</v>
      </c>
      <c r="H366">
        <v>1</v>
      </c>
      <c r="I366" t="s">
        <v>1242</v>
      </c>
      <c r="J366" t="s">
        <v>1218</v>
      </c>
      <c r="K366">
        <v>0.25</v>
      </c>
      <c r="L366">
        <v>334.25</v>
      </c>
      <c r="M366">
        <v>1337</v>
      </c>
      <c r="N366">
        <v>1002.75</v>
      </c>
      <c r="O366" t="s">
        <v>15</v>
      </c>
    </row>
    <row r="367" spans="1:15" x14ac:dyDescent="0.25">
      <c r="A367">
        <v>1834</v>
      </c>
      <c r="B367">
        <v>3602</v>
      </c>
      <c r="C367" t="s">
        <v>864</v>
      </c>
      <c r="D367" t="s">
        <v>181</v>
      </c>
      <c r="E367" t="s">
        <v>1248</v>
      </c>
      <c r="F367" s="1">
        <v>45431</v>
      </c>
      <c r="G367" s="34" t="str">
        <f t="shared" si="5"/>
        <v>May</v>
      </c>
      <c r="H367">
        <v>1</v>
      </c>
      <c r="I367" t="s">
        <v>18</v>
      </c>
      <c r="J367" t="s">
        <v>1214</v>
      </c>
      <c r="K367">
        <v>0.25</v>
      </c>
      <c r="L367">
        <v>248.25</v>
      </c>
      <c r="M367">
        <v>993</v>
      </c>
      <c r="N367">
        <v>744.75</v>
      </c>
      <c r="O367" t="s">
        <v>1200</v>
      </c>
    </row>
    <row r="368" spans="1:15" x14ac:dyDescent="0.25">
      <c r="A368">
        <v>1848</v>
      </c>
      <c r="B368">
        <v>3616</v>
      </c>
      <c r="C368" t="s">
        <v>85</v>
      </c>
      <c r="D368" t="s">
        <v>876</v>
      </c>
      <c r="E368" t="s">
        <v>1207</v>
      </c>
      <c r="F368" s="1">
        <v>45431</v>
      </c>
      <c r="G368" s="34" t="str">
        <f t="shared" si="5"/>
        <v>May</v>
      </c>
      <c r="H368">
        <v>1</v>
      </c>
      <c r="I368" t="s">
        <v>14</v>
      </c>
      <c r="J368" t="s">
        <v>1214</v>
      </c>
      <c r="K368">
        <v>0.2</v>
      </c>
      <c r="L368">
        <v>136.19999999999999</v>
      </c>
      <c r="M368">
        <v>681</v>
      </c>
      <c r="N368">
        <v>544.79999999999995</v>
      </c>
      <c r="O368" t="s">
        <v>19</v>
      </c>
    </row>
    <row r="369" spans="1:15" x14ac:dyDescent="0.25">
      <c r="A369">
        <v>2078</v>
      </c>
      <c r="B369">
        <v>3846</v>
      </c>
      <c r="C369" t="s">
        <v>389</v>
      </c>
      <c r="D369" t="s">
        <v>630</v>
      </c>
      <c r="E369" t="s">
        <v>1249</v>
      </c>
      <c r="F369" s="1">
        <v>45431</v>
      </c>
      <c r="G369" s="34" t="str">
        <f t="shared" si="5"/>
        <v>May</v>
      </c>
      <c r="H369">
        <v>2</v>
      </c>
      <c r="I369" t="s">
        <v>18</v>
      </c>
      <c r="J369" t="s">
        <v>1228</v>
      </c>
      <c r="K369">
        <v>0.25</v>
      </c>
      <c r="L369">
        <v>66.75</v>
      </c>
      <c r="M369">
        <v>267</v>
      </c>
      <c r="N369">
        <v>200.25</v>
      </c>
      <c r="O369" t="s">
        <v>13</v>
      </c>
    </row>
    <row r="370" spans="1:15" x14ac:dyDescent="0.25">
      <c r="A370">
        <v>2205</v>
      </c>
      <c r="B370">
        <v>3974</v>
      </c>
      <c r="C370" t="s">
        <v>1182</v>
      </c>
      <c r="D370" t="s">
        <v>1183</v>
      </c>
      <c r="E370" t="s">
        <v>1207</v>
      </c>
      <c r="F370" s="1">
        <v>45432</v>
      </c>
      <c r="G370" s="34" t="str">
        <f t="shared" si="5"/>
        <v>May</v>
      </c>
      <c r="H370">
        <v>2</v>
      </c>
      <c r="I370" t="s">
        <v>1243</v>
      </c>
      <c r="J370" t="s">
        <v>1220</v>
      </c>
      <c r="K370">
        <v>0.2</v>
      </c>
      <c r="L370">
        <v>160</v>
      </c>
      <c r="M370">
        <v>800</v>
      </c>
      <c r="N370">
        <v>640</v>
      </c>
      <c r="O370" t="s">
        <v>15</v>
      </c>
    </row>
    <row r="371" spans="1:15" x14ac:dyDescent="0.25">
      <c r="A371">
        <v>1795</v>
      </c>
      <c r="B371">
        <v>3563</v>
      </c>
      <c r="C371" t="s">
        <v>823</v>
      </c>
      <c r="D371" t="s">
        <v>824</v>
      </c>
      <c r="E371" t="s">
        <v>1203</v>
      </c>
      <c r="F371" s="1">
        <v>45433</v>
      </c>
      <c r="G371" s="34" t="str">
        <f t="shared" si="5"/>
        <v>May</v>
      </c>
      <c r="H371">
        <v>1</v>
      </c>
      <c r="I371" t="s">
        <v>14</v>
      </c>
      <c r="J371" t="s">
        <v>1218</v>
      </c>
      <c r="K371">
        <v>0.3</v>
      </c>
      <c r="L371">
        <v>309</v>
      </c>
      <c r="M371">
        <v>1030</v>
      </c>
      <c r="N371">
        <v>721</v>
      </c>
      <c r="O371" t="s">
        <v>16</v>
      </c>
    </row>
    <row r="372" spans="1:15" x14ac:dyDescent="0.25">
      <c r="A372">
        <v>1472</v>
      </c>
      <c r="B372">
        <v>3239</v>
      </c>
      <c r="C372" t="s">
        <v>433</v>
      </c>
      <c r="D372" t="s">
        <v>434</v>
      </c>
      <c r="E372" t="s">
        <v>1205</v>
      </c>
      <c r="F372" s="1">
        <v>45434</v>
      </c>
      <c r="G372" s="34" t="str">
        <f t="shared" si="5"/>
        <v>May</v>
      </c>
      <c r="H372">
        <v>1</v>
      </c>
      <c r="I372" t="s">
        <v>14</v>
      </c>
      <c r="J372" t="s">
        <v>1218</v>
      </c>
      <c r="K372">
        <v>0.1</v>
      </c>
      <c r="L372">
        <v>54.4</v>
      </c>
      <c r="M372">
        <v>544</v>
      </c>
      <c r="N372">
        <v>489.6</v>
      </c>
      <c r="O372" t="s">
        <v>1200</v>
      </c>
    </row>
    <row r="373" spans="1:15" x14ac:dyDescent="0.25">
      <c r="A373">
        <v>1752</v>
      </c>
      <c r="B373">
        <v>3520</v>
      </c>
      <c r="C373" t="s">
        <v>679</v>
      </c>
      <c r="D373" t="s">
        <v>778</v>
      </c>
      <c r="E373" t="s">
        <v>1249</v>
      </c>
      <c r="F373" s="1">
        <v>45434</v>
      </c>
      <c r="G373" s="34" t="str">
        <f t="shared" si="5"/>
        <v>May</v>
      </c>
      <c r="H373">
        <v>3</v>
      </c>
      <c r="I373" t="s">
        <v>1242</v>
      </c>
      <c r="J373" t="s">
        <v>1233</v>
      </c>
      <c r="K373">
        <v>0.25</v>
      </c>
      <c r="L373">
        <v>82.25</v>
      </c>
      <c r="M373">
        <v>329</v>
      </c>
      <c r="N373">
        <v>246.75</v>
      </c>
      <c r="O373" t="s">
        <v>16</v>
      </c>
    </row>
    <row r="374" spans="1:15" x14ac:dyDescent="0.25">
      <c r="A374">
        <v>2139</v>
      </c>
      <c r="B374">
        <v>3908</v>
      </c>
      <c r="C374" t="s">
        <v>1139</v>
      </c>
      <c r="D374" t="s">
        <v>1098</v>
      </c>
      <c r="E374" t="s">
        <v>1249</v>
      </c>
      <c r="F374" s="1">
        <v>45434</v>
      </c>
      <c r="G374" s="34" t="str">
        <f t="shared" si="5"/>
        <v>May</v>
      </c>
      <c r="H374">
        <v>2</v>
      </c>
      <c r="I374" t="s">
        <v>1242</v>
      </c>
      <c r="J374" t="s">
        <v>1218</v>
      </c>
      <c r="K374">
        <v>0.25</v>
      </c>
      <c r="L374">
        <v>21.25</v>
      </c>
      <c r="M374">
        <v>85</v>
      </c>
      <c r="N374">
        <v>63.75</v>
      </c>
      <c r="O374" t="s">
        <v>15</v>
      </c>
    </row>
    <row r="375" spans="1:15" x14ac:dyDescent="0.25">
      <c r="A375">
        <v>1280</v>
      </c>
      <c r="B375">
        <v>3047</v>
      </c>
      <c r="C375" t="s">
        <v>117</v>
      </c>
      <c r="D375" t="s">
        <v>79</v>
      </c>
      <c r="E375" t="s">
        <v>1249</v>
      </c>
      <c r="F375" s="1">
        <v>45436</v>
      </c>
      <c r="G375" s="34" t="str">
        <f t="shared" si="5"/>
        <v>May</v>
      </c>
      <c r="H375">
        <v>1</v>
      </c>
      <c r="I375" t="s">
        <v>14</v>
      </c>
      <c r="J375" t="s">
        <v>1222</v>
      </c>
      <c r="K375">
        <v>0.25</v>
      </c>
      <c r="L375">
        <v>79</v>
      </c>
      <c r="M375">
        <v>316</v>
      </c>
      <c r="N375">
        <v>237</v>
      </c>
      <c r="O375" t="s">
        <v>13</v>
      </c>
    </row>
    <row r="376" spans="1:15" x14ac:dyDescent="0.25">
      <c r="A376">
        <v>1483</v>
      </c>
      <c r="B376">
        <v>3250</v>
      </c>
      <c r="C376" t="s">
        <v>452</v>
      </c>
      <c r="D376" t="s">
        <v>453</v>
      </c>
      <c r="E376" t="s">
        <v>1207</v>
      </c>
      <c r="F376" s="1">
        <v>45436</v>
      </c>
      <c r="G376" s="34" t="str">
        <f t="shared" si="5"/>
        <v>May</v>
      </c>
      <c r="H376">
        <v>3</v>
      </c>
      <c r="I376" t="s">
        <v>14</v>
      </c>
      <c r="J376" t="s">
        <v>1233</v>
      </c>
      <c r="K376">
        <v>0.2</v>
      </c>
      <c r="L376">
        <v>155.80000000000001</v>
      </c>
      <c r="M376">
        <v>779</v>
      </c>
      <c r="N376">
        <v>623.20000000000005</v>
      </c>
      <c r="O376" t="s">
        <v>19</v>
      </c>
    </row>
    <row r="377" spans="1:15" x14ac:dyDescent="0.25">
      <c r="A377">
        <v>2049</v>
      </c>
      <c r="B377">
        <v>3817</v>
      </c>
      <c r="C377" t="s">
        <v>305</v>
      </c>
      <c r="D377" t="s">
        <v>1054</v>
      </c>
      <c r="E377" t="s">
        <v>1249</v>
      </c>
      <c r="F377" s="1">
        <v>45436</v>
      </c>
      <c r="G377" s="34" t="str">
        <f t="shared" si="5"/>
        <v>May</v>
      </c>
      <c r="H377">
        <v>2</v>
      </c>
      <c r="I377" t="s">
        <v>1242</v>
      </c>
      <c r="J377" t="s">
        <v>1222</v>
      </c>
      <c r="K377">
        <v>0.25</v>
      </c>
      <c r="L377">
        <v>214.75</v>
      </c>
      <c r="M377">
        <v>859</v>
      </c>
      <c r="N377">
        <v>644.25</v>
      </c>
      <c r="O377" t="s">
        <v>15</v>
      </c>
    </row>
    <row r="378" spans="1:15" x14ac:dyDescent="0.25">
      <c r="A378">
        <v>1871</v>
      </c>
      <c r="B378">
        <v>3639</v>
      </c>
      <c r="C378" t="s">
        <v>145</v>
      </c>
      <c r="D378" t="s">
        <v>902</v>
      </c>
      <c r="E378" t="s">
        <v>1207</v>
      </c>
      <c r="F378" s="1">
        <v>45437</v>
      </c>
      <c r="G378" s="34" t="str">
        <f t="shared" si="5"/>
        <v>May</v>
      </c>
      <c r="H378">
        <v>2</v>
      </c>
      <c r="I378" t="s">
        <v>1242</v>
      </c>
      <c r="J378" t="s">
        <v>1220</v>
      </c>
      <c r="K378">
        <v>0.2</v>
      </c>
      <c r="L378">
        <v>46.8</v>
      </c>
      <c r="M378">
        <v>234</v>
      </c>
      <c r="N378">
        <v>187.2</v>
      </c>
      <c r="O378" t="s">
        <v>16</v>
      </c>
    </row>
    <row r="379" spans="1:15" x14ac:dyDescent="0.25">
      <c r="A379">
        <v>2224</v>
      </c>
      <c r="B379">
        <v>3993</v>
      </c>
      <c r="C379" t="s">
        <v>819</v>
      </c>
      <c r="D379" t="s">
        <v>782</v>
      </c>
      <c r="E379" t="s">
        <v>1207</v>
      </c>
      <c r="F379" s="1">
        <v>45437</v>
      </c>
      <c r="G379" s="34" t="str">
        <f t="shared" si="5"/>
        <v>May</v>
      </c>
      <c r="H379">
        <v>3</v>
      </c>
      <c r="I379" t="s">
        <v>14</v>
      </c>
      <c r="J379" t="s">
        <v>1228</v>
      </c>
      <c r="K379">
        <v>0.2</v>
      </c>
      <c r="L379">
        <v>168.6</v>
      </c>
      <c r="M379">
        <v>843</v>
      </c>
      <c r="N379">
        <v>674.4</v>
      </c>
      <c r="O379" t="s">
        <v>15</v>
      </c>
    </row>
    <row r="380" spans="1:15" x14ac:dyDescent="0.25">
      <c r="A380">
        <v>1332</v>
      </c>
      <c r="B380">
        <v>3099</v>
      </c>
      <c r="C380" t="s">
        <v>210</v>
      </c>
      <c r="D380" t="s">
        <v>211</v>
      </c>
      <c r="E380" t="s">
        <v>1249</v>
      </c>
      <c r="F380" s="1">
        <v>45438</v>
      </c>
      <c r="G380" s="34" t="str">
        <f t="shared" si="5"/>
        <v>May</v>
      </c>
      <c r="H380">
        <v>2</v>
      </c>
      <c r="I380" t="s">
        <v>14</v>
      </c>
      <c r="J380" t="s">
        <v>1218</v>
      </c>
      <c r="K380">
        <v>0.25</v>
      </c>
      <c r="L380">
        <v>231.5</v>
      </c>
      <c r="M380">
        <v>926</v>
      </c>
      <c r="N380">
        <v>694.5</v>
      </c>
      <c r="O380" t="s">
        <v>13</v>
      </c>
    </row>
    <row r="381" spans="1:15" x14ac:dyDescent="0.25">
      <c r="A381">
        <v>1511</v>
      </c>
      <c r="B381">
        <v>3278</v>
      </c>
      <c r="C381" t="s">
        <v>469</v>
      </c>
      <c r="D381" t="s">
        <v>489</v>
      </c>
      <c r="E381" t="s">
        <v>1203</v>
      </c>
      <c r="F381" s="1">
        <v>45438</v>
      </c>
      <c r="G381" s="34" t="str">
        <f t="shared" si="5"/>
        <v>May</v>
      </c>
      <c r="H381">
        <v>3</v>
      </c>
      <c r="I381" t="s">
        <v>1243</v>
      </c>
      <c r="J381" t="s">
        <v>1218</v>
      </c>
      <c r="K381">
        <v>0.3</v>
      </c>
      <c r="L381">
        <v>264.3</v>
      </c>
      <c r="M381">
        <v>881</v>
      </c>
      <c r="N381">
        <v>616.70000000000005</v>
      </c>
      <c r="O381" t="s">
        <v>15</v>
      </c>
    </row>
    <row r="382" spans="1:15" x14ac:dyDescent="0.25">
      <c r="A382">
        <v>1756</v>
      </c>
      <c r="B382">
        <v>3524</v>
      </c>
      <c r="C382" t="s">
        <v>474</v>
      </c>
      <c r="D382" t="s">
        <v>782</v>
      </c>
      <c r="E382" t="s">
        <v>1208</v>
      </c>
      <c r="F382" s="1">
        <v>45438</v>
      </c>
      <c r="G382" s="34" t="str">
        <f t="shared" si="5"/>
        <v>May</v>
      </c>
      <c r="H382">
        <v>2</v>
      </c>
      <c r="I382" t="s">
        <v>1243</v>
      </c>
      <c r="J382" t="s">
        <v>1228</v>
      </c>
      <c r="K382">
        <v>0.3</v>
      </c>
      <c r="L382">
        <v>66</v>
      </c>
      <c r="M382">
        <v>220</v>
      </c>
      <c r="N382">
        <v>154</v>
      </c>
      <c r="O382" t="s">
        <v>15</v>
      </c>
    </row>
    <row r="383" spans="1:15" x14ac:dyDescent="0.25">
      <c r="A383">
        <v>1616</v>
      </c>
      <c r="B383">
        <v>3384</v>
      </c>
      <c r="C383" t="s">
        <v>619</v>
      </c>
      <c r="D383" t="s">
        <v>153</v>
      </c>
      <c r="E383" t="s">
        <v>1249</v>
      </c>
      <c r="F383" s="1">
        <v>45439</v>
      </c>
      <c r="G383" s="34" t="str">
        <f t="shared" si="5"/>
        <v>May</v>
      </c>
      <c r="H383">
        <v>3</v>
      </c>
      <c r="I383" t="s">
        <v>1243</v>
      </c>
      <c r="J383" t="s">
        <v>1222</v>
      </c>
      <c r="K383">
        <v>0.25</v>
      </c>
      <c r="L383">
        <v>131.75</v>
      </c>
      <c r="M383">
        <v>527</v>
      </c>
      <c r="N383">
        <v>395.25</v>
      </c>
      <c r="O383" t="s">
        <v>1200</v>
      </c>
    </row>
    <row r="384" spans="1:15" x14ac:dyDescent="0.25">
      <c r="A384">
        <v>1889</v>
      </c>
      <c r="B384">
        <v>3657</v>
      </c>
      <c r="C384" t="s">
        <v>919</v>
      </c>
      <c r="D384" t="s">
        <v>920</v>
      </c>
      <c r="E384" t="s">
        <v>1203</v>
      </c>
      <c r="F384" s="1">
        <v>45439</v>
      </c>
      <c r="G384" s="34" t="str">
        <f t="shared" si="5"/>
        <v>May</v>
      </c>
      <c r="H384">
        <v>1</v>
      </c>
      <c r="I384" t="s">
        <v>18</v>
      </c>
      <c r="J384" t="s">
        <v>1216</v>
      </c>
      <c r="K384">
        <v>0.3</v>
      </c>
      <c r="L384">
        <v>304.5</v>
      </c>
      <c r="M384">
        <v>1015</v>
      </c>
      <c r="N384">
        <v>710.5</v>
      </c>
      <c r="O384" t="s">
        <v>19</v>
      </c>
    </row>
    <row r="385" spans="1:15" x14ac:dyDescent="0.25">
      <c r="A385">
        <v>1914</v>
      </c>
      <c r="B385">
        <v>3682</v>
      </c>
      <c r="C385" t="s">
        <v>744</v>
      </c>
      <c r="D385" t="s">
        <v>941</v>
      </c>
      <c r="E385" t="s">
        <v>1205</v>
      </c>
      <c r="F385" s="1">
        <v>45439</v>
      </c>
      <c r="G385" s="34" t="str">
        <f t="shared" si="5"/>
        <v>May</v>
      </c>
      <c r="H385">
        <v>1</v>
      </c>
      <c r="I385" t="s">
        <v>1243</v>
      </c>
      <c r="J385" t="s">
        <v>1216</v>
      </c>
      <c r="K385">
        <v>0.1</v>
      </c>
      <c r="L385">
        <v>131.4</v>
      </c>
      <c r="M385">
        <v>1314</v>
      </c>
      <c r="N385">
        <v>1182.5999999999999</v>
      </c>
      <c r="O385" t="s">
        <v>19</v>
      </c>
    </row>
    <row r="386" spans="1:15" x14ac:dyDescent="0.25">
      <c r="A386">
        <v>2154</v>
      </c>
      <c r="B386">
        <v>3923</v>
      </c>
      <c r="C386" t="s">
        <v>784</v>
      </c>
      <c r="D386" t="s">
        <v>447</v>
      </c>
      <c r="E386" t="s">
        <v>1248</v>
      </c>
      <c r="F386" s="1">
        <v>45439</v>
      </c>
      <c r="G386" s="34" t="str">
        <f t="shared" ref="G386:G449" si="6">TEXT(F386, "MMM")</f>
        <v>May</v>
      </c>
      <c r="H386">
        <v>3</v>
      </c>
      <c r="I386" t="s">
        <v>18</v>
      </c>
      <c r="J386" t="s">
        <v>1220</v>
      </c>
      <c r="K386">
        <v>0.25</v>
      </c>
      <c r="L386">
        <v>332.5</v>
      </c>
      <c r="M386">
        <v>1330</v>
      </c>
      <c r="N386">
        <v>997.5</v>
      </c>
      <c r="O386" t="s">
        <v>19</v>
      </c>
    </row>
    <row r="387" spans="1:15" x14ac:dyDescent="0.25">
      <c r="A387">
        <v>1300</v>
      </c>
      <c r="B387">
        <v>3067</v>
      </c>
      <c r="C387" t="s">
        <v>152</v>
      </c>
      <c r="D387" t="s">
        <v>153</v>
      </c>
      <c r="E387" t="s">
        <v>1248</v>
      </c>
      <c r="F387" s="1">
        <v>45440</v>
      </c>
      <c r="G387" s="34" t="str">
        <f t="shared" si="6"/>
        <v>May</v>
      </c>
      <c r="H387">
        <v>1</v>
      </c>
      <c r="I387" t="s">
        <v>14</v>
      </c>
      <c r="J387" t="s">
        <v>1216</v>
      </c>
      <c r="K387">
        <v>0.25</v>
      </c>
      <c r="L387">
        <v>260.5</v>
      </c>
      <c r="M387">
        <v>1042</v>
      </c>
      <c r="N387">
        <v>781.5</v>
      </c>
      <c r="O387" t="s">
        <v>1200</v>
      </c>
    </row>
    <row r="388" spans="1:15" x14ac:dyDescent="0.25">
      <c r="A388">
        <v>1833</v>
      </c>
      <c r="B388">
        <v>3601</v>
      </c>
      <c r="C388" t="s">
        <v>862</v>
      </c>
      <c r="D388" t="s">
        <v>863</v>
      </c>
      <c r="E388" t="s">
        <v>1203</v>
      </c>
      <c r="F388" s="1">
        <v>45440</v>
      </c>
      <c r="G388" s="34" t="str">
        <f t="shared" si="6"/>
        <v>May</v>
      </c>
      <c r="H388">
        <v>1</v>
      </c>
      <c r="I388" t="s">
        <v>14</v>
      </c>
      <c r="J388" t="s">
        <v>1228</v>
      </c>
      <c r="K388">
        <v>0.3</v>
      </c>
      <c r="L388">
        <v>320.10000000000002</v>
      </c>
      <c r="M388">
        <v>1067</v>
      </c>
      <c r="N388">
        <v>746.9</v>
      </c>
      <c r="O388" t="s">
        <v>1200</v>
      </c>
    </row>
    <row r="389" spans="1:15" x14ac:dyDescent="0.25">
      <c r="A389">
        <v>1595</v>
      </c>
      <c r="B389">
        <v>3362</v>
      </c>
      <c r="C389" t="s">
        <v>595</v>
      </c>
      <c r="D389" t="s">
        <v>596</v>
      </c>
      <c r="E389" t="s">
        <v>1249</v>
      </c>
      <c r="F389" s="1">
        <v>45441</v>
      </c>
      <c r="G389" s="34" t="str">
        <f t="shared" si="6"/>
        <v>May</v>
      </c>
      <c r="H389">
        <v>1</v>
      </c>
      <c r="I389" t="s">
        <v>1242</v>
      </c>
      <c r="J389" t="s">
        <v>1218</v>
      </c>
      <c r="K389">
        <v>0.25</v>
      </c>
      <c r="L389">
        <v>97.25</v>
      </c>
      <c r="M389">
        <v>389</v>
      </c>
      <c r="N389">
        <v>291.75</v>
      </c>
      <c r="O389" t="s">
        <v>1200</v>
      </c>
    </row>
    <row r="390" spans="1:15" x14ac:dyDescent="0.25">
      <c r="A390">
        <v>1662</v>
      </c>
      <c r="B390">
        <v>3430</v>
      </c>
      <c r="C390" t="s">
        <v>192</v>
      </c>
      <c r="D390" t="s">
        <v>503</v>
      </c>
      <c r="E390" t="s">
        <v>1203</v>
      </c>
      <c r="F390" s="1">
        <v>45441</v>
      </c>
      <c r="G390" s="34" t="str">
        <f t="shared" si="6"/>
        <v>May</v>
      </c>
      <c r="H390">
        <v>2</v>
      </c>
      <c r="I390" t="s">
        <v>14</v>
      </c>
      <c r="J390" t="s">
        <v>1216</v>
      </c>
      <c r="K390">
        <v>0.3</v>
      </c>
      <c r="L390">
        <v>520.79999999999995</v>
      </c>
      <c r="M390">
        <v>1736</v>
      </c>
      <c r="N390">
        <v>1215.2</v>
      </c>
      <c r="O390" t="s">
        <v>19</v>
      </c>
    </row>
    <row r="391" spans="1:15" x14ac:dyDescent="0.25">
      <c r="A391">
        <v>2203</v>
      </c>
      <c r="B391">
        <v>3972</v>
      </c>
      <c r="C391" t="s">
        <v>1180</v>
      </c>
      <c r="D391" t="s">
        <v>674</v>
      </c>
      <c r="E391" t="s">
        <v>1203</v>
      </c>
      <c r="F391" s="1">
        <v>45441</v>
      </c>
      <c r="G391" s="34" t="str">
        <f t="shared" si="6"/>
        <v>May</v>
      </c>
      <c r="H391">
        <v>1</v>
      </c>
      <c r="I391" t="s">
        <v>1242</v>
      </c>
      <c r="J391" t="s">
        <v>1218</v>
      </c>
      <c r="K391">
        <v>0.3</v>
      </c>
      <c r="L391">
        <v>194.7</v>
      </c>
      <c r="M391">
        <v>649</v>
      </c>
      <c r="N391">
        <v>454.3</v>
      </c>
      <c r="O391" t="s">
        <v>13</v>
      </c>
    </row>
    <row r="392" spans="1:15" x14ac:dyDescent="0.25">
      <c r="A392">
        <v>1560</v>
      </c>
      <c r="B392">
        <v>3327</v>
      </c>
      <c r="C392" t="s">
        <v>344</v>
      </c>
      <c r="D392" t="s">
        <v>552</v>
      </c>
      <c r="E392" t="s">
        <v>1205</v>
      </c>
      <c r="F392" s="1">
        <v>45442</v>
      </c>
      <c r="G392" s="34" t="str">
        <f t="shared" si="6"/>
        <v>May</v>
      </c>
      <c r="H392">
        <v>1</v>
      </c>
      <c r="I392" t="s">
        <v>18</v>
      </c>
      <c r="J392" t="s">
        <v>1214</v>
      </c>
      <c r="K392">
        <v>0.1</v>
      </c>
      <c r="L392">
        <v>146.30000000000001</v>
      </c>
      <c r="M392">
        <v>1463</v>
      </c>
      <c r="N392">
        <v>1316.7</v>
      </c>
      <c r="O392" t="s">
        <v>19</v>
      </c>
    </row>
    <row r="393" spans="1:15" x14ac:dyDescent="0.25">
      <c r="A393">
        <v>1844</v>
      </c>
      <c r="B393">
        <v>3612</v>
      </c>
      <c r="C393" t="s">
        <v>872</v>
      </c>
      <c r="D393" t="s">
        <v>811</v>
      </c>
      <c r="E393" t="s">
        <v>1249</v>
      </c>
      <c r="F393" s="1">
        <v>45442</v>
      </c>
      <c r="G393" s="34" t="str">
        <f t="shared" si="6"/>
        <v>May</v>
      </c>
      <c r="H393">
        <v>2</v>
      </c>
      <c r="I393" t="s">
        <v>1242</v>
      </c>
      <c r="J393" t="s">
        <v>1214</v>
      </c>
      <c r="K393">
        <v>0.25</v>
      </c>
      <c r="L393">
        <v>187.5</v>
      </c>
      <c r="M393">
        <v>750</v>
      </c>
      <c r="N393">
        <v>562.5</v>
      </c>
      <c r="O393" t="s">
        <v>19</v>
      </c>
    </row>
    <row r="394" spans="1:15" x14ac:dyDescent="0.25">
      <c r="A394">
        <v>2114</v>
      </c>
      <c r="B394">
        <v>3883</v>
      </c>
      <c r="C394" t="s">
        <v>707</v>
      </c>
      <c r="D394" t="s">
        <v>235</v>
      </c>
      <c r="E394" t="s">
        <v>1205</v>
      </c>
      <c r="F394" s="1">
        <v>45442</v>
      </c>
      <c r="G394" s="34" t="str">
        <f t="shared" si="6"/>
        <v>May</v>
      </c>
      <c r="H394">
        <v>2</v>
      </c>
      <c r="I394" t="s">
        <v>14</v>
      </c>
      <c r="J394" t="s">
        <v>1218</v>
      </c>
      <c r="K394">
        <v>0.1</v>
      </c>
      <c r="L394">
        <v>37.299999999999997</v>
      </c>
      <c r="M394">
        <v>373</v>
      </c>
      <c r="N394">
        <v>335.7</v>
      </c>
      <c r="O394" t="s">
        <v>16</v>
      </c>
    </row>
    <row r="395" spans="1:15" x14ac:dyDescent="0.25">
      <c r="A395">
        <v>1625</v>
      </c>
      <c r="B395">
        <v>3393</v>
      </c>
      <c r="C395" t="s">
        <v>620</v>
      </c>
      <c r="D395" t="s">
        <v>97</v>
      </c>
      <c r="E395" t="s">
        <v>1207</v>
      </c>
      <c r="F395" s="1">
        <v>45443</v>
      </c>
      <c r="G395" s="34" t="str">
        <f t="shared" si="6"/>
        <v>May</v>
      </c>
      <c r="H395">
        <v>3</v>
      </c>
      <c r="I395" t="s">
        <v>18</v>
      </c>
      <c r="J395" t="s">
        <v>1220</v>
      </c>
      <c r="K395">
        <v>0.2</v>
      </c>
      <c r="L395">
        <v>102.8</v>
      </c>
      <c r="M395">
        <v>514</v>
      </c>
      <c r="N395">
        <v>411.2</v>
      </c>
      <c r="O395" t="s">
        <v>16</v>
      </c>
    </row>
    <row r="396" spans="1:15" x14ac:dyDescent="0.25">
      <c r="A396">
        <v>2087</v>
      </c>
      <c r="B396">
        <v>3855</v>
      </c>
      <c r="C396" t="s">
        <v>1071</v>
      </c>
      <c r="D396" t="s">
        <v>289</v>
      </c>
      <c r="E396" t="s">
        <v>1207</v>
      </c>
      <c r="F396" s="1">
        <v>45443</v>
      </c>
      <c r="G396" s="34" t="str">
        <f t="shared" si="6"/>
        <v>May</v>
      </c>
      <c r="H396">
        <v>2</v>
      </c>
      <c r="I396" t="s">
        <v>14</v>
      </c>
      <c r="J396" t="s">
        <v>1222</v>
      </c>
      <c r="K396">
        <v>0.2</v>
      </c>
      <c r="L396">
        <v>164.8</v>
      </c>
      <c r="M396">
        <v>824</v>
      </c>
      <c r="N396">
        <v>659.2</v>
      </c>
      <c r="O396" t="s">
        <v>15</v>
      </c>
    </row>
    <row r="397" spans="1:15" x14ac:dyDescent="0.25">
      <c r="A397">
        <v>2063</v>
      </c>
      <c r="B397">
        <v>3831</v>
      </c>
      <c r="C397" t="s">
        <v>17</v>
      </c>
      <c r="D397" t="s">
        <v>1067</v>
      </c>
      <c r="E397" t="s">
        <v>1208</v>
      </c>
      <c r="F397" s="1">
        <v>45444</v>
      </c>
      <c r="G397" s="34" t="str">
        <f t="shared" si="6"/>
        <v>Jun</v>
      </c>
      <c r="H397">
        <v>1</v>
      </c>
      <c r="I397" t="s">
        <v>1242</v>
      </c>
      <c r="J397" t="s">
        <v>1218</v>
      </c>
      <c r="K397">
        <v>0.3</v>
      </c>
      <c r="L397">
        <v>96.6</v>
      </c>
      <c r="M397">
        <v>322</v>
      </c>
      <c r="N397">
        <v>225.4</v>
      </c>
      <c r="O397" t="s">
        <v>16</v>
      </c>
    </row>
    <row r="398" spans="1:15" x14ac:dyDescent="0.25">
      <c r="A398">
        <v>2111</v>
      </c>
      <c r="B398">
        <v>3880</v>
      </c>
      <c r="C398" t="s">
        <v>1108</v>
      </c>
      <c r="D398" t="s">
        <v>1109</v>
      </c>
      <c r="E398" t="s">
        <v>1249</v>
      </c>
      <c r="F398" s="1">
        <v>45444</v>
      </c>
      <c r="G398" s="34" t="str">
        <f t="shared" si="6"/>
        <v>Jun</v>
      </c>
      <c r="H398">
        <v>2</v>
      </c>
      <c r="I398" t="s">
        <v>18</v>
      </c>
      <c r="J398" t="s">
        <v>1222</v>
      </c>
      <c r="K398">
        <v>0.25</v>
      </c>
      <c r="L398">
        <v>181</v>
      </c>
      <c r="M398">
        <v>724</v>
      </c>
      <c r="N398">
        <v>543</v>
      </c>
      <c r="O398" t="s">
        <v>16</v>
      </c>
    </row>
    <row r="399" spans="1:15" x14ac:dyDescent="0.25">
      <c r="A399">
        <v>2194</v>
      </c>
      <c r="B399">
        <v>3963</v>
      </c>
      <c r="C399" t="s">
        <v>867</v>
      </c>
      <c r="D399" t="s">
        <v>151</v>
      </c>
      <c r="E399" t="s">
        <v>1248</v>
      </c>
      <c r="F399" s="1">
        <v>45444</v>
      </c>
      <c r="G399" s="34" t="str">
        <f t="shared" si="6"/>
        <v>Jun</v>
      </c>
      <c r="H399">
        <v>2</v>
      </c>
      <c r="I399" t="s">
        <v>14</v>
      </c>
      <c r="J399" t="s">
        <v>1224</v>
      </c>
      <c r="K399">
        <v>0.25</v>
      </c>
      <c r="L399">
        <v>301</v>
      </c>
      <c r="M399">
        <v>1204</v>
      </c>
      <c r="N399">
        <v>903</v>
      </c>
      <c r="O399" t="s">
        <v>15</v>
      </c>
    </row>
    <row r="400" spans="1:15" x14ac:dyDescent="0.25">
      <c r="A400">
        <v>2208</v>
      </c>
      <c r="B400">
        <v>3977</v>
      </c>
      <c r="C400" t="s">
        <v>1116</v>
      </c>
      <c r="D400" t="s">
        <v>1184</v>
      </c>
      <c r="E400" t="s">
        <v>1248</v>
      </c>
      <c r="F400" s="1">
        <v>45444</v>
      </c>
      <c r="G400" s="34" t="str">
        <f t="shared" si="6"/>
        <v>Jun</v>
      </c>
      <c r="H400">
        <v>3</v>
      </c>
      <c r="I400" t="s">
        <v>14</v>
      </c>
      <c r="J400" t="s">
        <v>1233</v>
      </c>
      <c r="K400">
        <v>0.25</v>
      </c>
      <c r="L400">
        <v>78.5</v>
      </c>
      <c r="M400">
        <v>314</v>
      </c>
      <c r="N400">
        <v>235.5</v>
      </c>
      <c r="O400" t="s">
        <v>16</v>
      </c>
    </row>
    <row r="401" spans="1:15" x14ac:dyDescent="0.25">
      <c r="A401">
        <v>1592</v>
      </c>
      <c r="B401">
        <v>3359</v>
      </c>
      <c r="C401" t="s">
        <v>591</v>
      </c>
      <c r="D401" t="s">
        <v>592</v>
      </c>
      <c r="E401" t="s">
        <v>1205</v>
      </c>
      <c r="F401" s="1">
        <v>45446</v>
      </c>
      <c r="G401" s="34" t="str">
        <f t="shared" si="6"/>
        <v>Jun</v>
      </c>
      <c r="H401">
        <v>1</v>
      </c>
      <c r="I401" t="s">
        <v>18</v>
      </c>
      <c r="J401" t="s">
        <v>1233</v>
      </c>
      <c r="K401">
        <v>0.1</v>
      </c>
      <c r="L401">
        <v>18.7</v>
      </c>
      <c r="M401">
        <v>187</v>
      </c>
      <c r="N401">
        <v>168.3</v>
      </c>
      <c r="O401" t="s">
        <v>1200</v>
      </c>
    </row>
    <row r="402" spans="1:15" x14ac:dyDescent="0.25">
      <c r="A402">
        <v>1292</v>
      </c>
      <c r="B402">
        <v>3059</v>
      </c>
      <c r="C402" t="s">
        <v>124</v>
      </c>
      <c r="D402" t="s">
        <v>139</v>
      </c>
      <c r="E402" t="s">
        <v>1207</v>
      </c>
      <c r="F402" s="1">
        <v>45447</v>
      </c>
      <c r="G402" s="34" t="str">
        <f t="shared" si="6"/>
        <v>Jun</v>
      </c>
      <c r="H402">
        <v>2</v>
      </c>
      <c r="I402" t="s">
        <v>14</v>
      </c>
      <c r="J402" t="s">
        <v>1233</v>
      </c>
      <c r="K402">
        <v>0.2</v>
      </c>
      <c r="L402">
        <v>111</v>
      </c>
      <c r="M402">
        <v>555</v>
      </c>
      <c r="N402">
        <v>444</v>
      </c>
      <c r="O402" t="s">
        <v>13</v>
      </c>
    </row>
    <row r="403" spans="1:15" x14ac:dyDescent="0.25">
      <c r="A403">
        <v>1648</v>
      </c>
      <c r="B403">
        <v>3416</v>
      </c>
      <c r="C403" t="s">
        <v>657</v>
      </c>
      <c r="D403" t="s">
        <v>658</v>
      </c>
      <c r="E403" t="s">
        <v>1207</v>
      </c>
      <c r="F403" s="1">
        <v>45447</v>
      </c>
      <c r="G403" s="34" t="str">
        <f t="shared" si="6"/>
        <v>Jun</v>
      </c>
      <c r="H403">
        <v>2</v>
      </c>
      <c r="I403" t="s">
        <v>14</v>
      </c>
      <c r="J403" t="s">
        <v>1220</v>
      </c>
      <c r="K403">
        <v>0.2</v>
      </c>
      <c r="L403">
        <v>221.2</v>
      </c>
      <c r="M403">
        <v>1106</v>
      </c>
      <c r="N403">
        <v>884.8</v>
      </c>
      <c r="O403" t="s">
        <v>19</v>
      </c>
    </row>
    <row r="404" spans="1:15" x14ac:dyDescent="0.25">
      <c r="A404">
        <v>2177</v>
      </c>
      <c r="B404">
        <v>3946</v>
      </c>
      <c r="C404" t="s">
        <v>17</v>
      </c>
      <c r="D404" t="s">
        <v>1018</v>
      </c>
      <c r="E404" t="s">
        <v>1248</v>
      </c>
      <c r="F404" s="1">
        <v>45447</v>
      </c>
      <c r="G404" s="34" t="str">
        <f t="shared" si="6"/>
        <v>Jun</v>
      </c>
      <c r="H404">
        <v>1</v>
      </c>
      <c r="I404" t="s">
        <v>1242</v>
      </c>
      <c r="J404" t="s">
        <v>1224</v>
      </c>
      <c r="K404">
        <v>0.25</v>
      </c>
      <c r="L404">
        <v>341.5</v>
      </c>
      <c r="M404">
        <v>1366</v>
      </c>
      <c r="N404">
        <v>1024.5</v>
      </c>
      <c r="O404" t="s">
        <v>19</v>
      </c>
    </row>
    <row r="405" spans="1:15" x14ac:dyDescent="0.25">
      <c r="A405">
        <v>1353</v>
      </c>
      <c r="B405">
        <v>3120</v>
      </c>
      <c r="C405" t="s">
        <v>244</v>
      </c>
      <c r="D405" t="s">
        <v>245</v>
      </c>
      <c r="E405" t="s">
        <v>1249</v>
      </c>
      <c r="F405" s="1">
        <v>45448</v>
      </c>
      <c r="G405" s="34" t="str">
        <f t="shared" si="6"/>
        <v>Jun</v>
      </c>
      <c r="H405">
        <v>3</v>
      </c>
      <c r="I405" t="s">
        <v>14</v>
      </c>
      <c r="J405" t="s">
        <v>1224</v>
      </c>
      <c r="K405">
        <v>0.25</v>
      </c>
      <c r="L405">
        <v>47.25</v>
      </c>
      <c r="M405">
        <v>189</v>
      </c>
      <c r="N405">
        <v>141.75</v>
      </c>
      <c r="O405" t="s">
        <v>16</v>
      </c>
    </row>
    <row r="406" spans="1:15" x14ac:dyDescent="0.25">
      <c r="A406">
        <v>2127</v>
      </c>
      <c r="B406">
        <v>3896</v>
      </c>
      <c r="C406" t="s">
        <v>921</v>
      </c>
      <c r="D406" t="s">
        <v>350</v>
      </c>
      <c r="E406" t="s">
        <v>1248</v>
      </c>
      <c r="F406" s="1">
        <v>45448</v>
      </c>
      <c r="G406" s="34" t="str">
        <f t="shared" si="6"/>
        <v>Jun</v>
      </c>
      <c r="H406">
        <v>1</v>
      </c>
      <c r="I406" t="s">
        <v>1243</v>
      </c>
      <c r="J406" t="s">
        <v>1233</v>
      </c>
      <c r="K406">
        <v>0.25</v>
      </c>
      <c r="L406">
        <v>270</v>
      </c>
      <c r="M406">
        <v>1080</v>
      </c>
      <c r="N406">
        <v>810</v>
      </c>
      <c r="O406" t="s">
        <v>16</v>
      </c>
    </row>
    <row r="407" spans="1:15" x14ac:dyDescent="0.25">
      <c r="A407">
        <v>2148</v>
      </c>
      <c r="B407">
        <v>3917</v>
      </c>
      <c r="C407" t="s">
        <v>265</v>
      </c>
      <c r="D407" t="s">
        <v>257</v>
      </c>
      <c r="E407" t="s">
        <v>1203</v>
      </c>
      <c r="F407" s="1">
        <v>45448</v>
      </c>
      <c r="G407" s="34" t="str">
        <f t="shared" si="6"/>
        <v>Jun</v>
      </c>
      <c r="H407">
        <v>3</v>
      </c>
      <c r="I407" t="s">
        <v>1242</v>
      </c>
      <c r="J407" t="s">
        <v>1222</v>
      </c>
      <c r="K407">
        <v>0.3</v>
      </c>
      <c r="L407">
        <v>461.4</v>
      </c>
      <c r="M407">
        <v>1538</v>
      </c>
      <c r="N407">
        <v>1076.5999999999999</v>
      </c>
      <c r="O407" t="s">
        <v>19</v>
      </c>
    </row>
    <row r="408" spans="1:15" x14ac:dyDescent="0.25">
      <c r="A408">
        <v>1239</v>
      </c>
      <c r="B408">
        <v>3006</v>
      </c>
      <c r="C408" t="s">
        <v>36</v>
      </c>
      <c r="D408" t="s">
        <v>37</v>
      </c>
      <c r="E408" t="s">
        <v>1208</v>
      </c>
      <c r="F408" s="1">
        <v>45449</v>
      </c>
      <c r="G408" s="34" t="str">
        <f t="shared" si="6"/>
        <v>Jun</v>
      </c>
      <c r="H408">
        <v>1</v>
      </c>
      <c r="I408" t="s">
        <v>1242</v>
      </c>
      <c r="J408" t="s">
        <v>1224</v>
      </c>
      <c r="K408">
        <v>0.3</v>
      </c>
      <c r="L408">
        <v>335.4</v>
      </c>
      <c r="M408">
        <v>1118</v>
      </c>
      <c r="N408">
        <v>782.6</v>
      </c>
      <c r="O408" t="s">
        <v>13</v>
      </c>
    </row>
    <row r="409" spans="1:15" x14ac:dyDescent="0.25">
      <c r="A409">
        <v>1863</v>
      </c>
      <c r="B409">
        <v>3631</v>
      </c>
      <c r="C409" t="s">
        <v>892</v>
      </c>
      <c r="D409" t="s">
        <v>893</v>
      </c>
      <c r="E409" t="s">
        <v>1208</v>
      </c>
      <c r="F409" s="1">
        <v>45449</v>
      </c>
      <c r="G409" s="34" t="str">
        <f t="shared" si="6"/>
        <v>Jun</v>
      </c>
      <c r="H409">
        <v>2</v>
      </c>
      <c r="I409" t="s">
        <v>1242</v>
      </c>
      <c r="J409" t="s">
        <v>1218</v>
      </c>
      <c r="K409">
        <v>0.3</v>
      </c>
      <c r="L409">
        <v>356.1</v>
      </c>
      <c r="M409">
        <v>1187</v>
      </c>
      <c r="N409">
        <v>830.9</v>
      </c>
      <c r="O409" t="s">
        <v>16</v>
      </c>
    </row>
    <row r="410" spans="1:15" x14ac:dyDescent="0.25">
      <c r="A410">
        <v>1271</v>
      </c>
      <c r="B410">
        <v>3038</v>
      </c>
      <c r="C410" t="s">
        <v>99</v>
      </c>
      <c r="D410" t="s">
        <v>100</v>
      </c>
      <c r="E410" t="s">
        <v>1207</v>
      </c>
      <c r="F410" s="1">
        <v>45450</v>
      </c>
      <c r="G410" s="34" t="str">
        <f t="shared" si="6"/>
        <v>Jun</v>
      </c>
      <c r="H410">
        <v>1</v>
      </c>
      <c r="I410" t="s">
        <v>18</v>
      </c>
      <c r="J410" t="s">
        <v>1214</v>
      </c>
      <c r="K410">
        <v>0.2</v>
      </c>
      <c r="L410">
        <v>287.8</v>
      </c>
      <c r="M410">
        <v>1439</v>
      </c>
      <c r="N410">
        <v>1151.2</v>
      </c>
      <c r="O410" t="s">
        <v>1200</v>
      </c>
    </row>
    <row r="411" spans="1:15" x14ac:dyDescent="0.25">
      <c r="A411">
        <v>2012</v>
      </c>
      <c r="B411">
        <v>3780</v>
      </c>
      <c r="C411" t="s">
        <v>1006</v>
      </c>
      <c r="D411" t="s">
        <v>219</v>
      </c>
      <c r="E411" t="s">
        <v>1207</v>
      </c>
      <c r="F411" s="1">
        <v>45450</v>
      </c>
      <c r="G411" s="34" t="str">
        <f t="shared" si="6"/>
        <v>Jun</v>
      </c>
      <c r="H411">
        <v>2</v>
      </c>
      <c r="I411" t="s">
        <v>14</v>
      </c>
      <c r="J411" t="s">
        <v>1233</v>
      </c>
      <c r="K411">
        <v>0.2</v>
      </c>
      <c r="L411">
        <v>304.2</v>
      </c>
      <c r="M411">
        <v>1521</v>
      </c>
      <c r="N411">
        <v>1216.8</v>
      </c>
      <c r="O411" t="s">
        <v>1200</v>
      </c>
    </row>
    <row r="412" spans="1:15" x14ac:dyDescent="0.25">
      <c r="A412">
        <v>1903</v>
      </c>
      <c r="B412">
        <v>3671</v>
      </c>
      <c r="C412" t="s">
        <v>87</v>
      </c>
      <c r="D412" t="s">
        <v>401</v>
      </c>
      <c r="E412" t="s">
        <v>1205</v>
      </c>
      <c r="F412" s="1">
        <v>45451</v>
      </c>
      <c r="G412" s="34" t="str">
        <f t="shared" si="6"/>
        <v>Jun</v>
      </c>
      <c r="H412">
        <v>2</v>
      </c>
      <c r="I412" t="s">
        <v>1242</v>
      </c>
      <c r="J412" t="s">
        <v>1222</v>
      </c>
      <c r="K412">
        <v>0.1</v>
      </c>
      <c r="L412">
        <v>126.6</v>
      </c>
      <c r="M412">
        <v>1266</v>
      </c>
      <c r="N412">
        <v>1139.4000000000001</v>
      </c>
      <c r="O412" t="s">
        <v>15</v>
      </c>
    </row>
    <row r="413" spans="1:15" x14ac:dyDescent="0.25">
      <c r="A413">
        <v>1744</v>
      </c>
      <c r="B413">
        <v>3512</v>
      </c>
      <c r="C413" t="s">
        <v>770</v>
      </c>
      <c r="D413" t="s">
        <v>771</v>
      </c>
      <c r="E413" t="s">
        <v>1205</v>
      </c>
      <c r="F413" s="1">
        <v>45452</v>
      </c>
      <c r="G413" s="34" t="str">
        <f t="shared" si="6"/>
        <v>Jun</v>
      </c>
      <c r="H413">
        <v>2</v>
      </c>
      <c r="I413" t="s">
        <v>14</v>
      </c>
      <c r="J413" t="s">
        <v>1216</v>
      </c>
      <c r="K413">
        <v>0.1</v>
      </c>
      <c r="L413">
        <v>39.200000000000003</v>
      </c>
      <c r="M413">
        <v>392</v>
      </c>
      <c r="N413">
        <v>352.8</v>
      </c>
      <c r="O413" t="s">
        <v>1200</v>
      </c>
    </row>
    <row r="414" spans="1:15" x14ac:dyDescent="0.25">
      <c r="A414">
        <v>1901</v>
      </c>
      <c r="B414">
        <v>3669</v>
      </c>
      <c r="C414" t="s">
        <v>822</v>
      </c>
      <c r="D414" t="s">
        <v>933</v>
      </c>
      <c r="E414" t="s">
        <v>1207</v>
      </c>
      <c r="F414" s="1">
        <v>45452</v>
      </c>
      <c r="G414" s="34" t="str">
        <f t="shared" si="6"/>
        <v>Jun</v>
      </c>
      <c r="H414">
        <v>3</v>
      </c>
      <c r="I414" t="s">
        <v>1242</v>
      </c>
      <c r="J414" t="s">
        <v>1233</v>
      </c>
      <c r="K414">
        <v>0.2</v>
      </c>
      <c r="L414">
        <v>266.8</v>
      </c>
      <c r="M414">
        <v>1334</v>
      </c>
      <c r="N414">
        <v>1067.2</v>
      </c>
      <c r="O414" t="s">
        <v>1200</v>
      </c>
    </row>
    <row r="415" spans="1:15" x14ac:dyDescent="0.25">
      <c r="A415">
        <v>1995</v>
      </c>
      <c r="B415">
        <v>3763</v>
      </c>
      <c r="C415" t="s">
        <v>1012</v>
      </c>
      <c r="D415" t="s">
        <v>436</v>
      </c>
      <c r="E415" t="s">
        <v>1205</v>
      </c>
      <c r="F415" s="1">
        <v>45452</v>
      </c>
      <c r="G415" s="34" t="str">
        <f t="shared" si="6"/>
        <v>Jun</v>
      </c>
      <c r="H415">
        <v>2</v>
      </c>
      <c r="I415" t="s">
        <v>14</v>
      </c>
      <c r="J415" t="s">
        <v>1214</v>
      </c>
      <c r="K415">
        <v>0.1</v>
      </c>
      <c r="L415">
        <v>107.1</v>
      </c>
      <c r="M415">
        <v>1071</v>
      </c>
      <c r="N415">
        <v>963.9</v>
      </c>
      <c r="O415" t="s">
        <v>13</v>
      </c>
    </row>
    <row r="416" spans="1:15" x14ac:dyDescent="0.25">
      <c r="A416">
        <v>2055</v>
      </c>
      <c r="B416">
        <v>3823</v>
      </c>
      <c r="C416" t="s">
        <v>1061</v>
      </c>
      <c r="D416" t="s">
        <v>635</v>
      </c>
      <c r="E416" t="s">
        <v>1248</v>
      </c>
      <c r="F416" s="1">
        <v>45452</v>
      </c>
      <c r="G416" s="34" t="str">
        <f t="shared" si="6"/>
        <v>Jun</v>
      </c>
      <c r="H416">
        <v>2</v>
      </c>
      <c r="I416" t="s">
        <v>14</v>
      </c>
      <c r="J416" t="s">
        <v>1220</v>
      </c>
      <c r="K416">
        <v>0.25</v>
      </c>
      <c r="L416">
        <v>427.75</v>
      </c>
      <c r="M416">
        <v>1711</v>
      </c>
      <c r="N416">
        <v>1283.25</v>
      </c>
      <c r="O416" t="s">
        <v>15</v>
      </c>
    </row>
    <row r="417" spans="1:15" x14ac:dyDescent="0.25">
      <c r="A417">
        <v>1338</v>
      </c>
      <c r="B417">
        <v>3105</v>
      </c>
      <c r="C417" t="s">
        <v>220</v>
      </c>
      <c r="D417" t="s">
        <v>221</v>
      </c>
      <c r="E417" t="s">
        <v>1205</v>
      </c>
      <c r="F417" s="1">
        <v>45453</v>
      </c>
      <c r="G417" s="34" t="str">
        <f t="shared" si="6"/>
        <v>Jun</v>
      </c>
      <c r="H417">
        <v>3</v>
      </c>
      <c r="I417" t="s">
        <v>14</v>
      </c>
      <c r="J417" t="s">
        <v>1218</v>
      </c>
      <c r="K417">
        <v>0.1</v>
      </c>
      <c r="L417">
        <v>130.69999999999999</v>
      </c>
      <c r="M417">
        <v>1307</v>
      </c>
      <c r="N417">
        <v>1176.3</v>
      </c>
      <c r="O417" t="s">
        <v>16</v>
      </c>
    </row>
    <row r="418" spans="1:15" x14ac:dyDescent="0.25">
      <c r="A418">
        <v>1823</v>
      </c>
      <c r="B418">
        <v>3591</v>
      </c>
      <c r="C418" t="s">
        <v>848</v>
      </c>
      <c r="D418" t="s">
        <v>849</v>
      </c>
      <c r="E418" t="s">
        <v>1249</v>
      </c>
      <c r="F418" s="1">
        <v>45453</v>
      </c>
      <c r="G418" s="34" t="str">
        <f t="shared" si="6"/>
        <v>Jun</v>
      </c>
      <c r="H418">
        <v>1</v>
      </c>
      <c r="I418" t="s">
        <v>14</v>
      </c>
      <c r="J418" t="s">
        <v>1233</v>
      </c>
      <c r="K418">
        <v>0.25</v>
      </c>
      <c r="L418">
        <v>318.5</v>
      </c>
      <c r="M418">
        <v>1274</v>
      </c>
      <c r="N418">
        <v>955.5</v>
      </c>
      <c r="O418" t="s">
        <v>19</v>
      </c>
    </row>
    <row r="419" spans="1:15" x14ac:dyDescent="0.25">
      <c r="A419">
        <v>1837</v>
      </c>
      <c r="B419">
        <v>3605</v>
      </c>
      <c r="C419" t="s">
        <v>867</v>
      </c>
      <c r="D419" t="s">
        <v>721</v>
      </c>
      <c r="E419" t="s">
        <v>1203</v>
      </c>
      <c r="F419" s="1">
        <v>45453</v>
      </c>
      <c r="G419" s="34" t="str">
        <f t="shared" si="6"/>
        <v>Jun</v>
      </c>
      <c r="H419">
        <v>3</v>
      </c>
      <c r="I419" t="s">
        <v>14</v>
      </c>
      <c r="J419" t="s">
        <v>1224</v>
      </c>
      <c r="K419">
        <v>0.3</v>
      </c>
      <c r="L419">
        <v>107.7</v>
      </c>
      <c r="M419">
        <v>359</v>
      </c>
      <c r="N419">
        <v>251.3</v>
      </c>
      <c r="O419" t="s">
        <v>15</v>
      </c>
    </row>
    <row r="420" spans="1:15" x14ac:dyDescent="0.25">
      <c r="A420">
        <v>1818</v>
      </c>
      <c r="B420">
        <v>3586</v>
      </c>
      <c r="C420" t="s">
        <v>846</v>
      </c>
      <c r="D420" t="s">
        <v>673</v>
      </c>
      <c r="E420" t="s">
        <v>1208</v>
      </c>
      <c r="F420" s="1">
        <v>45454</v>
      </c>
      <c r="G420" s="34" t="str">
        <f t="shared" si="6"/>
        <v>Jun</v>
      </c>
      <c r="H420">
        <v>3</v>
      </c>
      <c r="I420" t="s">
        <v>14</v>
      </c>
      <c r="J420" t="s">
        <v>1224</v>
      </c>
      <c r="K420">
        <v>0.3</v>
      </c>
      <c r="L420">
        <v>571.20000000000005</v>
      </c>
      <c r="M420">
        <v>1904</v>
      </c>
      <c r="N420">
        <v>1332.8</v>
      </c>
      <c r="O420" t="s">
        <v>1200</v>
      </c>
    </row>
    <row r="421" spans="1:15" x14ac:dyDescent="0.25">
      <c r="A421">
        <v>1819</v>
      </c>
      <c r="B421">
        <v>3587</v>
      </c>
      <c r="C421" t="s">
        <v>620</v>
      </c>
      <c r="D421" t="s">
        <v>29</v>
      </c>
      <c r="E421" t="s">
        <v>1203</v>
      </c>
      <c r="F421" s="1">
        <v>45454</v>
      </c>
      <c r="G421" s="34" t="str">
        <f t="shared" si="6"/>
        <v>Jun</v>
      </c>
      <c r="H421">
        <v>1</v>
      </c>
      <c r="I421" t="s">
        <v>18</v>
      </c>
      <c r="J421" t="s">
        <v>1222</v>
      </c>
      <c r="K421">
        <v>0.3</v>
      </c>
      <c r="L421">
        <v>259.8</v>
      </c>
      <c r="M421">
        <v>866</v>
      </c>
      <c r="N421">
        <v>606.20000000000005</v>
      </c>
      <c r="O421" t="s">
        <v>15</v>
      </c>
    </row>
    <row r="422" spans="1:15" x14ac:dyDescent="0.25">
      <c r="A422">
        <v>1963</v>
      </c>
      <c r="B422">
        <v>3731</v>
      </c>
      <c r="C422" t="s">
        <v>663</v>
      </c>
      <c r="D422" t="s">
        <v>987</v>
      </c>
      <c r="E422" t="s">
        <v>1207</v>
      </c>
      <c r="F422" s="1">
        <v>45454</v>
      </c>
      <c r="G422" s="34" t="str">
        <f t="shared" si="6"/>
        <v>Jun</v>
      </c>
      <c r="H422">
        <v>2</v>
      </c>
      <c r="I422" t="s">
        <v>1243</v>
      </c>
      <c r="J422" t="s">
        <v>1222</v>
      </c>
      <c r="K422">
        <v>0.2</v>
      </c>
      <c r="L422">
        <v>68.2</v>
      </c>
      <c r="M422">
        <v>341</v>
      </c>
      <c r="N422">
        <v>272.8</v>
      </c>
      <c r="O422" t="s">
        <v>19</v>
      </c>
    </row>
    <row r="423" spans="1:15" x14ac:dyDescent="0.25">
      <c r="A423">
        <v>1252</v>
      </c>
      <c r="B423">
        <v>3019</v>
      </c>
      <c r="C423" t="s">
        <v>62</v>
      </c>
      <c r="D423" t="s">
        <v>63</v>
      </c>
      <c r="E423" t="s">
        <v>1249</v>
      </c>
      <c r="F423" s="1">
        <v>45455</v>
      </c>
      <c r="G423" s="34" t="str">
        <f t="shared" si="6"/>
        <v>Jun</v>
      </c>
      <c r="H423">
        <v>2</v>
      </c>
      <c r="I423" t="s">
        <v>1242</v>
      </c>
      <c r="J423" t="s">
        <v>1216</v>
      </c>
      <c r="K423">
        <v>0.25</v>
      </c>
      <c r="L423">
        <v>79.5</v>
      </c>
      <c r="M423">
        <v>318</v>
      </c>
      <c r="N423">
        <v>238.5</v>
      </c>
      <c r="O423" t="s">
        <v>16</v>
      </c>
    </row>
    <row r="424" spans="1:15" x14ac:dyDescent="0.25">
      <c r="A424">
        <v>1736</v>
      </c>
      <c r="B424">
        <v>3504</v>
      </c>
      <c r="C424" t="s">
        <v>167</v>
      </c>
      <c r="D424" t="s">
        <v>763</v>
      </c>
      <c r="E424" t="s">
        <v>1248</v>
      </c>
      <c r="F424" s="1">
        <v>45455</v>
      </c>
      <c r="G424" s="34" t="str">
        <f t="shared" si="6"/>
        <v>Jun</v>
      </c>
      <c r="H424">
        <v>1</v>
      </c>
      <c r="I424" t="s">
        <v>18</v>
      </c>
      <c r="J424" t="s">
        <v>1218</v>
      </c>
      <c r="K424">
        <v>0.25</v>
      </c>
      <c r="L424">
        <v>332</v>
      </c>
      <c r="M424">
        <v>1328</v>
      </c>
      <c r="N424">
        <v>996</v>
      </c>
      <c r="O424" t="s">
        <v>19</v>
      </c>
    </row>
    <row r="425" spans="1:15" x14ac:dyDescent="0.25">
      <c r="A425">
        <v>1980</v>
      </c>
      <c r="B425">
        <v>3748</v>
      </c>
      <c r="C425" t="s">
        <v>689</v>
      </c>
      <c r="D425" t="s">
        <v>763</v>
      </c>
      <c r="E425" t="s">
        <v>1249</v>
      </c>
      <c r="F425" s="1">
        <v>45455</v>
      </c>
      <c r="G425" s="34" t="str">
        <f t="shared" si="6"/>
        <v>Jun</v>
      </c>
      <c r="H425">
        <v>3</v>
      </c>
      <c r="I425" t="s">
        <v>14</v>
      </c>
      <c r="J425" t="s">
        <v>1222</v>
      </c>
      <c r="K425">
        <v>0.25</v>
      </c>
      <c r="L425">
        <v>411.75</v>
      </c>
      <c r="M425">
        <v>1647</v>
      </c>
      <c r="N425">
        <v>1235.25</v>
      </c>
      <c r="O425" t="s">
        <v>16</v>
      </c>
    </row>
    <row r="426" spans="1:15" x14ac:dyDescent="0.25">
      <c r="A426">
        <v>2095</v>
      </c>
      <c r="B426">
        <v>3864</v>
      </c>
      <c r="C426" t="s">
        <v>1097</v>
      </c>
      <c r="D426" t="s">
        <v>577</v>
      </c>
      <c r="E426" t="s">
        <v>1205</v>
      </c>
      <c r="F426" s="1">
        <v>45455</v>
      </c>
      <c r="G426" s="34" t="str">
        <f t="shared" si="6"/>
        <v>Jun</v>
      </c>
      <c r="H426">
        <v>3</v>
      </c>
      <c r="I426" t="s">
        <v>14</v>
      </c>
      <c r="J426" t="s">
        <v>1216</v>
      </c>
      <c r="K426">
        <v>0.1</v>
      </c>
      <c r="L426">
        <v>147.80000000000001</v>
      </c>
      <c r="M426">
        <v>1478</v>
      </c>
      <c r="N426">
        <v>1330.2</v>
      </c>
      <c r="O426" t="s">
        <v>16</v>
      </c>
    </row>
    <row r="427" spans="1:15" x14ac:dyDescent="0.25">
      <c r="A427">
        <v>1559</v>
      </c>
      <c r="B427">
        <v>3326</v>
      </c>
      <c r="C427" t="s">
        <v>550</v>
      </c>
      <c r="D427" t="s">
        <v>551</v>
      </c>
      <c r="E427" t="s">
        <v>1203</v>
      </c>
      <c r="F427" s="1">
        <v>45456</v>
      </c>
      <c r="G427" s="34" t="str">
        <f t="shared" si="6"/>
        <v>Jun</v>
      </c>
      <c r="H427">
        <v>2</v>
      </c>
      <c r="I427" t="s">
        <v>14</v>
      </c>
      <c r="J427" t="s">
        <v>1218</v>
      </c>
      <c r="K427">
        <v>0.3</v>
      </c>
      <c r="L427">
        <v>503.1</v>
      </c>
      <c r="M427">
        <v>1677</v>
      </c>
      <c r="N427">
        <v>1173.9000000000001</v>
      </c>
      <c r="O427" t="s">
        <v>1200</v>
      </c>
    </row>
    <row r="428" spans="1:15" x14ac:dyDescent="0.25">
      <c r="A428">
        <v>1651</v>
      </c>
      <c r="B428">
        <v>3419</v>
      </c>
      <c r="C428" t="s">
        <v>663</v>
      </c>
      <c r="D428" t="s">
        <v>664</v>
      </c>
      <c r="E428" t="s">
        <v>1207</v>
      </c>
      <c r="F428" s="1">
        <v>45456</v>
      </c>
      <c r="G428" s="34" t="str">
        <f t="shared" si="6"/>
        <v>Jun</v>
      </c>
      <c r="H428">
        <v>1</v>
      </c>
      <c r="I428" t="s">
        <v>18</v>
      </c>
      <c r="J428" t="s">
        <v>1228</v>
      </c>
      <c r="K428">
        <v>0.2</v>
      </c>
      <c r="L428">
        <v>31</v>
      </c>
      <c r="M428">
        <v>155</v>
      </c>
      <c r="N428">
        <v>124</v>
      </c>
      <c r="O428" t="s">
        <v>13</v>
      </c>
    </row>
    <row r="429" spans="1:15" x14ac:dyDescent="0.25">
      <c r="A429">
        <v>2015</v>
      </c>
      <c r="B429">
        <v>3783</v>
      </c>
      <c r="C429" t="s">
        <v>1024</v>
      </c>
      <c r="D429" t="s">
        <v>100</v>
      </c>
      <c r="E429" t="s">
        <v>1248</v>
      </c>
      <c r="F429" s="1">
        <v>45456</v>
      </c>
      <c r="G429" s="34" t="str">
        <f t="shared" si="6"/>
        <v>Jun</v>
      </c>
      <c r="H429">
        <v>1</v>
      </c>
      <c r="I429" t="s">
        <v>14</v>
      </c>
      <c r="J429" t="s">
        <v>1220</v>
      </c>
      <c r="K429">
        <v>0.25</v>
      </c>
      <c r="L429">
        <v>287.5</v>
      </c>
      <c r="M429">
        <v>1150</v>
      </c>
      <c r="N429">
        <v>862.5</v>
      </c>
      <c r="O429" t="s">
        <v>16</v>
      </c>
    </row>
    <row r="430" spans="1:15" x14ac:dyDescent="0.25">
      <c r="A430">
        <v>2145</v>
      </c>
      <c r="B430">
        <v>3914</v>
      </c>
      <c r="C430" t="s">
        <v>991</v>
      </c>
      <c r="D430" t="s">
        <v>586</v>
      </c>
      <c r="E430" t="s">
        <v>1249</v>
      </c>
      <c r="F430" s="1">
        <v>45456</v>
      </c>
      <c r="G430" s="34" t="str">
        <f t="shared" si="6"/>
        <v>Jun</v>
      </c>
      <c r="H430">
        <v>3</v>
      </c>
      <c r="I430" t="s">
        <v>1242</v>
      </c>
      <c r="J430" t="s">
        <v>1233</v>
      </c>
      <c r="K430">
        <v>0.25</v>
      </c>
      <c r="L430">
        <v>192</v>
      </c>
      <c r="M430">
        <v>768</v>
      </c>
      <c r="N430">
        <v>576</v>
      </c>
      <c r="O430" t="s">
        <v>15</v>
      </c>
    </row>
    <row r="431" spans="1:15" x14ac:dyDescent="0.25">
      <c r="A431">
        <v>1480</v>
      </c>
      <c r="B431">
        <v>3247</v>
      </c>
      <c r="C431" t="s">
        <v>448</v>
      </c>
      <c r="D431" t="s">
        <v>371</v>
      </c>
      <c r="E431" t="s">
        <v>1208</v>
      </c>
      <c r="F431" s="1">
        <v>45457</v>
      </c>
      <c r="G431" s="34" t="str">
        <f t="shared" si="6"/>
        <v>Jun</v>
      </c>
      <c r="H431">
        <v>3</v>
      </c>
      <c r="I431" t="s">
        <v>14</v>
      </c>
      <c r="J431" t="s">
        <v>1222</v>
      </c>
      <c r="K431">
        <v>0.3</v>
      </c>
      <c r="L431">
        <v>355.5</v>
      </c>
      <c r="M431">
        <v>1185</v>
      </c>
      <c r="N431">
        <v>829.5</v>
      </c>
      <c r="O431" t="s">
        <v>16</v>
      </c>
    </row>
    <row r="432" spans="1:15" x14ac:dyDescent="0.25">
      <c r="A432">
        <v>1659</v>
      </c>
      <c r="B432">
        <v>3427</v>
      </c>
      <c r="C432" t="s">
        <v>670</v>
      </c>
      <c r="D432" t="s">
        <v>671</v>
      </c>
      <c r="E432" t="s">
        <v>1205</v>
      </c>
      <c r="F432" s="1">
        <v>45457</v>
      </c>
      <c r="G432" s="34" t="str">
        <f t="shared" si="6"/>
        <v>Jun</v>
      </c>
      <c r="H432">
        <v>3</v>
      </c>
      <c r="I432" t="s">
        <v>1242</v>
      </c>
      <c r="J432" t="s">
        <v>1233</v>
      </c>
      <c r="K432">
        <v>0.1</v>
      </c>
      <c r="L432">
        <v>16.7</v>
      </c>
      <c r="M432">
        <v>167</v>
      </c>
      <c r="N432">
        <v>150.30000000000001</v>
      </c>
      <c r="O432" t="s">
        <v>15</v>
      </c>
    </row>
    <row r="433" spans="1:15" x14ac:dyDescent="0.25">
      <c r="A433">
        <v>1255</v>
      </c>
      <c r="B433">
        <v>3022</v>
      </c>
      <c r="C433" t="s">
        <v>68</v>
      </c>
      <c r="D433" t="s">
        <v>69</v>
      </c>
      <c r="E433" t="s">
        <v>1208</v>
      </c>
      <c r="F433" s="1">
        <v>45458</v>
      </c>
      <c r="G433" s="34" t="str">
        <f t="shared" si="6"/>
        <v>Jun</v>
      </c>
      <c r="H433">
        <v>2</v>
      </c>
      <c r="I433" t="s">
        <v>1242</v>
      </c>
      <c r="J433" t="s">
        <v>1216</v>
      </c>
      <c r="K433">
        <v>0.3</v>
      </c>
      <c r="L433">
        <v>464.7</v>
      </c>
      <c r="M433">
        <v>1549</v>
      </c>
      <c r="N433">
        <v>1084.3</v>
      </c>
      <c r="O433" t="s">
        <v>19</v>
      </c>
    </row>
    <row r="434" spans="1:15" x14ac:dyDescent="0.25">
      <c r="A434">
        <v>1682</v>
      </c>
      <c r="B434">
        <v>3450</v>
      </c>
      <c r="C434" t="s">
        <v>102</v>
      </c>
      <c r="D434" t="s">
        <v>701</v>
      </c>
      <c r="E434" t="s">
        <v>1208</v>
      </c>
      <c r="F434" s="1">
        <v>45458</v>
      </c>
      <c r="G434" s="34" t="str">
        <f t="shared" si="6"/>
        <v>Jun</v>
      </c>
      <c r="H434">
        <v>3</v>
      </c>
      <c r="I434" t="s">
        <v>18</v>
      </c>
      <c r="J434" t="s">
        <v>1228</v>
      </c>
      <c r="K434">
        <v>0.3</v>
      </c>
      <c r="L434">
        <v>539.4</v>
      </c>
      <c r="M434">
        <v>1798</v>
      </c>
      <c r="N434">
        <v>1258.5999999999999</v>
      </c>
      <c r="O434" t="s">
        <v>15</v>
      </c>
    </row>
    <row r="435" spans="1:15" x14ac:dyDescent="0.25">
      <c r="A435">
        <v>1738</v>
      </c>
      <c r="B435">
        <v>3506</v>
      </c>
      <c r="C435" t="s">
        <v>765</v>
      </c>
      <c r="D435" t="s">
        <v>423</v>
      </c>
      <c r="E435" t="s">
        <v>1205</v>
      </c>
      <c r="F435" s="1">
        <v>45458</v>
      </c>
      <c r="G435" s="34" t="str">
        <f t="shared" si="6"/>
        <v>Jun</v>
      </c>
      <c r="H435">
        <v>1</v>
      </c>
      <c r="I435" t="s">
        <v>1242</v>
      </c>
      <c r="J435" t="s">
        <v>1222</v>
      </c>
      <c r="K435">
        <v>0.1</v>
      </c>
      <c r="L435">
        <v>144.30000000000001</v>
      </c>
      <c r="M435">
        <v>1443</v>
      </c>
      <c r="N435">
        <v>1298.7</v>
      </c>
      <c r="O435" t="s">
        <v>13</v>
      </c>
    </row>
    <row r="436" spans="1:15" x14ac:dyDescent="0.25">
      <c r="A436">
        <v>2058</v>
      </c>
      <c r="B436">
        <v>3826</v>
      </c>
      <c r="C436" t="s">
        <v>1062</v>
      </c>
      <c r="D436" t="s">
        <v>1063</v>
      </c>
      <c r="E436" t="s">
        <v>1249</v>
      </c>
      <c r="F436" s="1">
        <v>45458</v>
      </c>
      <c r="G436" s="34" t="str">
        <f t="shared" si="6"/>
        <v>Jun</v>
      </c>
      <c r="H436">
        <v>3</v>
      </c>
      <c r="I436" t="s">
        <v>1242</v>
      </c>
      <c r="J436" t="s">
        <v>1218</v>
      </c>
      <c r="K436">
        <v>0.25</v>
      </c>
      <c r="L436">
        <v>126.75</v>
      </c>
      <c r="M436">
        <v>507</v>
      </c>
      <c r="N436">
        <v>380.25</v>
      </c>
      <c r="O436" t="s">
        <v>15</v>
      </c>
    </row>
    <row r="437" spans="1:15" x14ac:dyDescent="0.25">
      <c r="A437">
        <v>1532</v>
      </c>
      <c r="B437">
        <v>3299</v>
      </c>
      <c r="C437" t="s">
        <v>514</v>
      </c>
      <c r="D437" t="s">
        <v>174</v>
      </c>
      <c r="E437" t="s">
        <v>1248</v>
      </c>
      <c r="F437" s="1">
        <v>45459</v>
      </c>
      <c r="G437" s="34" t="str">
        <f t="shared" si="6"/>
        <v>Jun</v>
      </c>
      <c r="H437">
        <v>1</v>
      </c>
      <c r="I437" t="s">
        <v>14</v>
      </c>
      <c r="J437" t="s">
        <v>1220</v>
      </c>
      <c r="K437">
        <v>0.25</v>
      </c>
      <c r="L437">
        <v>163.5</v>
      </c>
      <c r="M437">
        <v>654</v>
      </c>
      <c r="N437">
        <v>490.5</v>
      </c>
      <c r="O437" t="s">
        <v>1200</v>
      </c>
    </row>
    <row r="438" spans="1:15" x14ac:dyDescent="0.25">
      <c r="A438">
        <v>1915</v>
      </c>
      <c r="B438">
        <v>3683</v>
      </c>
      <c r="C438" t="s">
        <v>942</v>
      </c>
      <c r="D438" t="s">
        <v>90</v>
      </c>
      <c r="E438" t="s">
        <v>1249</v>
      </c>
      <c r="F438" s="1">
        <v>45459</v>
      </c>
      <c r="G438" s="34" t="str">
        <f t="shared" si="6"/>
        <v>Jun</v>
      </c>
      <c r="H438">
        <v>1</v>
      </c>
      <c r="I438" t="s">
        <v>14</v>
      </c>
      <c r="J438" t="s">
        <v>1222</v>
      </c>
      <c r="K438">
        <v>0.25</v>
      </c>
      <c r="L438">
        <v>180</v>
      </c>
      <c r="M438">
        <v>720</v>
      </c>
      <c r="N438">
        <v>540</v>
      </c>
      <c r="O438" t="s">
        <v>15</v>
      </c>
    </row>
    <row r="439" spans="1:15" x14ac:dyDescent="0.25">
      <c r="A439">
        <v>1578</v>
      </c>
      <c r="B439">
        <v>3345</v>
      </c>
      <c r="C439" t="s">
        <v>353</v>
      </c>
      <c r="D439" t="s">
        <v>577</v>
      </c>
      <c r="E439" t="s">
        <v>1208</v>
      </c>
      <c r="F439" s="1">
        <v>45460</v>
      </c>
      <c r="G439" s="34" t="str">
        <f t="shared" si="6"/>
        <v>Jun</v>
      </c>
      <c r="H439">
        <v>1</v>
      </c>
      <c r="I439" t="s">
        <v>18</v>
      </c>
      <c r="J439" t="s">
        <v>1224</v>
      </c>
      <c r="K439">
        <v>0.3</v>
      </c>
      <c r="L439">
        <v>30.9</v>
      </c>
      <c r="M439">
        <v>103</v>
      </c>
      <c r="N439">
        <v>72.099999999999994</v>
      </c>
      <c r="O439" t="s">
        <v>16</v>
      </c>
    </row>
    <row r="440" spans="1:15" x14ac:dyDescent="0.25">
      <c r="A440">
        <v>1586</v>
      </c>
      <c r="B440">
        <v>3353</v>
      </c>
      <c r="C440" t="s">
        <v>398</v>
      </c>
      <c r="D440" t="s">
        <v>98</v>
      </c>
      <c r="E440" t="s">
        <v>1208</v>
      </c>
      <c r="F440" s="1">
        <v>45460</v>
      </c>
      <c r="G440" s="34" t="str">
        <f t="shared" si="6"/>
        <v>Jun</v>
      </c>
      <c r="H440">
        <v>3</v>
      </c>
      <c r="I440" t="s">
        <v>18</v>
      </c>
      <c r="J440" t="s">
        <v>1216</v>
      </c>
      <c r="K440">
        <v>0.3</v>
      </c>
      <c r="L440">
        <v>491.7</v>
      </c>
      <c r="M440">
        <v>1639</v>
      </c>
      <c r="N440">
        <v>1147.3</v>
      </c>
      <c r="O440" t="s">
        <v>16</v>
      </c>
    </row>
    <row r="441" spans="1:15" x14ac:dyDescent="0.25">
      <c r="A441">
        <v>2134</v>
      </c>
      <c r="B441">
        <v>3903</v>
      </c>
      <c r="C441" t="s">
        <v>1133</v>
      </c>
      <c r="D441" t="s">
        <v>1134</v>
      </c>
      <c r="E441" t="s">
        <v>1248</v>
      </c>
      <c r="F441" s="1">
        <v>45460</v>
      </c>
      <c r="G441" s="34" t="str">
        <f t="shared" si="6"/>
        <v>Jun</v>
      </c>
      <c r="H441">
        <v>1</v>
      </c>
      <c r="I441" t="s">
        <v>1242</v>
      </c>
      <c r="J441" t="s">
        <v>1214</v>
      </c>
      <c r="K441">
        <v>0.25</v>
      </c>
      <c r="L441">
        <v>49.5</v>
      </c>
      <c r="M441">
        <v>198</v>
      </c>
      <c r="N441">
        <v>148.5</v>
      </c>
      <c r="O441" t="s">
        <v>19</v>
      </c>
    </row>
    <row r="442" spans="1:15" x14ac:dyDescent="0.25">
      <c r="A442">
        <v>2181</v>
      </c>
      <c r="B442">
        <v>3950</v>
      </c>
      <c r="C442" t="s">
        <v>1167</v>
      </c>
      <c r="D442" t="s">
        <v>1168</v>
      </c>
      <c r="E442" t="s">
        <v>1249</v>
      </c>
      <c r="F442" s="1">
        <v>45461</v>
      </c>
      <c r="G442" s="34" t="str">
        <f t="shared" si="6"/>
        <v>Jun</v>
      </c>
      <c r="H442">
        <v>2</v>
      </c>
      <c r="I442" t="s">
        <v>1243</v>
      </c>
      <c r="J442" t="s">
        <v>1218</v>
      </c>
      <c r="K442">
        <v>0.25</v>
      </c>
      <c r="L442">
        <v>65.75</v>
      </c>
      <c r="M442">
        <v>263</v>
      </c>
      <c r="N442">
        <v>197.25</v>
      </c>
      <c r="O442" t="s">
        <v>16</v>
      </c>
    </row>
    <row r="443" spans="1:15" x14ac:dyDescent="0.25">
      <c r="A443">
        <v>1388</v>
      </c>
      <c r="B443">
        <v>3155</v>
      </c>
      <c r="C443" t="s">
        <v>303</v>
      </c>
      <c r="D443" t="s">
        <v>304</v>
      </c>
      <c r="E443" t="s">
        <v>1248</v>
      </c>
      <c r="F443" s="1">
        <v>45462</v>
      </c>
      <c r="G443" s="34" t="str">
        <f t="shared" si="6"/>
        <v>Jun</v>
      </c>
      <c r="H443">
        <v>3</v>
      </c>
      <c r="I443" t="s">
        <v>18</v>
      </c>
      <c r="J443" t="s">
        <v>1233</v>
      </c>
      <c r="K443">
        <v>0.25</v>
      </c>
      <c r="L443">
        <v>457.25</v>
      </c>
      <c r="M443">
        <v>1829</v>
      </c>
      <c r="N443">
        <v>1371.75</v>
      </c>
      <c r="O443" t="s">
        <v>15</v>
      </c>
    </row>
    <row r="444" spans="1:15" x14ac:dyDescent="0.25">
      <c r="A444">
        <v>1399</v>
      </c>
      <c r="B444">
        <v>3166</v>
      </c>
      <c r="C444" t="s">
        <v>318</v>
      </c>
      <c r="D444" t="s">
        <v>319</v>
      </c>
      <c r="E444" t="s">
        <v>1205</v>
      </c>
      <c r="F444" s="1">
        <v>45462</v>
      </c>
      <c r="G444" s="34" t="str">
        <f t="shared" si="6"/>
        <v>Jun</v>
      </c>
      <c r="H444">
        <v>2</v>
      </c>
      <c r="I444" t="s">
        <v>14</v>
      </c>
      <c r="J444" t="s">
        <v>1214</v>
      </c>
      <c r="K444">
        <v>0.1</v>
      </c>
      <c r="L444">
        <v>49.2</v>
      </c>
      <c r="M444">
        <v>492</v>
      </c>
      <c r="N444">
        <v>442.8</v>
      </c>
      <c r="O444" t="s">
        <v>19</v>
      </c>
    </row>
    <row r="445" spans="1:15" x14ac:dyDescent="0.25">
      <c r="A445">
        <v>1430</v>
      </c>
      <c r="B445">
        <v>3197</v>
      </c>
      <c r="C445" t="s">
        <v>368</v>
      </c>
      <c r="D445" t="s">
        <v>369</v>
      </c>
      <c r="E445" t="s">
        <v>1249</v>
      </c>
      <c r="F445" s="1">
        <v>45462</v>
      </c>
      <c r="G445" s="34" t="str">
        <f t="shared" si="6"/>
        <v>Jun</v>
      </c>
      <c r="H445">
        <v>1</v>
      </c>
      <c r="I445" t="s">
        <v>14</v>
      </c>
      <c r="J445" t="s">
        <v>1218</v>
      </c>
      <c r="K445">
        <v>0.25</v>
      </c>
      <c r="L445">
        <v>323.25</v>
      </c>
      <c r="M445">
        <v>1293</v>
      </c>
      <c r="N445">
        <v>969.75</v>
      </c>
      <c r="O445" t="s">
        <v>1200</v>
      </c>
    </row>
    <row r="446" spans="1:15" x14ac:dyDescent="0.25">
      <c r="A446">
        <v>1432</v>
      </c>
      <c r="B446">
        <v>3199</v>
      </c>
      <c r="C446" t="s">
        <v>284</v>
      </c>
      <c r="D446" t="s">
        <v>372</v>
      </c>
      <c r="E446" t="s">
        <v>1249</v>
      </c>
      <c r="F446" s="1">
        <v>45462</v>
      </c>
      <c r="G446" s="34" t="str">
        <f t="shared" si="6"/>
        <v>Jun</v>
      </c>
      <c r="H446">
        <v>3</v>
      </c>
      <c r="I446" t="s">
        <v>1242</v>
      </c>
      <c r="J446" t="s">
        <v>1214</v>
      </c>
      <c r="K446">
        <v>0.25</v>
      </c>
      <c r="L446">
        <v>354.5</v>
      </c>
      <c r="M446">
        <v>1418</v>
      </c>
      <c r="N446">
        <v>1063.5</v>
      </c>
      <c r="O446" t="s">
        <v>13</v>
      </c>
    </row>
    <row r="447" spans="1:15" x14ac:dyDescent="0.25">
      <c r="A447">
        <v>1688</v>
      </c>
      <c r="B447">
        <v>3456</v>
      </c>
      <c r="C447" t="s">
        <v>708</v>
      </c>
      <c r="D447" t="s">
        <v>377</v>
      </c>
      <c r="E447" t="s">
        <v>1207</v>
      </c>
      <c r="F447" s="1">
        <v>45462</v>
      </c>
      <c r="G447" s="34" t="str">
        <f t="shared" si="6"/>
        <v>Jun</v>
      </c>
      <c r="H447">
        <v>2</v>
      </c>
      <c r="I447" t="s">
        <v>14</v>
      </c>
      <c r="J447" t="s">
        <v>1233</v>
      </c>
      <c r="K447">
        <v>0.2</v>
      </c>
      <c r="L447">
        <v>152.80000000000001</v>
      </c>
      <c r="M447">
        <v>764</v>
      </c>
      <c r="N447">
        <v>611.20000000000005</v>
      </c>
      <c r="O447" t="s">
        <v>16</v>
      </c>
    </row>
    <row r="448" spans="1:15" x14ac:dyDescent="0.25">
      <c r="A448">
        <v>2079</v>
      </c>
      <c r="B448">
        <v>3847</v>
      </c>
      <c r="C448" t="s">
        <v>1081</v>
      </c>
      <c r="D448" t="s">
        <v>682</v>
      </c>
      <c r="E448" t="s">
        <v>1203</v>
      </c>
      <c r="F448" s="1">
        <v>45462</v>
      </c>
      <c r="G448" s="34" t="str">
        <f t="shared" si="6"/>
        <v>Jun</v>
      </c>
      <c r="H448">
        <v>3</v>
      </c>
      <c r="I448" t="s">
        <v>1243</v>
      </c>
      <c r="J448" t="s">
        <v>1224</v>
      </c>
      <c r="K448">
        <v>0.3</v>
      </c>
      <c r="L448">
        <v>216</v>
      </c>
      <c r="M448">
        <v>720</v>
      </c>
      <c r="N448">
        <v>504</v>
      </c>
      <c r="O448" t="s">
        <v>19</v>
      </c>
    </row>
    <row r="449" spans="1:15" x14ac:dyDescent="0.25">
      <c r="A449">
        <v>1777</v>
      </c>
      <c r="B449">
        <v>3545</v>
      </c>
      <c r="C449" t="s">
        <v>530</v>
      </c>
      <c r="D449" t="s">
        <v>359</v>
      </c>
      <c r="E449" t="s">
        <v>1203</v>
      </c>
      <c r="F449" s="1">
        <v>45463</v>
      </c>
      <c r="G449" s="34" t="str">
        <f t="shared" si="6"/>
        <v>Jun</v>
      </c>
      <c r="H449">
        <v>3</v>
      </c>
      <c r="I449" t="s">
        <v>1243</v>
      </c>
      <c r="J449" t="s">
        <v>1218</v>
      </c>
      <c r="K449">
        <v>0.3</v>
      </c>
      <c r="L449">
        <v>331.8</v>
      </c>
      <c r="M449">
        <v>1106</v>
      </c>
      <c r="N449">
        <v>774.2</v>
      </c>
      <c r="O449" t="s">
        <v>1200</v>
      </c>
    </row>
    <row r="450" spans="1:15" x14ac:dyDescent="0.25">
      <c r="A450">
        <v>1933</v>
      </c>
      <c r="B450">
        <v>3701</v>
      </c>
      <c r="C450" t="s">
        <v>398</v>
      </c>
      <c r="D450" t="s">
        <v>893</v>
      </c>
      <c r="E450" t="s">
        <v>1207</v>
      </c>
      <c r="F450" s="1">
        <v>45463</v>
      </c>
      <c r="G450" s="34" t="str">
        <f t="shared" ref="G450:G513" si="7">TEXT(F450, "MMM")</f>
        <v>Jun</v>
      </c>
      <c r="H450">
        <v>1</v>
      </c>
      <c r="I450" t="s">
        <v>14</v>
      </c>
      <c r="J450" t="s">
        <v>1233</v>
      </c>
      <c r="K450">
        <v>0.2</v>
      </c>
      <c r="L450">
        <v>332</v>
      </c>
      <c r="M450">
        <v>1660</v>
      </c>
      <c r="N450">
        <v>1328</v>
      </c>
      <c r="O450" t="s">
        <v>1200</v>
      </c>
    </row>
    <row r="451" spans="1:15" x14ac:dyDescent="0.25">
      <c r="A451">
        <v>2167</v>
      </c>
      <c r="B451">
        <v>3936</v>
      </c>
      <c r="C451" t="s">
        <v>135</v>
      </c>
      <c r="D451" t="s">
        <v>1159</v>
      </c>
      <c r="E451" t="s">
        <v>1203</v>
      </c>
      <c r="F451" s="1">
        <v>45463</v>
      </c>
      <c r="G451" s="34" t="str">
        <f t="shared" si="7"/>
        <v>Jun</v>
      </c>
      <c r="H451">
        <v>3</v>
      </c>
      <c r="I451" t="s">
        <v>1242</v>
      </c>
      <c r="J451" t="s">
        <v>1233</v>
      </c>
      <c r="K451">
        <v>0.3</v>
      </c>
      <c r="L451">
        <v>366.3</v>
      </c>
      <c r="M451">
        <v>1221</v>
      </c>
      <c r="N451">
        <v>854.7</v>
      </c>
      <c r="O451" t="s">
        <v>16</v>
      </c>
    </row>
    <row r="452" spans="1:15" x14ac:dyDescent="0.25">
      <c r="A452">
        <v>1504</v>
      </c>
      <c r="B452">
        <v>3271</v>
      </c>
      <c r="C452" t="s">
        <v>482</v>
      </c>
      <c r="D452" t="s">
        <v>280</v>
      </c>
      <c r="E452" t="s">
        <v>1249</v>
      </c>
      <c r="F452" s="1">
        <v>45464</v>
      </c>
      <c r="G452" s="34" t="str">
        <f t="shared" si="7"/>
        <v>Jun</v>
      </c>
      <c r="H452">
        <v>1</v>
      </c>
      <c r="I452" t="s">
        <v>14</v>
      </c>
      <c r="J452" t="s">
        <v>1228</v>
      </c>
      <c r="K452">
        <v>0.25</v>
      </c>
      <c r="L452">
        <v>70</v>
      </c>
      <c r="M452">
        <v>280</v>
      </c>
      <c r="N452">
        <v>210</v>
      </c>
      <c r="O452" t="s">
        <v>15</v>
      </c>
    </row>
    <row r="453" spans="1:15" x14ac:dyDescent="0.25">
      <c r="A453">
        <v>1575</v>
      </c>
      <c r="B453">
        <v>3342</v>
      </c>
      <c r="C453" t="s">
        <v>420</v>
      </c>
      <c r="D453" t="s">
        <v>572</v>
      </c>
      <c r="E453" t="s">
        <v>1208</v>
      </c>
      <c r="F453" s="1">
        <v>45464</v>
      </c>
      <c r="G453" s="34" t="str">
        <f t="shared" si="7"/>
        <v>Jun</v>
      </c>
      <c r="H453">
        <v>1</v>
      </c>
      <c r="I453" t="s">
        <v>14</v>
      </c>
      <c r="J453" t="s">
        <v>1216</v>
      </c>
      <c r="K453">
        <v>0.3</v>
      </c>
      <c r="L453">
        <v>168.9</v>
      </c>
      <c r="M453">
        <v>563</v>
      </c>
      <c r="N453">
        <v>394.1</v>
      </c>
      <c r="O453" t="s">
        <v>16</v>
      </c>
    </row>
    <row r="454" spans="1:15" x14ac:dyDescent="0.25">
      <c r="A454">
        <v>1596</v>
      </c>
      <c r="B454">
        <v>3363</v>
      </c>
      <c r="C454" t="s">
        <v>324</v>
      </c>
      <c r="D454" t="s">
        <v>503</v>
      </c>
      <c r="E454" t="s">
        <v>1203</v>
      </c>
      <c r="F454" s="1">
        <v>45464</v>
      </c>
      <c r="G454" s="34" t="str">
        <f t="shared" si="7"/>
        <v>Jun</v>
      </c>
      <c r="H454">
        <v>2</v>
      </c>
      <c r="I454" t="s">
        <v>18</v>
      </c>
      <c r="J454" t="s">
        <v>1233</v>
      </c>
      <c r="K454">
        <v>0.3</v>
      </c>
      <c r="L454">
        <v>208.8</v>
      </c>
      <c r="M454">
        <v>696</v>
      </c>
      <c r="N454">
        <v>487.2</v>
      </c>
      <c r="O454" t="s">
        <v>16</v>
      </c>
    </row>
    <row r="455" spans="1:15" x14ac:dyDescent="0.25">
      <c r="A455">
        <v>2130</v>
      </c>
      <c r="B455">
        <v>3899</v>
      </c>
      <c r="C455" t="s">
        <v>1128</v>
      </c>
      <c r="D455" t="s">
        <v>423</v>
      </c>
      <c r="E455" t="s">
        <v>1249</v>
      </c>
      <c r="F455" s="1">
        <v>45465</v>
      </c>
      <c r="G455" s="34" t="str">
        <f t="shared" si="7"/>
        <v>Jun</v>
      </c>
      <c r="H455">
        <v>1</v>
      </c>
      <c r="I455" t="s">
        <v>18</v>
      </c>
      <c r="J455" t="s">
        <v>1222</v>
      </c>
      <c r="K455">
        <v>0.25</v>
      </c>
      <c r="L455">
        <v>300</v>
      </c>
      <c r="M455">
        <v>1200</v>
      </c>
      <c r="N455">
        <v>900</v>
      </c>
      <c r="O455" t="s">
        <v>1200</v>
      </c>
    </row>
    <row r="456" spans="1:15" x14ac:dyDescent="0.25">
      <c r="A456">
        <v>2182</v>
      </c>
      <c r="B456">
        <v>3951</v>
      </c>
      <c r="C456" t="s">
        <v>848</v>
      </c>
      <c r="D456" t="s">
        <v>716</v>
      </c>
      <c r="E456" t="s">
        <v>1205</v>
      </c>
      <c r="F456" s="1">
        <v>45465</v>
      </c>
      <c r="G456" s="34" t="str">
        <f t="shared" si="7"/>
        <v>Jun</v>
      </c>
      <c r="H456">
        <v>1</v>
      </c>
      <c r="I456" t="s">
        <v>1242</v>
      </c>
      <c r="J456" t="s">
        <v>1218</v>
      </c>
      <c r="K456">
        <v>0.1</v>
      </c>
      <c r="L456">
        <v>100.9</v>
      </c>
      <c r="M456">
        <v>1009</v>
      </c>
      <c r="N456">
        <v>908.1</v>
      </c>
      <c r="O456" t="s">
        <v>13</v>
      </c>
    </row>
    <row r="457" spans="1:15" x14ac:dyDescent="0.25">
      <c r="A457">
        <v>1372</v>
      </c>
      <c r="B457">
        <v>3139</v>
      </c>
      <c r="C457" t="s">
        <v>277</v>
      </c>
      <c r="D457" t="s">
        <v>278</v>
      </c>
      <c r="E457" t="s">
        <v>1208</v>
      </c>
      <c r="F457" s="1">
        <v>45466</v>
      </c>
      <c r="G457" s="34" t="str">
        <f t="shared" si="7"/>
        <v>Jun</v>
      </c>
      <c r="H457">
        <v>1</v>
      </c>
      <c r="I457" t="s">
        <v>14</v>
      </c>
      <c r="J457" t="s">
        <v>1233</v>
      </c>
      <c r="K457">
        <v>0.3</v>
      </c>
      <c r="L457">
        <v>179.4</v>
      </c>
      <c r="M457">
        <v>598</v>
      </c>
      <c r="N457">
        <v>418.6</v>
      </c>
      <c r="O457" t="s">
        <v>16</v>
      </c>
    </row>
    <row r="458" spans="1:15" x14ac:dyDescent="0.25">
      <c r="A458">
        <v>1942</v>
      </c>
      <c r="B458">
        <v>3710</v>
      </c>
      <c r="C458" t="s">
        <v>973</v>
      </c>
      <c r="D458" t="s">
        <v>47</v>
      </c>
      <c r="E458" t="s">
        <v>1249</v>
      </c>
      <c r="F458" s="1">
        <v>45466</v>
      </c>
      <c r="G458" s="34" t="str">
        <f t="shared" si="7"/>
        <v>Jun</v>
      </c>
      <c r="H458">
        <v>1</v>
      </c>
      <c r="I458" t="s">
        <v>14</v>
      </c>
      <c r="J458" t="s">
        <v>1220</v>
      </c>
      <c r="K458">
        <v>0.25</v>
      </c>
      <c r="L458">
        <v>164</v>
      </c>
      <c r="M458">
        <v>656</v>
      </c>
      <c r="N458">
        <v>492</v>
      </c>
      <c r="O458" t="s">
        <v>13</v>
      </c>
    </row>
    <row r="459" spans="1:15" x14ac:dyDescent="0.25">
      <c r="A459">
        <v>1495</v>
      </c>
      <c r="B459">
        <v>3262</v>
      </c>
      <c r="C459" t="s">
        <v>182</v>
      </c>
      <c r="D459" t="s">
        <v>16</v>
      </c>
      <c r="E459" t="s">
        <v>1205</v>
      </c>
      <c r="F459" s="1">
        <v>45467</v>
      </c>
      <c r="G459" s="34" t="str">
        <f t="shared" si="7"/>
        <v>Jun</v>
      </c>
      <c r="H459">
        <v>3</v>
      </c>
      <c r="I459" t="s">
        <v>1242</v>
      </c>
      <c r="J459" t="s">
        <v>1218</v>
      </c>
      <c r="K459">
        <v>0.1</v>
      </c>
      <c r="L459">
        <v>151.19999999999999</v>
      </c>
      <c r="M459">
        <v>1512</v>
      </c>
      <c r="N459">
        <v>1360.8</v>
      </c>
      <c r="O459" t="s">
        <v>1200</v>
      </c>
    </row>
    <row r="460" spans="1:15" x14ac:dyDescent="0.25">
      <c r="A460">
        <v>2229</v>
      </c>
      <c r="B460">
        <v>3998</v>
      </c>
      <c r="C460" t="s">
        <v>1198</v>
      </c>
      <c r="D460" t="s">
        <v>523</v>
      </c>
      <c r="E460" t="s">
        <v>1249</v>
      </c>
      <c r="F460" s="1">
        <v>45467</v>
      </c>
      <c r="G460" s="34" t="str">
        <f t="shared" si="7"/>
        <v>Jun</v>
      </c>
      <c r="H460">
        <v>3</v>
      </c>
      <c r="I460" t="s">
        <v>1242</v>
      </c>
      <c r="J460" t="s">
        <v>1214</v>
      </c>
      <c r="K460">
        <v>0.25</v>
      </c>
      <c r="L460">
        <v>264.75</v>
      </c>
      <c r="M460">
        <v>1059</v>
      </c>
      <c r="N460">
        <v>794.25</v>
      </c>
      <c r="O460" t="s">
        <v>13</v>
      </c>
    </row>
    <row r="461" spans="1:15" x14ac:dyDescent="0.25">
      <c r="A461">
        <v>1468</v>
      </c>
      <c r="B461">
        <v>3235</v>
      </c>
      <c r="C461" t="s">
        <v>118</v>
      </c>
      <c r="D461" t="s">
        <v>77</v>
      </c>
      <c r="E461" t="s">
        <v>1205</v>
      </c>
      <c r="F461" s="1">
        <v>45468</v>
      </c>
      <c r="G461" s="34" t="str">
        <f t="shared" si="7"/>
        <v>Jun</v>
      </c>
      <c r="H461">
        <v>1</v>
      </c>
      <c r="I461" t="s">
        <v>14</v>
      </c>
      <c r="J461" t="s">
        <v>1228</v>
      </c>
      <c r="K461">
        <v>0.1</v>
      </c>
      <c r="L461">
        <v>76.5</v>
      </c>
      <c r="M461">
        <v>765</v>
      </c>
      <c r="N461">
        <v>688.5</v>
      </c>
      <c r="O461" t="s">
        <v>16</v>
      </c>
    </row>
    <row r="462" spans="1:15" x14ac:dyDescent="0.25">
      <c r="A462">
        <v>1674</v>
      </c>
      <c r="B462">
        <v>3442</v>
      </c>
      <c r="C462" t="s">
        <v>689</v>
      </c>
      <c r="D462" t="s">
        <v>690</v>
      </c>
      <c r="E462" t="s">
        <v>1205</v>
      </c>
      <c r="F462" s="1">
        <v>45468</v>
      </c>
      <c r="G462" s="34" t="str">
        <f t="shared" si="7"/>
        <v>Jun</v>
      </c>
      <c r="H462">
        <v>2</v>
      </c>
      <c r="I462" t="s">
        <v>1242</v>
      </c>
      <c r="J462" t="s">
        <v>1220</v>
      </c>
      <c r="K462">
        <v>0.1</v>
      </c>
      <c r="L462">
        <v>78.599999999999994</v>
      </c>
      <c r="M462">
        <v>786</v>
      </c>
      <c r="N462">
        <v>707.4</v>
      </c>
      <c r="O462" t="s">
        <v>1200</v>
      </c>
    </row>
    <row r="463" spans="1:15" x14ac:dyDescent="0.25">
      <c r="A463">
        <v>1681</v>
      </c>
      <c r="B463">
        <v>3449</v>
      </c>
      <c r="C463" t="s">
        <v>699</v>
      </c>
      <c r="D463" t="s">
        <v>700</v>
      </c>
      <c r="E463" t="s">
        <v>1248</v>
      </c>
      <c r="F463" s="1">
        <v>45468</v>
      </c>
      <c r="G463" s="34" t="str">
        <f t="shared" si="7"/>
        <v>Jun</v>
      </c>
      <c r="H463">
        <v>1</v>
      </c>
      <c r="I463" t="s">
        <v>18</v>
      </c>
      <c r="J463" t="s">
        <v>1222</v>
      </c>
      <c r="K463">
        <v>0.25</v>
      </c>
      <c r="L463">
        <v>411.5</v>
      </c>
      <c r="M463">
        <v>1646</v>
      </c>
      <c r="N463">
        <v>1234.5</v>
      </c>
      <c r="O463" t="s">
        <v>13</v>
      </c>
    </row>
    <row r="464" spans="1:15" x14ac:dyDescent="0.25">
      <c r="A464">
        <v>1841</v>
      </c>
      <c r="B464">
        <v>3609</v>
      </c>
      <c r="C464" t="s">
        <v>624</v>
      </c>
      <c r="D464" t="s">
        <v>680</v>
      </c>
      <c r="E464" t="s">
        <v>1249</v>
      </c>
      <c r="F464" s="1">
        <v>45468</v>
      </c>
      <c r="G464" s="34" t="str">
        <f t="shared" si="7"/>
        <v>Jun</v>
      </c>
      <c r="H464">
        <v>3</v>
      </c>
      <c r="I464" t="s">
        <v>14</v>
      </c>
      <c r="J464" t="s">
        <v>1233</v>
      </c>
      <c r="K464">
        <v>0.25</v>
      </c>
      <c r="L464">
        <v>27</v>
      </c>
      <c r="M464">
        <v>108</v>
      </c>
      <c r="N464">
        <v>81</v>
      </c>
      <c r="O464" t="s">
        <v>1200</v>
      </c>
    </row>
    <row r="465" spans="1:15" x14ac:dyDescent="0.25">
      <c r="A465">
        <v>1237</v>
      </c>
      <c r="B465">
        <v>3004</v>
      </c>
      <c r="C465" t="s">
        <v>32</v>
      </c>
      <c r="D465" t="s">
        <v>33</v>
      </c>
      <c r="E465" t="s">
        <v>1248</v>
      </c>
      <c r="F465" s="1">
        <v>45469</v>
      </c>
      <c r="G465" s="34" t="str">
        <f t="shared" si="7"/>
        <v>Jun</v>
      </c>
      <c r="H465">
        <v>2</v>
      </c>
      <c r="I465" t="s">
        <v>14</v>
      </c>
      <c r="J465" t="s">
        <v>1220</v>
      </c>
      <c r="K465">
        <v>0.25</v>
      </c>
      <c r="L465">
        <v>56.75</v>
      </c>
      <c r="M465">
        <v>227</v>
      </c>
      <c r="N465">
        <v>170.25</v>
      </c>
      <c r="O465" t="s">
        <v>13</v>
      </c>
    </row>
    <row r="466" spans="1:15" x14ac:dyDescent="0.25">
      <c r="A466">
        <v>1359</v>
      </c>
      <c r="B466">
        <v>3126</v>
      </c>
      <c r="C466" t="s">
        <v>254</v>
      </c>
      <c r="D466" t="s">
        <v>255</v>
      </c>
      <c r="E466" t="s">
        <v>1249</v>
      </c>
      <c r="F466" s="1">
        <v>45469</v>
      </c>
      <c r="G466" s="34" t="str">
        <f t="shared" si="7"/>
        <v>Jun</v>
      </c>
      <c r="H466">
        <v>2</v>
      </c>
      <c r="I466" t="s">
        <v>1242</v>
      </c>
      <c r="J466" t="s">
        <v>1228</v>
      </c>
      <c r="K466">
        <v>0.25</v>
      </c>
      <c r="L466">
        <v>103.25</v>
      </c>
      <c r="M466">
        <v>413</v>
      </c>
      <c r="N466">
        <v>309.75</v>
      </c>
      <c r="O466" t="s">
        <v>19</v>
      </c>
    </row>
    <row r="467" spans="1:15" x14ac:dyDescent="0.25">
      <c r="A467">
        <v>1457</v>
      </c>
      <c r="B467">
        <v>3224</v>
      </c>
      <c r="C467" t="s">
        <v>412</v>
      </c>
      <c r="D467" t="s">
        <v>413</v>
      </c>
      <c r="E467" t="s">
        <v>1249</v>
      </c>
      <c r="F467" s="1">
        <v>45469</v>
      </c>
      <c r="G467" s="34" t="str">
        <f t="shared" si="7"/>
        <v>Jun</v>
      </c>
      <c r="H467">
        <v>3</v>
      </c>
      <c r="I467" t="s">
        <v>1243</v>
      </c>
      <c r="J467" t="s">
        <v>1222</v>
      </c>
      <c r="K467">
        <v>0.25</v>
      </c>
      <c r="L467">
        <v>363.25</v>
      </c>
      <c r="M467">
        <v>1453</v>
      </c>
      <c r="N467">
        <v>1089.75</v>
      </c>
      <c r="O467" t="s">
        <v>1200</v>
      </c>
    </row>
    <row r="468" spans="1:15" x14ac:dyDescent="0.25">
      <c r="A468">
        <v>1676</v>
      </c>
      <c r="B468">
        <v>3444</v>
      </c>
      <c r="C468" t="s">
        <v>693</v>
      </c>
      <c r="D468" t="s">
        <v>694</v>
      </c>
      <c r="E468" t="s">
        <v>1208</v>
      </c>
      <c r="F468" s="1">
        <v>45469</v>
      </c>
      <c r="G468" s="34" t="str">
        <f t="shared" si="7"/>
        <v>Jun</v>
      </c>
      <c r="H468">
        <v>3</v>
      </c>
      <c r="I468" t="s">
        <v>1242</v>
      </c>
      <c r="J468" t="s">
        <v>1220</v>
      </c>
      <c r="K468">
        <v>0.3</v>
      </c>
      <c r="L468">
        <v>53.7</v>
      </c>
      <c r="M468">
        <v>179</v>
      </c>
      <c r="N468">
        <v>125.3</v>
      </c>
      <c r="O468" t="s">
        <v>13</v>
      </c>
    </row>
    <row r="469" spans="1:15" x14ac:dyDescent="0.25">
      <c r="A469">
        <v>1772</v>
      </c>
      <c r="B469">
        <v>3540</v>
      </c>
      <c r="C469" t="s">
        <v>72</v>
      </c>
      <c r="D469" t="s">
        <v>102</v>
      </c>
      <c r="E469" t="s">
        <v>1205</v>
      </c>
      <c r="F469" s="1">
        <v>45469</v>
      </c>
      <c r="G469" s="34" t="str">
        <f t="shared" si="7"/>
        <v>Jun</v>
      </c>
      <c r="H469">
        <v>1</v>
      </c>
      <c r="I469" t="s">
        <v>1242</v>
      </c>
      <c r="J469" t="s">
        <v>1233</v>
      </c>
      <c r="K469">
        <v>0.1</v>
      </c>
      <c r="L469">
        <v>19.899999999999999</v>
      </c>
      <c r="M469">
        <v>199</v>
      </c>
      <c r="N469">
        <v>179.1</v>
      </c>
      <c r="O469" t="s">
        <v>13</v>
      </c>
    </row>
    <row r="470" spans="1:15" x14ac:dyDescent="0.25">
      <c r="A470">
        <v>1884</v>
      </c>
      <c r="B470">
        <v>3652</v>
      </c>
      <c r="C470" t="s">
        <v>298</v>
      </c>
      <c r="D470" t="s">
        <v>849</v>
      </c>
      <c r="E470" t="s">
        <v>1208</v>
      </c>
      <c r="F470" s="1">
        <v>45470</v>
      </c>
      <c r="G470" s="34" t="str">
        <f t="shared" si="7"/>
        <v>Jun</v>
      </c>
      <c r="H470">
        <v>3</v>
      </c>
      <c r="I470" t="s">
        <v>1242</v>
      </c>
      <c r="J470" t="s">
        <v>1220</v>
      </c>
      <c r="K470">
        <v>0.3</v>
      </c>
      <c r="L470">
        <v>445.5</v>
      </c>
      <c r="M470">
        <v>1485</v>
      </c>
      <c r="N470">
        <v>1039.5</v>
      </c>
      <c r="O470" t="s">
        <v>16</v>
      </c>
    </row>
    <row r="471" spans="1:15" x14ac:dyDescent="0.25">
      <c r="A471">
        <v>2018</v>
      </c>
      <c r="B471">
        <v>3786</v>
      </c>
      <c r="C471" t="s">
        <v>534</v>
      </c>
      <c r="D471" t="s">
        <v>1026</v>
      </c>
      <c r="E471" t="s">
        <v>1207</v>
      </c>
      <c r="F471" s="1">
        <v>45470</v>
      </c>
      <c r="G471" s="34" t="str">
        <f t="shared" si="7"/>
        <v>Jun</v>
      </c>
      <c r="H471">
        <v>3</v>
      </c>
      <c r="I471" t="s">
        <v>14</v>
      </c>
      <c r="J471" t="s">
        <v>1222</v>
      </c>
      <c r="K471">
        <v>0.2</v>
      </c>
      <c r="L471">
        <v>106</v>
      </c>
      <c r="M471">
        <v>530</v>
      </c>
      <c r="N471">
        <v>424</v>
      </c>
      <c r="O471" t="s">
        <v>19</v>
      </c>
    </row>
    <row r="472" spans="1:15" x14ac:dyDescent="0.25">
      <c r="A472">
        <v>2069</v>
      </c>
      <c r="B472">
        <v>3837</v>
      </c>
      <c r="C472" t="s">
        <v>691</v>
      </c>
      <c r="D472" t="s">
        <v>1073</v>
      </c>
      <c r="E472" t="s">
        <v>1249</v>
      </c>
      <c r="F472" s="1">
        <v>45470</v>
      </c>
      <c r="G472" s="34" t="str">
        <f t="shared" si="7"/>
        <v>Jun</v>
      </c>
      <c r="H472">
        <v>2</v>
      </c>
      <c r="I472" t="s">
        <v>1242</v>
      </c>
      <c r="J472" t="s">
        <v>1216</v>
      </c>
      <c r="K472">
        <v>0.25</v>
      </c>
      <c r="L472">
        <v>76.5</v>
      </c>
      <c r="M472">
        <v>306</v>
      </c>
      <c r="N472">
        <v>229.5</v>
      </c>
      <c r="O472" t="s">
        <v>16</v>
      </c>
    </row>
    <row r="473" spans="1:15" x14ac:dyDescent="0.25">
      <c r="A473">
        <v>1394</v>
      </c>
      <c r="B473">
        <v>3161</v>
      </c>
      <c r="C473" t="s">
        <v>311</v>
      </c>
      <c r="D473" t="s">
        <v>312</v>
      </c>
      <c r="E473" t="s">
        <v>1203</v>
      </c>
      <c r="F473" s="1">
        <v>45471</v>
      </c>
      <c r="G473" s="34" t="str">
        <f t="shared" si="7"/>
        <v>Jun</v>
      </c>
      <c r="H473">
        <v>1</v>
      </c>
      <c r="I473" t="s">
        <v>14</v>
      </c>
      <c r="J473" t="s">
        <v>1218</v>
      </c>
      <c r="K473">
        <v>0.3</v>
      </c>
      <c r="L473">
        <v>478.2</v>
      </c>
      <c r="M473">
        <v>1594</v>
      </c>
      <c r="N473">
        <v>1115.8</v>
      </c>
      <c r="O473" t="s">
        <v>19</v>
      </c>
    </row>
    <row r="474" spans="1:15" x14ac:dyDescent="0.25">
      <c r="A474">
        <v>1613</v>
      </c>
      <c r="B474">
        <v>3380</v>
      </c>
      <c r="C474" t="s">
        <v>575</v>
      </c>
      <c r="D474" t="s">
        <v>319</v>
      </c>
      <c r="E474" t="s">
        <v>1205</v>
      </c>
      <c r="F474" s="1">
        <v>45471</v>
      </c>
      <c r="G474" s="34" t="str">
        <f t="shared" si="7"/>
        <v>Jun</v>
      </c>
      <c r="H474">
        <v>1</v>
      </c>
      <c r="I474" t="s">
        <v>1242</v>
      </c>
      <c r="J474" t="s">
        <v>1228</v>
      </c>
      <c r="K474">
        <v>0.1</v>
      </c>
      <c r="L474">
        <v>80.2</v>
      </c>
      <c r="M474">
        <v>802</v>
      </c>
      <c r="N474">
        <v>721.8</v>
      </c>
      <c r="O474" t="s">
        <v>19</v>
      </c>
    </row>
    <row r="475" spans="1:15" x14ac:dyDescent="0.25">
      <c r="A475">
        <v>1814</v>
      </c>
      <c r="B475">
        <v>3582</v>
      </c>
      <c r="C475" t="s">
        <v>34</v>
      </c>
      <c r="D475" t="s">
        <v>112</v>
      </c>
      <c r="E475" t="s">
        <v>1207</v>
      </c>
      <c r="F475" s="1">
        <v>45471</v>
      </c>
      <c r="G475" s="34" t="str">
        <f t="shared" si="7"/>
        <v>Jun</v>
      </c>
      <c r="H475">
        <v>1</v>
      </c>
      <c r="I475" t="s">
        <v>1242</v>
      </c>
      <c r="J475" t="s">
        <v>1216</v>
      </c>
      <c r="K475">
        <v>0.2</v>
      </c>
      <c r="L475">
        <v>25.4</v>
      </c>
      <c r="M475">
        <v>127</v>
      </c>
      <c r="N475">
        <v>101.6</v>
      </c>
      <c r="O475" t="s">
        <v>16</v>
      </c>
    </row>
    <row r="476" spans="1:15" x14ac:dyDescent="0.25">
      <c r="A476">
        <v>1904</v>
      </c>
      <c r="B476">
        <v>3672</v>
      </c>
      <c r="C476" t="s">
        <v>257</v>
      </c>
      <c r="D476" t="s">
        <v>935</v>
      </c>
      <c r="E476" t="s">
        <v>1249</v>
      </c>
      <c r="F476" s="1">
        <v>45471</v>
      </c>
      <c r="G476" s="34" t="str">
        <f t="shared" si="7"/>
        <v>Jun</v>
      </c>
      <c r="H476">
        <v>3</v>
      </c>
      <c r="I476" t="s">
        <v>1242</v>
      </c>
      <c r="J476" t="s">
        <v>1220</v>
      </c>
      <c r="K476">
        <v>0.25</v>
      </c>
      <c r="L476">
        <v>53</v>
      </c>
      <c r="M476">
        <v>212</v>
      </c>
      <c r="N476">
        <v>159</v>
      </c>
      <c r="O476" t="s">
        <v>16</v>
      </c>
    </row>
    <row r="477" spans="1:15" x14ac:dyDescent="0.25">
      <c r="A477">
        <v>2143</v>
      </c>
      <c r="B477">
        <v>3912</v>
      </c>
      <c r="C477" t="s">
        <v>380</v>
      </c>
      <c r="D477" t="s">
        <v>300</v>
      </c>
      <c r="E477" t="s">
        <v>1248</v>
      </c>
      <c r="F477" s="1">
        <v>45472</v>
      </c>
      <c r="G477" s="34" t="str">
        <f t="shared" si="7"/>
        <v>Jun</v>
      </c>
      <c r="H477">
        <v>2</v>
      </c>
      <c r="I477" t="s">
        <v>14</v>
      </c>
      <c r="J477" t="s">
        <v>1222</v>
      </c>
      <c r="K477">
        <v>0.25</v>
      </c>
      <c r="L477">
        <v>208.5</v>
      </c>
      <c r="M477">
        <v>834</v>
      </c>
      <c r="N477">
        <v>625.5</v>
      </c>
      <c r="O477" t="s">
        <v>13</v>
      </c>
    </row>
    <row r="478" spans="1:15" x14ac:dyDescent="0.25">
      <c r="A478">
        <v>1248</v>
      </c>
      <c r="B478">
        <v>3015</v>
      </c>
      <c r="C478" t="s">
        <v>54</v>
      </c>
      <c r="D478" t="s">
        <v>55</v>
      </c>
      <c r="E478" t="s">
        <v>1205</v>
      </c>
      <c r="F478" s="1">
        <v>45473</v>
      </c>
      <c r="G478" s="34" t="str">
        <f t="shared" si="7"/>
        <v>Jun</v>
      </c>
      <c r="H478">
        <v>1</v>
      </c>
      <c r="I478" t="s">
        <v>1242</v>
      </c>
      <c r="J478" t="s">
        <v>1218</v>
      </c>
      <c r="K478">
        <v>0.1</v>
      </c>
      <c r="L478">
        <v>36.9</v>
      </c>
      <c r="M478">
        <v>369</v>
      </c>
      <c r="N478">
        <v>332.1</v>
      </c>
      <c r="O478" t="s">
        <v>13</v>
      </c>
    </row>
    <row r="479" spans="1:15" x14ac:dyDescent="0.25">
      <c r="A479">
        <v>1322</v>
      </c>
      <c r="B479">
        <v>3089</v>
      </c>
      <c r="C479" t="s">
        <v>192</v>
      </c>
      <c r="D479" t="s">
        <v>126</v>
      </c>
      <c r="E479" t="s">
        <v>1207</v>
      </c>
      <c r="F479" s="1">
        <v>45474</v>
      </c>
      <c r="G479" s="34" t="str">
        <f t="shared" si="7"/>
        <v>Jul</v>
      </c>
      <c r="H479">
        <v>2</v>
      </c>
      <c r="I479" t="s">
        <v>14</v>
      </c>
      <c r="J479" t="s">
        <v>1218</v>
      </c>
      <c r="K479">
        <v>0.2</v>
      </c>
      <c r="L479">
        <v>302.8</v>
      </c>
      <c r="M479">
        <v>1514</v>
      </c>
      <c r="N479">
        <v>1211.2</v>
      </c>
      <c r="O479" t="s">
        <v>19</v>
      </c>
    </row>
    <row r="480" spans="1:15" x14ac:dyDescent="0.25">
      <c r="A480">
        <v>1878</v>
      </c>
      <c r="B480">
        <v>3646</v>
      </c>
      <c r="C480" t="s">
        <v>376</v>
      </c>
      <c r="D480" t="s">
        <v>908</v>
      </c>
      <c r="E480" t="s">
        <v>1249</v>
      </c>
      <c r="F480" s="1">
        <v>45474</v>
      </c>
      <c r="G480" s="34" t="str">
        <f t="shared" si="7"/>
        <v>Jul</v>
      </c>
      <c r="H480">
        <v>3</v>
      </c>
      <c r="I480" t="s">
        <v>14</v>
      </c>
      <c r="J480" t="s">
        <v>1218</v>
      </c>
      <c r="K480">
        <v>0.25</v>
      </c>
      <c r="L480">
        <v>117.75</v>
      </c>
      <c r="M480">
        <v>471</v>
      </c>
      <c r="N480">
        <v>353.25</v>
      </c>
      <c r="O480" t="s">
        <v>16</v>
      </c>
    </row>
    <row r="481" spans="1:15" x14ac:dyDescent="0.25">
      <c r="A481">
        <v>2165</v>
      </c>
      <c r="B481">
        <v>3934</v>
      </c>
      <c r="C481" t="s">
        <v>1157</v>
      </c>
      <c r="D481" t="s">
        <v>340</v>
      </c>
      <c r="E481" t="s">
        <v>1205</v>
      </c>
      <c r="F481" s="1">
        <v>45474</v>
      </c>
      <c r="G481" s="34" t="str">
        <f t="shared" si="7"/>
        <v>Jul</v>
      </c>
      <c r="H481">
        <v>1</v>
      </c>
      <c r="I481" t="s">
        <v>18</v>
      </c>
      <c r="J481" t="s">
        <v>1224</v>
      </c>
      <c r="K481">
        <v>0.1</v>
      </c>
      <c r="L481">
        <v>90.6</v>
      </c>
      <c r="M481">
        <v>906</v>
      </c>
      <c r="N481">
        <v>815.4</v>
      </c>
      <c r="O481" t="s">
        <v>1200</v>
      </c>
    </row>
    <row r="482" spans="1:15" x14ac:dyDescent="0.25">
      <c r="A482">
        <v>1302</v>
      </c>
      <c r="B482">
        <v>3069</v>
      </c>
      <c r="C482" t="s">
        <v>156</v>
      </c>
      <c r="D482" t="s">
        <v>157</v>
      </c>
      <c r="E482" t="s">
        <v>1207</v>
      </c>
      <c r="F482" s="1">
        <v>45475</v>
      </c>
      <c r="G482" s="34" t="str">
        <f t="shared" si="7"/>
        <v>Jul</v>
      </c>
      <c r="H482">
        <v>1</v>
      </c>
      <c r="I482" t="s">
        <v>1242</v>
      </c>
      <c r="J482" t="s">
        <v>1228</v>
      </c>
      <c r="K482">
        <v>0.2</v>
      </c>
      <c r="L482">
        <v>281.2</v>
      </c>
      <c r="M482">
        <v>1406</v>
      </c>
      <c r="N482">
        <v>1124.8</v>
      </c>
      <c r="O482" t="s">
        <v>19</v>
      </c>
    </row>
    <row r="483" spans="1:15" x14ac:dyDescent="0.25">
      <c r="A483">
        <v>1800</v>
      </c>
      <c r="B483">
        <v>3568</v>
      </c>
      <c r="C483" t="s">
        <v>365</v>
      </c>
      <c r="D483" t="s">
        <v>127</v>
      </c>
      <c r="E483" t="s">
        <v>1249</v>
      </c>
      <c r="F483" s="1">
        <v>45475</v>
      </c>
      <c r="G483" s="34" t="str">
        <f t="shared" si="7"/>
        <v>Jul</v>
      </c>
      <c r="H483">
        <v>2</v>
      </c>
      <c r="I483" t="s">
        <v>14</v>
      </c>
      <c r="J483" t="s">
        <v>1216</v>
      </c>
      <c r="K483">
        <v>0.25</v>
      </c>
      <c r="L483">
        <v>419.25</v>
      </c>
      <c r="M483">
        <v>1677</v>
      </c>
      <c r="N483">
        <v>1257.75</v>
      </c>
      <c r="O483" t="s">
        <v>15</v>
      </c>
    </row>
    <row r="484" spans="1:15" x14ac:dyDescent="0.25">
      <c r="A484">
        <v>2024</v>
      </c>
      <c r="B484">
        <v>3792</v>
      </c>
      <c r="C484" t="s">
        <v>875</v>
      </c>
      <c r="D484" t="s">
        <v>806</v>
      </c>
      <c r="E484" t="s">
        <v>1249</v>
      </c>
      <c r="F484" s="1">
        <v>45475</v>
      </c>
      <c r="G484" s="34" t="str">
        <f t="shared" si="7"/>
        <v>Jul</v>
      </c>
      <c r="H484">
        <v>2</v>
      </c>
      <c r="I484" t="s">
        <v>18</v>
      </c>
      <c r="J484" t="s">
        <v>1228</v>
      </c>
      <c r="K484">
        <v>0.25</v>
      </c>
      <c r="L484">
        <v>245.25</v>
      </c>
      <c r="M484">
        <v>981</v>
      </c>
      <c r="N484">
        <v>735.75</v>
      </c>
      <c r="O484" t="s">
        <v>13</v>
      </c>
    </row>
    <row r="485" spans="1:15" x14ac:dyDescent="0.25">
      <c r="A485">
        <v>1416</v>
      </c>
      <c r="B485">
        <v>3183</v>
      </c>
      <c r="C485" t="s">
        <v>345</v>
      </c>
      <c r="D485" t="s">
        <v>346</v>
      </c>
      <c r="E485" t="s">
        <v>1249</v>
      </c>
      <c r="F485" s="1">
        <v>45476</v>
      </c>
      <c r="G485" s="34" t="str">
        <f t="shared" si="7"/>
        <v>Jul</v>
      </c>
      <c r="H485">
        <v>1</v>
      </c>
      <c r="I485" t="s">
        <v>1242</v>
      </c>
      <c r="J485" t="s">
        <v>1224</v>
      </c>
      <c r="K485">
        <v>0.25</v>
      </c>
      <c r="L485">
        <v>16.75</v>
      </c>
      <c r="M485">
        <v>67</v>
      </c>
      <c r="N485">
        <v>50.25</v>
      </c>
      <c r="O485" t="s">
        <v>19</v>
      </c>
    </row>
    <row r="486" spans="1:15" x14ac:dyDescent="0.25">
      <c r="A486">
        <v>1458</v>
      </c>
      <c r="B486">
        <v>3225</v>
      </c>
      <c r="C486" t="s">
        <v>321</v>
      </c>
      <c r="D486" t="s">
        <v>414</v>
      </c>
      <c r="E486" t="s">
        <v>1249</v>
      </c>
      <c r="F486" s="1">
        <v>45476</v>
      </c>
      <c r="G486" s="34" t="str">
        <f t="shared" si="7"/>
        <v>Jul</v>
      </c>
      <c r="H486">
        <v>2</v>
      </c>
      <c r="I486" t="s">
        <v>1242</v>
      </c>
      <c r="J486" t="s">
        <v>1220</v>
      </c>
      <c r="K486">
        <v>0.25</v>
      </c>
      <c r="L486">
        <v>220.5</v>
      </c>
      <c r="M486">
        <v>882</v>
      </c>
      <c r="N486">
        <v>661.5</v>
      </c>
      <c r="O486" t="s">
        <v>16</v>
      </c>
    </row>
    <row r="487" spans="1:15" x14ac:dyDescent="0.25">
      <c r="A487">
        <v>1741</v>
      </c>
      <c r="B487">
        <v>3509</v>
      </c>
      <c r="C487" t="s">
        <v>667</v>
      </c>
      <c r="D487" t="s">
        <v>362</v>
      </c>
      <c r="E487" t="s">
        <v>1207</v>
      </c>
      <c r="F487" s="1">
        <v>45476</v>
      </c>
      <c r="G487" s="34" t="str">
        <f t="shared" si="7"/>
        <v>Jul</v>
      </c>
      <c r="H487">
        <v>1</v>
      </c>
      <c r="I487" t="s">
        <v>14</v>
      </c>
      <c r="J487" t="s">
        <v>1216</v>
      </c>
      <c r="K487">
        <v>0.2</v>
      </c>
      <c r="L487">
        <v>91.4</v>
      </c>
      <c r="M487">
        <v>457</v>
      </c>
      <c r="N487">
        <v>365.6</v>
      </c>
      <c r="O487" t="s">
        <v>15</v>
      </c>
    </row>
    <row r="488" spans="1:15" x14ac:dyDescent="0.25">
      <c r="A488">
        <v>1959</v>
      </c>
      <c r="B488">
        <v>3727</v>
      </c>
      <c r="C488" t="s">
        <v>973</v>
      </c>
      <c r="D488" t="s">
        <v>185</v>
      </c>
      <c r="E488" t="s">
        <v>1208</v>
      </c>
      <c r="F488" s="1">
        <v>45476</v>
      </c>
      <c r="G488" s="34" t="str">
        <f t="shared" si="7"/>
        <v>Jul</v>
      </c>
      <c r="H488">
        <v>3</v>
      </c>
      <c r="I488" t="s">
        <v>14</v>
      </c>
      <c r="J488" t="s">
        <v>1233</v>
      </c>
      <c r="K488">
        <v>0.3</v>
      </c>
      <c r="L488">
        <v>424.8</v>
      </c>
      <c r="M488">
        <v>1416</v>
      </c>
      <c r="N488">
        <v>991.2</v>
      </c>
      <c r="O488" t="s">
        <v>16</v>
      </c>
    </row>
    <row r="489" spans="1:15" x14ac:dyDescent="0.25">
      <c r="A489">
        <v>2190</v>
      </c>
      <c r="B489">
        <v>3959</v>
      </c>
      <c r="C489" t="s">
        <v>1173</v>
      </c>
      <c r="D489" t="s">
        <v>678</v>
      </c>
      <c r="E489" t="s">
        <v>1208</v>
      </c>
      <c r="F489" s="1">
        <v>45476</v>
      </c>
      <c r="G489" s="34" t="str">
        <f t="shared" si="7"/>
        <v>Jul</v>
      </c>
      <c r="H489">
        <v>1</v>
      </c>
      <c r="I489" t="s">
        <v>14</v>
      </c>
      <c r="J489" t="s">
        <v>1233</v>
      </c>
      <c r="K489">
        <v>0.3</v>
      </c>
      <c r="L489">
        <v>24</v>
      </c>
      <c r="M489">
        <v>80</v>
      </c>
      <c r="N489">
        <v>56</v>
      </c>
      <c r="O489" t="s">
        <v>16</v>
      </c>
    </row>
    <row r="490" spans="1:15" x14ac:dyDescent="0.25">
      <c r="A490">
        <v>2219</v>
      </c>
      <c r="B490">
        <v>3988</v>
      </c>
      <c r="C490" t="s">
        <v>1189</v>
      </c>
      <c r="D490" t="s">
        <v>1190</v>
      </c>
      <c r="E490" t="s">
        <v>1249</v>
      </c>
      <c r="F490" s="1">
        <v>45476</v>
      </c>
      <c r="G490" s="34" t="str">
        <f t="shared" si="7"/>
        <v>Jul</v>
      </c>
      <c r="H490">
        <v>1</v>
      </c>
      <c r="I490" t="s">
        <v>1242</v>
      </c>
      <c r="J490" t="s">
        <v>1220</v>
      </c>
      <c r="K490">
        <v>0.25</v>
      </c>
      <c r="L490">
        <v>125.25</v>
      </c>
      <c r="M490">
        <v>501</v>
      </c>
      <c r="N490">
        <v>375.75</v>
      </c>
      <c r="O490" t="s">
        <v>15</v>
      </c>
    </row>
    <row r="491" spans="1:15" x14ac:dyDescent="0.25">
      <c r="A491">
        <v>1941</v>
      </c>
      <c r="B491">
        <v>3709</v>
      </c>
      <c r="C491" t="s">
        <v>972</v>
      </c>
      <c r="D491" t="s">
        <v>232</v>
      </c>
      <c r="E491" t="s">
        <v>1248</v>
      </c>
      <c r="F491" s="1">
        <v>45477</v>
      </c>
      <c r="G491" s="34" t="str">
        <f t="shared" si="7"/>
        <v>Jul</v>
      </c>
      <c r="H491">
        <v>3</v>
      </c>
      <c r="I491" t="s">
        <v>1243</v>
      </c>
      <c r="J491" t="s">
        <v>1228</v>
      </c>
      <c r="K491">
        <v>0.25</v>
      </c>
      <c r="L491">
        <v>285.75</v>
      </c>
      <c r="M491">
        <v>1143</v>
      </c>
      <c r="N491">
        <v>857.25</v>
      </c>
      <c r="O491" t="s">
        <v>19</v>
      </c>
    </row>
    <row r="492" spans="1:15" x14ac:dyDescent="0.25">
      <c r="A492">
        <v>1793</v>
      </c>
      <c r="B492">
        <v>3561</v>
      </c>
      <c r="C492" t="s">
        <v>821</v>
      </c>
      <c r="D492" t="s">
        <v>198</v>
      </c>
      <c r="E492" t="s">
        <v>1203</v>
      </c>
      <c r="F492" s="1">
        <v>45478</v>
      </c>
      <c r="G492" s="34" t="str">
        <f t="shared" si="7"/>
        <v>Jul</v>
      </c>
      <c r="H492">
        <v>1</v>
      </c>
      <c r="I492" t="s">
        <v>1242</v>
      </c>
      <c r="J492" t="s">
        <v>1222</v>
      </c>
      <c r="K492">
        <v>0.3</v>
      </c>
      <c r="L492">
        <v>463.2</v>
      </c>
      <c r="M492">
        <v>1544</v>
      </c>
      <c r="N492">
        <v>1080.8</v>
      </c>
      <c r="O492" t="s">
        <v>13</v>
      </c>
    </row>
    <row r="493" spans="1:15" x14ac:dyDescent="0.25">
      <c r="A493">
        <v>2026</v>
      </c>
      <c r="B493">
        <v>3794</v>
      </c>
      <c r="C493" t="s">
        <v>645</v>
      </c>
      <c r="D493" t="s">
        <v>834</v>
      </c>
      <c r="E493" t="s">
        <v>1203</v>
      </c>
      <c r="F493" s="1">
        <v>45478</v>
      </c>
      <c r="G493" s="34" t="str">
        <f t="shared" si="7"/>
        <v>Jul</v>
      </c>
      <c r="H493">
        <v>3</v>
      </c>
      <c r="I493" t="s">
        <v>14</v>
      </c>
      <c r="J493" t="s">
        <v>1222</v>
      </c>
      <c r="K493">
        <v>0.3</v>
      </c>
      <c r="L493">
        <v>206.7</v>
      </c>
      <c r="M493">
        <v>689</v>
      </c>
      <c r="N493">
        <v>482.3</v>
      </c>
      <c r="O493" t="s">
        <v>13</v>
      </c>
    </row>
    <row r="494" spans="1:15" x14ac:dyDescent="0.25">
      <c r="A494">
        <v>2036</v>
      </c>
      <c r="B494">
        <v>3804</v>
      </c>
      <c r="C494" t="s">
        <v>1040</v>
      </c>
      <c r="D494" t="s">
        <v>1041</v>
      </c>
      <c r="E494" t="s">
        <v>1249</v>
      </c>
      <c r="F494" s="1">
        <v>45479</v>
      </c>
      <c r="G494" s="34" t="str">
        <f t="shared" si="7"/>
        <v>Jul</v>
      </c>
      <c r="H494">
        <v>3</v>
      </c>
      <c r="I494" t="s">
        <v>1242</v>
      </c>
      <c r="J494" t="s">
        <v>1216</v>
      </c>
      <c r="K494">
        <v>0.25</v>
      </c>
      <c r="L494">
        <v>375</v>
      </c>
      <c r="M494">
        <v>1500</v>
      </c>
      <c r="N494">
        <v>1125</v>
      </c>
      <c r="O494" t="s">
        <v>15</v>
      </c>
    </row>
    <row r="495" spans="1:15" x14ac:dyDescent="0.25">
      <c r="A495">
        <v>1345</v>
      </c>
      <c r="B495">
        <v>3112</v>
      </c>
      <c r="C495" t="s">
        <v>197</v>
      </c>
      <c r="D495" t="s">
        <v>233</v>
      </c>
      <c r="E495" t="s">
        <v>1205</v>
      </c>
      <c r="F495" s="1">
        <v>45480</v>
      </c>
      <c r="G495" s="34" t="str">
        <f t="shared" si="7"/>
        <v>Jul</v>
      </c>
      <c r="H495">
        <v>2</v>
      </c>
      <c r="I495" t="s">
        <v>1242</v>
      </c>
      <c r="J495" t="s">
        <v>1222</v>
      </c>
      <c r="K495">
        <v>0.1</v>
      </c>
      <c r="L495">
        <v>167.6</v>
      </c>
      <c r="M495">
        <v>1676</v>
      </c>
      <c r="N495">
        <v>1508.4</v>
      </c>
      <c r="O495" t="s">
        <v>19</v>
      </c>
    </row>
    <row r="496" spans="1:15" x14ac:dyDescent="0.25">
      <c r="A496">
        <v>1916</v>
      </c>
      <c r="B496">
        <v>3684</v>
      </c>
      <c r="C496" t="s">
        <v>176</v>
      </c>
      <c r="D496" t="s">
        <v>943</v>
      </c>
      <c r="E496" t="s">
        <v>1205</v>
      </c>
      <c r="F496" s="1">
        <v>45480</v>
      </c>
      <c r="G496" s="34" t="str">
        <f t="shared" si="7"/>
        <v>Jul</v>
      </c>
      <c r="H496">
        <v>1</v>
      </c>
      <c r="I496" t="s">
        <v>14</v>
      </c>
      <c r="J496" t="s">
        <v>1228</v>
      </c>
      <c r="K496">
        <v>0.1</v>
      </c>
      <c r="L496">
        <v>36.200000000000003</v>
      </c>
      <c r="M496">
        <v>362</v>
      </c>
      <c r="N496">
        <v>325.8</v>
      </c>
      <c r="O496" t="s">
        <v>15</v>
      </c>
    </row>
    <row r="497" spans="1:15" x14ac:dyDescent="0.25">
      <c r="A497">
        <v>2065</v>
      </c>
      <c r="B497">
        <v>3833</v>
      </c>
      <c r="C497" t="s">
        <v>643</v>
      </c>
      <c r="D497" t="s">
        <v>1068</v>
      </c>
      <c r="E497" t="s">
        <v>1208</v>
      </c>
      <c r="F497" s="1">
        <v>45480</v>
      </c>
      <c r="G497" s="34" t="str">
        <f t="shared" si="7"/>
        <v>Jul</v>
      </c>
      <c r="H497">
        <v>3</v>
      </c>
      <c r="I497" t="s">
        <v>14</v>
      </c>
      <c r="J497" t="s">
        <v>1222</v>
      </c>
      <c r="K497">
        <v>0.3</v>
      </c>
      <c r="L497">
        <v>36.9</v>
      </c>
      <c r="M497">
        <v>123</v>
      </c>
      <c r="N497">
        <v>86.1</v>
      </c>
      <c r="O497" t="s">
        <v>1200</v>
      </c>
    </row>
    <row r="498" spans="1:15" x14ac:dyDescent="0.25">
      <c r="A498">
        <v>1347</v>
      </c>
      <c r="B498">
        <v>3114</v>
      </c>
      <c r="C498" t="s">
        <v>234</v>
      </c>
      <c r="D498" t="s">
        <v>235</v>
      </c>
      <c r="E498" t="s">
        <v>1248</v>
      </c>
      <c r="F498" s="1">
        <v>45481</v>
      </c>
      <c r="G498" s="34" t="str">
        <f t="shared" si="7"/>
        <v>Jul</v>
      </c>
      <c r="H498">
        <v>1</v>
      </c>
      <c r="I498" t="s">
        <v>14</v>
      </c>
      <c r="J498" t="s">
        <v>1228</v>
      </c>
      <c r="K498">
        <v>0.25</v>
      </c>
      <c r="L498">
        <v>259.25</v>
      </c>
      <c r="M498">
        <v>1037</v>
      </c>
      <c r="N498">
        <v>777.75</v>
      </c>
      <c r="O498" t="s">
        <v>19</v>
      </c>
    </row>
    <row r="499" spans="1:15" x14ac:dyDescent="0.25">
      <c r="A499">
        <v>1463</v>
      </c>
      <c r="B499">
        <v>3230</v>
      </c>
      <c r="C499" t="s">
        <v>422</v>
      </c>
      <c r="D499" t="s">
        <v>423</v>
      </c>
      <c r="E499" t="s">
        <v>1208</v>
      </c>
      <c r="F499" s="1">
        <v>45481</v>
      </c>
      <c r="G499" s="34" t="str">
        <f t="shared" si="7"/>
        <v>Jul</v>
      </c>
      <c r="H499">
        <v>3</v>
      </c>
      <c r="I499" t="s">
        <v>14</v>
      </c>
      <c r="J499" t="s">
        <v>1220</v>
      </c>
      <c r="K499">
        <v>0.3</v>
      </c>
      <c r="L499">
        <v>139.80000000000001</v>
      </c>
      <c r="M499">
        <v>466</v>
      </c>
      <c r="N499">
        <v>326.2</v>
      </c>
      <c r="O499" t="s">
        <v>13</v>
      </c>
    </row>
    <row r="500" spans="1:15" x14ac:dyDescent="0.25">
      <c r="A500">
        <v>1589</v>
      </c>
      <c r="B500">
        <v>3356</v>
      </c>
      <c r="C500" t="s">
        <v>383</v>
      </c>
      <c r="D500" t="s">
        <v>589</v>
      </c>
      <c r="E500" t="s">
        <v>1207</v>
      </c>
      <c r="F500" s="1">
        <v>45483</v>
      </c>
      <c r="G500" s="34" t="str">
        <f t="shared" si="7"/>
        <v>Jul</v>
      </c>
      <c r="H500">
        <v>2</v>
      </c>
      <c r="I500" t="s">
        <v>1243</v>
      </c>
      <c r="J500" t="s">
        <v>1216</v>
      </c>
      <c r="K500">
        <v>0.2</v>
      </c>
      <c r="L500">
        <v>239.8</v>
      </c>
      <c r="M500">
        <v>1199</v>
      </c>
      <c r="N500">
        <v>959.2</v>
      </c>
      <c r="O500" t="s">
        <v>1200</v>
      </c>
    </row>
    <row r="501" spans="1:15" x14ac:dyDescent="0.25">
      <c r="A501">
        <v>1880</v>
      </c>
      <c r="B501">
        <v>3648</v>
      </c>
      <c r="C501" t="s">
        <v>910</v>
      </c>
      <c r="D501" t="s">
        <v>696</v>
      </c>
      <c r="E501" t="s">
        <v>1208</v>
      </c>
      <c r="F501" s="1">
        <v>45483</v>
      </c>
      <c r="G501" s="34" t="str">
        <f t="shared" si="7"/>
        <v>Jul</v>
      </c>
      <c r="H501">
        <v>3</v>
      </c>
      <c r="I501" t="s">
        <v>1242</v>
      </c>
      <c r="J501" t="s">
        <v>1214</v>
      </c>
      <c r="K501">
        <v>0.3</v>
      </c>
      <c r="L501">
        <v>203.1</v>
      </c>
      <c r="M501">
        <v>677</v>
      </c>
      <c r="N501">
        <v>473.9</v>
      </c>
      <c r="O501" t="s">
        <v>13</v>
      </c>
    </row>
    <row r="502" spans="1:15" x14ac:dyDescent="0.25">
      <c r="A502">
        <v>1947</v>
      </c>
      <c r="B502">
        <v>3715</v>
      </c>
      <c r="C502" t="s">
        <v>147</v>
      </c>
      <c r="D502" t="s">
        <v>479</v>
      </c>
      <c r="E502" t="s">
        <v>1208</v>
      </c>
      <c r="F502" s="1">
        <v>45483</v>
      </c>
      <c r="G502" s="34" t="str">
        <f t="shared" si="7"/>
        <v>Jul</v>
      </c>
      <c r="H502">
        <v>1</v>
      </c>
      <c r="I502" t="s">
        <v>14</v>
      </c>
      <c r="J502" t="s">
        <v>1216</v>
      </c>
      <c r="K502">
        <v>0.3</v>
      </c>
      <c r="L502">
        <v>393.3</v>
      </c>
      <c r="M502">
        <v>1311</v>
      </c>
      <c r="N502">
        <v>917.7</v>
      </c>
      <c r="O502" t="s">
        <v>19</v>
      </c>
    </row>
    <row r="503" spans="1:15" x14ac:dyDescent="0.25">
      <c r="A503">
        <v>1970</v>
      </c>
      <c r="B503">
        <v>3738</v>
      </c>
      <c r="C503" t="s">
        <v>202</v>
      </c>
      <c r="D503" t="s">
        <v>993</v>
      </c>
      <c r="E503" t="s">
        <v>1203</v>
      </c>
      <c r="F503" s="1">
        <v>45483</v>
      </c>
      <c r="G503" s="34" t="str">
        <f t="shared" si="7"/>
        <v>Jul</v>
      </c>
      <c r="H503">
        <v>2</v>
      </c>
      <c r="I503" t="s">
        <v>1242</v>
      </c>
      <c r="J503" t="s">
        <v>1224</v>
      </c>
      <c r="K503">
        <v>0.3</v>
      </c>
      <c r="L503">
        <v>325.5</v>
      </c>
      <c r="M503">
        <v>1085</v>
      </c>
      <c r="N503">
        <v>759.5</v>
      </c>
      <c r="O503" t="s">
        <v>13</v>
      </c>
    </row>
    <row r="504" spans="1:15" x14ac:dyDescent="0.25">
      <c r="A504">
        <v>1551</v>
      </c>
      <c r="B504">
        <v>3318</v>
      </c>
      <c r="C504" t="s">
        <v>538</v>
      </c>
      <c r="D504" t="s">
        <v>539</v>
      </c>
      <c r="E504" t="s">
        <v>1205</v>
      </c>
      <c r="F504" s="1">
        <v>45484</v>
      </c>
      <c r="G504" s="34" t="str">
        <f t="shared" si="7"/>
        <v>Jul</v>
      </c>
      <c r="H504">
        <v>3</v>
      </c>
      <c r="I504" t="s">
        <v>14</v>
      </c>
      <c r="J504" t="s">
        <v>1218</v>
      </c>
      <c r="K504">
        <v>0.1</v>
      </c>
      <c r="L504">
        <v>90</v>
      </c>
      <c r="M504">
        <v>900</v>
      </c>
      <c r="N504">
        <v>810</v>
      </c>
      <c r="O504" t="s">
        <v>13</v>
      </c>
    </row>
    <row r="505" spans="1:15" x14ac:dyDescent="0.25">
      <c r="A505">
        <v>1692</v>
      </c>
      <c r="B505">
        <v>3460</v>
      </c>
      <c r="C505" t="s">
        <v>715</v>
      </c>
      <c r="D505" t="s">
        <v>716</v>
      </c>
      <c r="E505" t="s">
        <v>1203</v>
      </c>
      <c r="F505" s="1">
        <v>45484</v>
      </c>
      <c r="G505" s="34" t="str">
        <f t="shared" si="7"/>
        <v>Jul</v>
      </c>
      <c r="H505">
        <v>3</v>
      </c>
      <c r="I505" t="s">
        <v>1242</v>
      </c>
      <c r="J505" t="s">
        <v>1224</v>
      </c>
      <c r="K505">
        <v>0.3</v>
      </c>
      <c r="L505">
        <v>247.5</v>
      </c>
      <c r="M505">
        <v>825</v>
      </c>
      <c r="N505">
        <v>577.5</v>
      </c>
      <c r="O505" t="s">
        <v>15</v>
      </c>
    </row>
    <row r="506" spans="1:15" x14ac:dyDescent="0.25">
      <c r="A506">
        <v>2212</v>
      </c>
      <c r="B506">
        <v>3981</v>
      </c>
      <c r="C506" t="s">
        <v>657</v>
      </c>
      <c r="D506" t="s">
        <v>979</v>
      </c>
      <c r="E506" t="s">
        <v>1208</v>
      </c>
      <c r="F506" s="1">
        <v>45484</v>
      </c>
      <c r="G506" s="34" t="str">
        <f t="shared" si="7"/>
        <v>Jul</v>
      </c>
      <c r="H506">
        <v>3</v>
      </c>
      <c r="I506" t="s">
        <v>1242</v>
      </c>
      <c r="J506" t="s">
        <v>1228</v>
      </c>
      <c r="K506">
        <v>0.3</v>
      </c>
      <c r="L506">
        <v>551.1</v>
      </c>
      <c r="M506">
        <v>1837</v>
      </c>
      <c r="N506">
        <v>1285.9000000000001</v>
      </c>
      <c r="O506" t="s">
        <v>16</v>
      </c>
    </row>
    <row r="507" spans="1:15" x14ac:dyDescent="0.25">
      <c r="A507">
        <v>1305</v>
      </c>
      <c r="B507">
        <v>3072</v>
      </c>
      <c r="C507" t="s">
        <v>161</v>
      </c>
      <c r="D507" t="s">
        <v>162</v>
      </c>
      <c r="E507" t="s">
        <v>1248</v>
      </c>
      <c r="F507" s="1">
        <v>45485</v>
      </c>
      <c r="G507" s="34" t="str">
        <f t="shared" si="7"/>
        <v>Jul</v>
      </c>
      <c r="H507">
        <v>1</v>
      </c>
      <c r="I507" t="s">
        <v>14</v>
      </c>
      <c r="J507" t="s">
        <v>1220</v>
      </c>
      <c r="K507">
        <v>0.25</v>
      </c>
      <c r="L507">
        <v>395.75</v>
      </c>
      <c r="M507">
        <v>1583</v>
      </c>
      <c r="N507">
        <v>1187.25</v>
      </c>
      <c r="O507" t="s">
        <v>13</v>
      </c>
    </row>
    <row r="508" spans="1:15" x14ac:dyDescent="0.25">
      <c r="A508">
        <v>1368</v>
      </c>
      <c r="B508">
        <v>3135</v>
      </c>
      <c r="C508" t="s">
        <v>234</v>
      </c>
      <c r="D508" t="s">
        <v>271</v>
      </c>
      <c r="E508" t="s">
        <v>1208</v>
      </c>
      <c r="F508" s="1">
        <v>45485</v>
      </c>
      <c r="G508" s="34" t="str">
        <f t="shared" si="7"/>
        <v>Jul</v>
      </c>
      <c r="H508">
        <v>1</v>
      </c>
      <c r="I508" t="s">
        <v>1243</v>
      </c>
      <c r="J508" t="s">
        <v>1228</v>
      </c>
      <c r="K508">
        <v>0.3</v>
      </c>
      <c r="L508">
        <v>74.7</v>
      </c>
      <c r="M508">
        <v>249</v>
      </c>
      <c r="N508">
        <v>174.3</v>
      </c>
      <c r="O508" t="s">
        <v>13</v>
      </c>
    </row>
    <row r="509" spans="1:15" x14ac:dyDescent="0.25">
      <c r="A509">
        <v>2062</v>
      </c>
      <c r="B509">
        <v>3830</v>
      </c>
      <c r="C509" t="s">
        <v>11</v>
      </c>
      <c r="D509" t="s">
        <v>1066</v>
      </c>
      <c r="E509" t="s">
        <v>1249</v>
      </c>
      <c r="F509" s="1">
        <v>45485</v>
      </c>
      <c r="G509" s="34" t="str">
        <f t="shared" si="7"/>
        <v>Jul</v>
      </c>
      <c r="H509">
        <v>1</v>
      </c>
      <c r="I509" t="s">
        <v>1242</v>
      </c>
      <c r="J509" t="s">
        <v>1214</v>
      </c>
      <c r="K509">
        <v>0.25</v>
      </c>
      <c r="L509">
        <v>59.75</v>
      </c>
      <c r="M509">
        <v>239</v>
      </c>
      <c r="N509">
        <v>179.25</v>
      </c>
      <c r="O509" t="s">
        <v>13</v>
      </c>
    </row>
    <row r="510" spans="1:15" x14ac:dyDescent="0.25">
      <c r="A510">
        <v>2112</v>
      </c>
      <c r="B510">
        <v>3881</v>
      </c>
      <c r="C510" t="s">
        <v>1110</v>
      </c>
      <c r="D510" t="s">
        <v>1111</v>
      </c>
      <c r="E510" t="s">
        <v>1207</v>
      </c>
      <c r="F510" s="1">
        <v>45485</v>
      </c>
      <c r="G510" s="34" t="str">
        <f t="shared" si="7"/>
        <v>Jul</v>
      </c>
      <c r="H510">
        <v>2</v>
      </c>
      <c r="I510" t="s">
        <v>1242</v>
      </c>
      <c r="J510" t="s">
        <v>1214</v>
      </c>
      <c r="K510">
        <v>0.2</v>
      </c>
      <c r="L510">
        <v>210.8</v>
      </c>
      <c r="M510">
        <v>1054</v>
      </c>
      <c r="N510">
        <v>843.2</v>
      </c>
      <c r="O510" t="s">
        <v>1200</v>
      </c>
    </row>
    <row r="511" spans="1:15" x14ac:dyDescent="0.25">
      <c r="A511">
        <v>1246</v>
      </c>
      <c r="B511">
        <v>3013</v>
      </c>
      <c r="C511" t="s">
        <v>50</v>
      </c>
      <c r="D511" t="s">
        <v>51</v>
      </c>
      <c r="E511" t="s">
        <v>1248</v>
      </c>
      <c r="F511" s="1">
        <v>45486</v>
      </c>
      <c r="G511" s="34" t="str">
        <f t="shared" si="7"/>
        <v>Jul</v>
      </c>
      <c r="H511">
        <v>3</v>
      </c>
      <c r="I511" t="s">
        <v>1242</v>
      </c>
      <c r="J511" t="s">
        <v>1224</v>
      </c>
      <c r="K511">
        <v>0.25</v>
      </c>
      <c r="L511">
        <v>143.25</v>
      </c>
      <c r="M511">
        <v>573</v>
      </c>
      <c r="N511">
        <v>429.75</v>
      </c>
      <c r="O511" t="s">
        <v>19</v>
      </c>
    </row>
    <row r="512" spans="1:15" x14ac:dyDescent="0.25">
      <c r="A512">
        <v>1874</v>
      </c>
      <c r="B512">
        <v>3642</v>
      </c>
      <c r="C512" t="s">
        <v>334</v>
      </c>
      <c r="D512" t="s">
        <v>447</v>
      </c>
      <c r="E512" t="s">
        <v>1249</v>
      </c>
      <c r="F512" s="1">
        <v>45486</v>
      </c>
      <c r="G512" s="34" t="str">
        <f t="shared" si="7"/>
        <v>Jul</v>
      </c>
      <c r="H512">
        <v>1</v>
      </c>
      <c r="I512" t="s">
        <v>14</v>
      </c>
      <c r="J512" t="s">
        <v>1220</v>
      </c>
      <c r="K512">
        <v>0.25</v>
      </c>
      <c r="L512">
        <v>358.75</v>
      </c>
      <c r="M512">
        <v>1435</v>
      </c>
      <c r="N512">
        <v>1076.25</v>
      </c>
      <c r="O512" t="s">
        <v>19</v>
      </c>
    </row>
    <row r="513" spans="1:15" x14ac:dyDescent="0.25">
      <c r="A513">
        <v>2206</v>
      </c>
      <c r="B513">
        <v>3975</v>
      </c>
      <c r="C513" t="s">
        <v>940</v>
      </c>
      <c r="D513" t="s">
        <v>419</v>
      </c>
      <c r="E513" t="s">
        <v>1249</v>
      </c>
      <c r="F513" s="1">
        <v>45486</v>
      </c>
      <c r="G513" s="34" t="str">
        <f t="shared" si="7"/>
        <v>Jul</v>
      </c>
      <c r="H513">
        <v>3</v>
      </c>
      <c r="I513" t="s">
        <v>14</v>
      </c>
      <c r="J513" t="s">
        <v>1224</v>
      </c>
      <c r="K513">
        <v>0.25</v>
      </c>
      <c r="L513">
        <v>179.5</v>
      </c>
      <c r="M513">
        <v>718</v>
      </c>
      <c r="N513">
        <v>538.5</v>
      </c>
      <c r="O513" t="s">
        <v>19</v>
      </c>
    </row>
    <row r="514" spans="1:15" x14ac:dyDescent="0.25">
      <c r="A514">
        <v>1236</v>
      </c>
      <c r="B514">
        <v>3003</v>
      </c>
      <c r="C514" t="s">
        <v>30</v>
      </c>
      <c r="D514" t="s">
        <v>31</v>
      </c>
      <c r="E514" t="s">
        <v>1248</v>
      </c>
      <c r="F514" s="1">
        <v>45487</v>
      </c>
      <c r="G514" s="34" t="str">
        <f t="shared" ref="G514:G577" si="8">TEXT(F514, "MMM")</f>
        <v>Jul</v>
      </c>
      <c r="H514">
        <v>1</v>
      </c>
      <c r="I514" t="s">
        <v>14</v>
      </c>
      <c r="J514" t="s">
        <v>1218</v>
      </c>
      <c r="K514">
        <v>0.25</v>
      </c>
      <c r="L514">
        <v>457.25</v>
      </c>
      <c r="M514">
        <v>1829</v>
      </c>
      <c r="N514">
        <v>1371.75</v>
      </c>
      <c r="O514" t="s">
        <v>19</v>
      </c>
    </row>
    <row r="515" spans="1:15" x14ac:dyDescent="0.25">
      <c r="A515">
        <v>1779</v>
      </c>
      <c r="B515">
        <v>3547</v>
      </c>
      <c r="C515" t="s">
        <v>803</v>
      </c>
      <c r="D515" t="s">
        <v>804</v>
      </c>
      <c r="E515" t="s">
        <v>1249</v>
      </c>
      <c r="F515" s="1">
        <v>45487</v>
      </c>
      <c r="G515" s="34" t="str">
        <f t="shared" si="8"/>
        <v>Jul</v>
      </c>
      <c r="H515">
        <v>2</v>
      </c>
      <c r="I515" t="s">
        <v>14</v>
      </c>
      <c r="J515" t="s">
        <v>1216</v>
      </c>
      <c r="K515">
        <v>0.25</v>
      </c>
      <c r="L515">
        <v>347.75</v>
      </c>
      <c r="M515">
        <v>1391</v>
      </c>
      <c r="N515">
        <v>1043.25</v>
      </c>
      <c r="O515" t="s">
        <v>1200</v>
      </c>
    </row>
    <row r="516" spans="1:15" x14ac:dyDescent="0.25">
      <c r="A516">
        <v>1318</v>
      </c>
      <c r="B516">
        <v>3085</v>
      </c>
      <c r="C516" t="s">
        <v>184</v>
      </c>
      <c r="D516" t="s">
        <v>185</v>
      </c>
      <c r="E516" t="s">
        <v>1249</v>
      </c>
      <c r="F516" s="1">
        <v>45488</v>
      </c>
      <c r="G516" s="34" t="str">
        <f t="shared" si="8"/>
        <v>Jul</v>
      </c>
      <c r="H516">
        <v>2</v>
      </c>
      <c r="I516" t="s">
        <v>1242</v>
      </c>
      <c r="J516" t="s">
        <v>1222</v>
      </c>
      <c r="K516">
        <v>0.25</v>
      </c>
      <c r="L516">
        <v>364</v>
      </c>
      <c r="M516">
        <v>1456</v>
      </c>
      <c r="N516">
        <v>1092</v>
      </c>
      <c r="O516" t="s">
        <v>13</v>
      </c>
    </row>
    <row r="517" spans="1:15" x14ac:dyDescent="0.25">
      <c r="A517">
        <v>1677</v>
      </c>
      <c r="B517">
        <v>3445</v>
      </c>
      <c r="C517" t="s">
        <v>695</v>
      </c>
      <c r="D517" t="s">
        <v>531</v>
      </c>
      <c r="E517" t="s">
        <v>1249</v>
      </c>
      <c r="F517" s="1">
        <v>45488</v>
      </c>
      <c r="G517" s="34" t="str">
        <f t="shared" si="8"/>
        <v>Jul</v>
      </c>
      <c r="H517">
        <v>3</v>
      </c>
      <c r="I517" t="s">
        <v>1242</v>
      </c>
      <c r="J517" t="s">
        <v>1218</v>
      </c>
      <c r="K517">
        <v>0.25</v>
      </c>
      <c r="L517">
        <v>144.25</v>
      </c>
      <c r="M517">
        <v>577</v>
      </c>
      <c r="N517">
        <v>432.75</v>
      </c>
      <c r="O517" t="s">
        <v>13</v>
      </c>
    </row>
    <row r="518" spans="1:15" x14ac:dyDescent="0.25">
      <c r="A518">
        <v>2157</v>
      </c>
      <c r="B518">
        <v>3926</v>
      </c>
      <c r="C518" t="s">
        <v>1152</v>
      </c>
      <c r="D518" t="s">
        <v>291</v>
      </c>
      <c r="E518" t="s">
        <v>1249</v>
      </c>
      <c r="F518" s="1">
        <v>45488</v>
      </c>
      <c r="G518" s="34" t="str">
        <f t="shared" si="8"/>
        <v>Jul</v>
      </c>
      <c r="H518">
        <v>1</v>
      </c>
      <c r="I518" t="s">
        <v>14</v>
      </c>
      <c r="J518" t="s">
        <v>1222</v>
      </c>
      <c r="K518">
        <v>0.25</v>
      </c>
      <c r="L518">
        <v>248.75</v>
      </c>
      <c r="M518">
        <v>995</v>
      </c>
      <c r="N518">
        <v>746.25</v>
      </c>
      <c r="O518" t="s">
        <v>15</v>
      </c>
    </row>
    <row r="519" spans="1:15" x14ac:dyDescent="0.25">
      <c r="A519">
        <v>1344</v>
      </c>
      <c r="B519">
        <v>3111</v>
      </c>
      <c r="C519" t="s">
        <v>231</v>
      </c>
      <c r="D519" t="s">
        <v>232</v>
      </c>
      <c r="E519" t="s">
        <v>1249</v>
      </c>
      <c r="F519" s="1">
        <v>45489</v>
      </c>
      <c r="G519" s="34" t="str">
        <f t="shared" si="8"/>
        <v>Jul</v>
      </c>
      <c r="H519">
        <v>3</v>
      </c>
      <c r="I519" t="s">
        <v>18</v>
      </c>
      <c r="J519" t="s">
        <v>1224</v>
      </c>
      <c r="K519">
        <v>0.25</v>
      </c>
      <c r="L519">
        <v>418.5</v>
      </c>
      <c r="M519">
        <v>1674</v>
      </c>
      <c r="N519">
        <v>1255.5</v>
      </c>
      <c r="O519" t="s">
        <v>15</v>
      </c>
    </row>
    <row r="520" spans="1:15" x14ac:dyDescent="0.25">
      <c r="A520">
        <v>2082</v>
      </c>
      <c r="B520">
        <v>3850</v>
      </c>
      <c r="C520" t="s">
        <v>734</v>
      </c>
      <c r="D520" t="s">
        <v>1084</v>
      </c>
      <c r="E520" t="s">
        <v>1249</v>
      </c>
      <c r="F520" s="1">
        <v>45489</v>
      </c>
      <c r="G520" s="34" t="str">
        <f t="shared" si="8"/>
        <v>Jul</v>
      </c>
      <c r="H520">
        <v>1</v>
      </c>
      <c r="I520" t="s">
        <v>1242</v>
      </c>
      <c r="J520" t="s">
        <v>1218</v>
      </c>
      <c r="K520">
        <v>0.25</v>
      </c>
      <c r="L520">
        <v>117.5</v>
      </c>
      <c r="M520">
        <v>470</v>
      </c>
      <c r="N520">
        <v>352.5</v>
      </c>
      <c r="O520" t="s">
        <v>16</v>
      </c>
    </row>
    <row r="521" spans="1:15" x14ac:dyDescent="0.25">
      <c r="A521">
        <v>1339</v>
      </c>
      <c r="B521">
        <v>3106</v>
      </c>
      <c r="C521" t="s">
        <v>222</v>
      </c>
      <c r="D521" t="s">
        <v>223</v>
      </c>
      <c r="E521" t="s">
        <v>1207</v>
      </c>
      <c r="F521" s="1">
        <v>45490</v>
      </c>
      <c r="G521" s="34" t="str">
        <f t="shared" si="8"/>
        <v>Jul</v>
      </c>
      <c r="H521">
        <v>3</v>
      </c>
      <c r="I521" t="s">
        <v>14</v>
      </c>
      <c r="J521" t="s">
        <v>1214</v>
      </c>
      <c r="K521">
        <v>0.2</v>
      </c>
      <c r="L521">
        <v>113.4</v>
      </c>
      <c r="M521">
        <v>567</v>
      </c>
      <c r="N521">
        <v>453.6</v>
      </c>
      <c r="O521" t="s">
        <v>16</v>
      </c>
    </row>
    <row r="522" spans="1:15" x14ac:dyDescent="0.25">
      <c r="A522">
        <v>1784</v>
      </c>
      <c r="B522">
        <v>3552</v>
      </c>
      <c r="C522" t="s">
        <v>809</v>
      </c>
      <c r="D522" t="s">
        <v>462</v>
      </c>
      <c r="E522" t="s">
        <v>1207</v>
      </c>
      <c r="F522" s="1">
        <v>45490</v>
      </c>
      <c r="G522" s="34" t="str">
        <f t="shared" si="8"/>
        <v>Jul</v>
      </c>
      <c r="H522">
        <v>1</v>
      </c>
      <c r="I522" t="s">
        <v>1242</v>
      </c>
      <c r="J522" t="s">
        <v>1224</v>
      </c>
      <c r="K522">
        <v>0.2</v>
      </c>
      <c r="L522">
        <v>86.6</v>
      </c>
      <c r="M522">
        <v>433</v>
      </c>
      <c r="N522">
        <v>346.4</v>
      </c>
      <c r="O522" t="s">
        <v>16</v>
      </c>
    </row>
    <row r="523" spans="1:15" x14ac:dyDescent="0.25">
      <c r="A523">
        <v>1817</v>
      </c>
      <c r="B523">
        <v>3585</v>
      </c>
      <c r="C523" t="s">
        <v>845</v>
      </c>
      <c r="D523" t="s">
        <v>20</v>
      </c>
      <c r="E523" t="s">
        <v>1249</v>
      </c>
      <c r="F523" s="1">
        <v>45490</v>
      </c>
      <c r="G523" s="34" t="str">
        <f t="shared" si="8"/>
        <v>Jul</v>
      </c>
      <c r="H523">
        <v>2</v>
      </c>
      <c r="I523" t="s">
        <v>18</v>
      </c>
      <c r="J523" t="s">
        <v>1233</v>
      </c>
      <c r="K523">
        <v>0.25</v>
      </c>
      <c r="L523">
        <v>305</v>
      </c>
      <c r="M523">
        <v>1220</v>
      </c>
      <c r="N523">
        <v>915</v>
      </c>
      <c r="O523" t="s">
        <v>1200</v>
      </c>
    </row>
    <row r="524" spans="1:15" x14ac:dyDescent="0.25">
      <c r="A524">
        <v>1235</v>
      </c>
      <c r="B524">
        <v>3002</v>
      </c>
      <c r="C524" t="s">
        <v>28</v>
      </c>
      <c r="D524" t="s">
        <v>29</v>
      </c>
      <c r="E524" t="s">
        <v>1208</v>
      </c>
      <c r="F524" s="1">
        <v>45491</v>
      </c>
      <c r="G524" s="34" t="str">
        <f t="shared" si="8"/>
        <v>Jul</v>
      </c>
      <c r="H524">
        <v>3</v>
      </c>
      <c r="I524" t="s">
        <v>1243</v>
      </c>
      <c r="J524" t="s">
        <v>1216</v>
      </c>
      <c r="K524">
        <v>0.3</v>
      </c>
      <c r="L524">
        <v>233.1</v>
      </c>
      <c r="M524">
        <v>777</v>
      </c>
      <c r="N524">
        <v>543.9</v>
      </c>
      <c r="O524" t="s">
        <v>15</v>
      </c>
    </row>
    <row r="525" spans="1:15" x14ac:dyDescent="0.25">
      <c r="A525">
        <v>1406</v>
      </c>
      <c r="B525">
        <v>3173</v>
      </c>
      <c r="C525" t="s">
        <v>329</v>
      </c>
      <c r="D525" t="s">
        <v>330</v>
      </c>
      <c r="E525" t="s">
        <v>1205</v>
      </c>
      <c r="F525" s="1">
        <v>45491</v>
      </c>
      <c r="G525" s="34" t="str">
        <f t="shared" si="8"/>
        <v>Jul</v>
      </c>
      <c r="H525">
        <v>3</v>
      </c>
      <c r="I525" t="s">
        <v>14</v>
      </c>
      <c r="J525" t="s">
        <v>1218</v>
      </c>
      <c r="K525">
        <v>0.1</v>
      </c>
      <c r="L525">
        <v>138.5</v>
      </c>
      <c r="M525">
        <v>1385</v>
      </c>
      <c r="N525">
        <v>1246.5</v>
      </c>
      <c r="O525" t="s">
        <v>15</v>
      </c>
    </row>
    <row r="526" spans="1:15" x14ac:dyDescent="0.25">
      <c r="A526">
        <v>1620</v>
      </c>
      <c r="B526">
        <v>3388</v>
      </c>
      <c r="C526" t="s">
        <v>126</v>
      </c>
      <c r="D526" t="s">
        <v>624</v>
      </c>
      <c r="E526" t="s">
        <v>1203</v>
      </c>
      <c r="F526" s="1">
        <v>45491</v>
      </c>
      <c r="G526" s="34" t="str">
        <f t="shared" si="8"/>
        <v>Jul</v>
      </c>
      <c r="H526">
        <v>1</v>
      </c>
      <c r="I526" t="s">
        <v>18</v>
      </c>
      <c r="J526" t="s">
        <v>1224</v>
      </c>
      <c r="K526">
        <v>0.3</v>
      </c>
      <c r="L526">
        <v>95.7</v>
      </c>
      <c r="M526">
        <v>319</v>
      </c>
      <c r="N526">
        <v>223.3</v>
      </c>
      <c r="O526" t="s">
        <v>19</v>
      </c>
    </row>
    <row r="527" spans="1:15" x14ac:dyDescent="0.25">
      <c r="A527">
        <v>1749</v>
      </c>
      <c r="B527">
        <v>3517</v>
      </c>
      <c r="C527" t="s">
        <v>776</v>
      </c>
      <c r="D527" t="s">
        <v>588</v>
      </c>
      <c r="E527" t="s">
        <v>1203</v>
      </c>
      <c r="F527" s="1">
        <v>45491</v>
      </c>
      <c r="G527" s="34" t="str">
        <f t="shared" si="8"/>
        <v>Jul</v>
      </c>
      <c r="H527">
        <v>3</v>
      </c>
      <c r="I527" t="s">
        <v>1242</v>
      </c>
      <c r="J527" t="s">
        <v>1222</v>
      </c>
      <c r="K527">
        <v>0.3</v>
      </c>
      <c r="L527">
        <v>93.6</v>
      </c>
      <c r="M527">
        <v>312</v>
      </c>
      <c r="N527">
        <v>218.4</v>
      </c>
      <c r="O527" t="s">
        <v>13</v>
      </c>
    </row>
    <row r="528" spans="1:15" x14ac:dyDescent="0.25">
      <c r="A528">
        <v>1865</v>
      </c>
      <c r="B528">
        <v>3633</v>
      </c>
      <c r="C528" t="s">
        <v>895</v>
      </c>
      <c r="D528" t="s">
        <v>479</v>
      </c>
      <c r="E528" t="s">
        <v>1208</v>
      </c>
      <c r="F528" s="1">
        <v>45491</v>
      </c>
      <c r="G528" s="34" t="str">
        <f t="shared" si="8"/>
        <v>Jul</v>
      </c>
      <c r="H528">
        <v>1</v>
      </c>
      <c r="I528" t="s">
        <v>18</v>
      </c>
      <c r="J528" t="s">
        <v>1224</v>
      </c>
      <c r="K528">
        <v>0.3</v>
      </c>
      <c r="L528">
        <v>324.60000000000002</v>
      </c>
      <c r="M528">
        <v>1082</v>
      </c>
      <c r="N528">
        <v>757.4</v>
      </c>
      <c r="O528" t="s">
        <v>13</v>
      </c>
    </row>
    <row r="529" spans="1:15" x14ac:dyDescent="0.25">
      <c r="A529">
        <v>2153</v>
      </c>
      <c r="B529">
        <v>3922</v>
      </c>
      <c r="C529" t="s">
        <v>1151</v>
      </c>
      <c r="D529" t="s">
        <v>983</v>
      </c>
      <c r="E529" t="s">
        <v>1208</v>
      </c>
      <c r="F529" s="1">
        <v>45491</v>
      </c>
      <c r="G529" s="34" t="str">
        <f t="shared" si="8"/>
        <v>Jul</v>
      </c>
      <c r="H529">
        <v>2</v>
      </c>
      <c r="I529" t="s">
        <v>1243</v>
      </c>
      <c r="J529" t="s">
        <v>1218</v>
      </c>
      <c r="K529">
        <v>0.3</v>
      </c>
      <c r="L529">
        <v>184.8</v>
      </c>
      <c r="M529">
        <v>616</v>
      </c>
      <c r="N529">
        <v>431.2</v>
      </c>
      <c r="O529" t="s">
        <v>15</v>
      </c>
    </row>
    <row r="530" spans="1:15" x14ac:dyDescent="0.25">
      <c r="A530">
        <v>2031</v>
      </c>
      <c r="B530">
        <v>3799</v>
      </c>
      <c r="C530" t="s">
        <v>646</v>
      </c>
      <c r="D530" t="s">
        <v>1039</v>
      </c>
      <c r="E530" t="s">
        <v>1205</v>
      </c>
      <c r="F530" s="1">
        <v>45492</v>
      </c>
      <c r="G530" s="34" t="str">
        <f t="shared" si="8"/>
        <v>Jul</v>
      </c>
      <c r="H530">
        <v>2</v>
      </c>
      <c r="I530" t="s">
        <v>14</v>
      </c>
      <c r="J530" t="s">
        <v>1220</v>
      </c>
      <c r="K530">
        <v>0.1</v>
      </c>
      <c r="L530">
        <v>61.6</v>
      </c>
      <c r="M530">
        <v>616</v>
      </c>
      <c r="N530">
        <v>554.4</v>
      </c>
      <c r="O530" t="s">
        <v>19</v>
      </c>
    </row>
    <row r="531" spans="1:15" x14ac:dyDescent="0.25">
      <c r="A531">
        <v>2207</v>
      </c>
      <c r="B531">
        <v>3976</v>
      </c>
      <c r="C531" t="s">
        <v>184</v>
      </c>
      <c r="D531" t="s">
        <v>503</v>
      </c>
      <c r="E531" t="s">
        <v>1249</v>
      </c>
      <c r="F531" s="1">
        <v>45492</v>
      </c>
      <c r="G531" s="34" t="str">
        <f t="shared" si="8"/>
        <v>Jul</v>
      </c>
      <c r="H531">
        <v>1</v>
      </c>
      <c r="I531" t="s">
        <v>1242</v>
      </c>
      <c r="J531" t="s">
        <v>1214</v>
      </c>
      <c r="K531">
        <v>0.25</v>
      </c>
      <c r="L531">
        <v>43.75</v>
      </c>
      <c r="M531">
        <v>175</v>
      </c>
      <c r="N531">
        <v>131.25</v>
      </c>
      <c r="O531" t="s">
        <v>16</v>
      </c>
    </row>
    <row r="532" spans="1:15" x14ac:dyDescent="0.25">
      <c r="A532">
        <v>1337</v>
      </c>
      <c r="B532">
        <v>3104</v>
      </c>
      <c r="C532" t="s">
        <v>212</v>
      </c>
      <c r="D532" t="s">
        <v>219</v>
      </c>
      <c r="E532" t="s">
        <v>1249</v>
      </c>
      <c r="F532" s="1">
        <v>45493</v>
      </c>
      <c r="G532" s="34" t="str">
        <f t="shared" si="8"/>
        <v>Jul</v>
      </c>
      <c r="H532">
        <v>2</v>
      </c>
      <c r="I532" t="s">
        <v>14</v>
      </c>
      <c r="J532" t="s">
        <v>1222</v>
      </c>
      <c r="K532">
        <v>0.25</v>
      </c>
      <c r="L532">
        <v>73.5</v>
      </c>
      <c r="M532">
        <v>294</v>
      </c>
      <c r="N532">
        <v>220.5</v>
      </c>
      <c r="O532" t="s">
        <v>1200</v>
      </c>
    </row>
    <row r="533" spans="1:15" x14ac:dyDescent="0.25">
      <c r="A533">
        <v>1783</v>
      </c>
      <c r="B533">
        <v>3551</v>
      </c>
      <c r="C533" t="s">
        <v>213</v>
      </c>
      <c r="D533" t="s">
        <v>808</v>
      </c>
      <c r="E533" t="s">
        <v>1248</v>
      </c>
      <c r="F533" s="1">
        <v>45493</v>
      </c>
      <c r="G533" s="34" t="str">
        <f t="shared" si="8"/>
        <v>Jul</v>
      </c>
      <c r="H533">
        <v>2</v>
      </c>
      <c r="I533" t="s">
        <v>1242</v>
      </c>
      <c r="J533" t="s">
        <v>1222</v>
      </c>
      <c r="K533">
        <v>0.25</v>
      </c>
      <c r="L533">
        <v>306.5</v>
      </c>
      <c r="M533">
        <v>1226</v>
      </c>
      <c r="N533">
        <v>919.5</v>
      </c>
      <c r="O533" t="s">
        <v>1200</v>
      </c>
    </row>
    <row r="534" spans="1:15" x14ac:dyDescent="0.25">
      <c r="A534">
        <v>1376</v>
      </c>
      <c r="B534">
        <v>3143</v>
      </c>
      <c r="C534" t="s">
        <v>284</v>
      </c>
      <c r="D534" t="s">
        <v>285</v>
      </c>
      <c r="E534" t="s">
        <v>1248</v>
      </c>
      <c r="F534" s="1">
        <v>45495</v>
      </c>
      <c r="G534" s="34" t="str">
        <f t="shared" si="8"/>
        <v>Jul</v>
      </c>
      <c r="H534">
        <v>2</v>
      </c>
      <c r="I534" t="s">
        <v>1243</v>
      </c>
      <c r="J534" t="s">
        <v>1218</v>
      </c>
      <c r="K534">
        <v>0.25</v>
      </c>
      <c r="L534">
        <v>160.25</v>
      </c>
      <c r="M534">
        <v>641</v>
      </c>
      <c r="N534">
        <v>480.75</v>
      </c>
      <c r="O534" t="s">
        <v>19</v>
      </c>
    </row>
    <row r="535" spans="1:15" x14ac:dyDescent="0.25">
      <c r="A535">
        <v>1523</v>
      </c>
      <c r="B535">
        <v>3290</v>
      </c>
      <c r="C535" t="s">
        <v>336</v>
      </c>
      <c r="D535" t="s">
        <v>505</v>
      </c>
      <c r="E535" t="s">
        <v>1248</v>
      </c>
      <c r="F535" s="1">
        <v>45496</v>
      </c>
      <c r="G535" s="34" t="str">
        <f t="shared" si="8"/>
        <v>Jul</v>
      </c>
      <c r="H535">
        <v>3</v>
      </c>
      <c r="I535" t="s">
        <v>18</v>
      </c>
      <c r="J535" t="s">
        <v>1220</v>
      </c>
      <c r="K535">
        <v>0.25</v>
      </c>
      <c r="L535">
        <v>303.75</v>
      </c>
      <c r="M535">
        <v>1215</v>
      </c>
      <c r="N535">
        <v>911.25</v>
      </c>
      <c r="O535" t="s">
        <v>1200</v>
      </c>
    </row>
    <row r="536" spans="1:15" x14ac:dyDescent="0.25">
      <c r="A536">
        <v>1707</v>
      </c>
      <c r="B536">
        <v>3475</v>
      </c>
      <c r="C536" t="s">
        <v>734</v>
      </c>
      <c r="D536" t="s">
        <v>735</v>
      </c>
      <c r="E536" t="s">
        <v>1205</v>
      </c>
      <c r="F536" s="1">
        <v>45496</v>
      </c>
      <c r="G536" s="34" t="str">
        <f t="shared" si="8"/>
        <v>Jul</v>
      </c>
      <c r="H536">
        <v>1</v>
      </c>
      <c r="I536" t="s">
        <v>14</v>
      </c>
      <c r="J536" t="s">
        <v>1233</v>
      </c>
      <c r="K536">
        <v>0.1</v>
      </c>
      <c r="L536">
        <v>176.3</v>
      </c>
      <c r="M536">
        <v>1763</v>
      </c>
      <c r="N536">
        <v>1586.7</v>
      </c>
      <c r="O536" t="s">
        <v>1200</v>
      </c>
    </row>
    <row r="537" spans="1:15" x14ac:dyDescent="0.25">
      <c r="A537">
        <v>1815</v>
      </c>
      <c r="B537">
        <v>3583</v>
      </c>
      <c r="C537" t="s">
        <v>841</v>
      </c>
      <c r="D537" t="s">
        <v>842</v>
      </c>
      <c r="E537" t="s">
        <v>1205</v>
      </c>
      <c r="F537" s="1">
        <v>45496</v>
      </c>
      <c r="G537" s="34" t="str">
        <f t="shared" si="8"/>
        <v>Jul</v>
      </c>
      <c r="H537">
        <v>3</v>
      </c>
      <c r="I537" t="s">
        <v>1242</v>
      </c>
      <c r="J537" t="s">
        <v>1216</v>
      </c>
      <c r="K537">
        <v>0.1</v>
      </c>
      <c r="L537">
        <v>130.9</v>
      </c>
      <c r="M537">
        <v>1309</v>
      </c>
      <c r="N537">
        <v>1178.0999999999999</v>
      </c>
      <c r="O537" t="s">
        <v>1200</v>
      </c>
    </row>
    <row r="538" spans="1:15" x14ac:dyDescent="0.25">
      <c r="A538">
        <v>1928</v>
      </c>
      <c r="B538">
        <v>3696</v>
      </c>
      <c r="C538" t="s">
        <v>959</v>
      </c>
      <c r="D538" t="s">
        <v>245</v>
      </c>
      <c r="E538" t="s">
        <v>1203</v>
      </c>
      <c r="F538" s="1">
        <v>45496</v>
      </c>
      <c r="G538" s="34" t="str">
        <f t="shared" si="8"/>
        <v>Jul</v>
      </c>
      <c r="H538">
        <v>3</v>
      </c>
      <c r="I538" t="s">
        <v>1242</v>
      </c>
      <c r="J538" t="s">
        <v>1233</v>
      </c>
      <c r="K538">
        <v>0.3</v>
      </c>
      <c r="L538">
        <v>78.599999999999994</v>
      </c>
      <c r="M538">
        <v>262</v>
      </c>
      <c r="N538">
        <v>183.4</v>
      </c>
      <c r="O538" t="s">
        <v>1200</v>
      </c>
    </row>
    <row r="539" spans="1:15" x14ac:dyDescent="0.25">
      <c r="A539">
        <v>1690</v>
      </c>
      <c r="B539">
        <v>3458</v>
      </c>
      <c r="C539" t="s">
        <v>711</v>
      </c>
      <c r="D539" t="s">
        <v>712</v>
      </c>
      <c r="E539" t="s">
        <v>1248</v>
      </c>
      <c r="F539" s="1">
        <v>45497</v>
      </c>
      <c r="G539" s="34" t="str">
        <f t="shared" si="8"/>
        <v>Jul</v>
      </c>
      <c r="H539">
        <v>3</v>
      </c>
      <c r="I539" t="s">
        <v>14</v>
      </c>
      <c r="J539" t="s">
        <v>1233</v>
      </c>
      <c r="K539">
        <v>0.25</v>
      </c>
      <c r="L539">
        <v>125.25</v>
      </c>
      <c r="M539">
        <v>501</v>
      </c>
      <c r="N539">
        <v>375.75</v>
      </c>
      <c r="O539" t="s">
        <v>19</v>
      </c>
    </row>
    <row r="540" spans="1:15" x14ac:dyDescent="0.25">
      <c r="A540">
        <v>1775</v>
      </c>
      <c r="B540">
        <v>3543</v>
      </c>
      <c r="C540" t="s">
        <v>638</v>
      </c>
      <c r="D540" t="s">
        <v>798</v>
      </c>
      <c r="E540" t="s">
        <v>1249</v>
      </c>
      <c r="F540" s="1">
        <v>45497</v>
      </c>
      <c r="G540" s="34" t="str">
        <f t="shared" si="8"/>
        <v>Jul</v>
      </c>
      <c r="H540">
        <v>3</v>
      </c>
      <c r="I540" t="s">
        <v>14</v>
      </c>
      <c r="J540" t="s">
        <v>1216</v>
      </c>
      <c r="K540">
        <v>0.25</v>
      </c>
      <c r="L540">
        <v>34.25</v>
      </c>
      <c r="M540">
        <v>137</v>
      </c>
      <c r="N540">
        <v>102.75</v>
      </c>
      <c r="O540" t="s">
        <v>1200</v>
      </c>
    </row>
    <row r="541" spans="1:15" x14ac:dyDescent="0.25">
      <c r="A541">
        <v>1831</v>
      </c>
      <c r="B541">
        <v>3599</v>
      </c>
      <c r="C541" t="s">
        <v>859</v>
      </c>
      <c r="D541" t="s">
        <v>145</v>
      </c>
      <c r="E541" t="s">
        <v>1205</v>
      </c>
      <c r="F541" s="1">
        <v>45497</v>
      </c>
      <c r="G541" s="34" t="str">
        <f t="shared" si="8"/>
        <v>Jul</v>
      </c>
      <c r="H541">
        <v>3</v>
      </c>
      <c r="I541" t="s">
        <v>14</v>
      </c>
      <c r="J541" t="s">
        <v>1220</v>
      </c>
      <c r="K541">
        <v>0.1</v>
      </c>
      <c r="L541">
        <v>90.9</v>
      </c>
      <c r="M541">
        <v>909</v>
      </c>
      <c r="N541">
        <v>818.1</v>
      </c>
      <c r="O541" t="s">
        <v>16</v>
      </c>
    </row>
    <row r="542" spans="1:15" x14ac:dyDescent="0.25">
      <c r="A542">
        <v>1422</v>
      </c>
      <c r="B542">
        <v>3189</v>
      </c>
      <c r="C542" t="s">
        <v>357</v>
      </c>
      <c r="D542" t="s">
        <v>348</v>
      </c>
      <c r="E542" t="s">
        <v>1207</v>
      </c>
      <c r="F542" s="1">
        <v>45498</v>
      </c>
      <c r="G542" s="34" t="str">
        <f t="shared" si="8"/>
        <v>Jul</v>
      </c>
      <c r="H542">
        <v>2</v>
      </c>
      <c r="I542" t="s">
        <v>18</v>
      </c>
      <c r="J542" t="s">
        <v>1233</v>
      </c>
      <c r="K542">
        <v>0.2</v>
      </c>
      <c r="L542">
        <v>188.8</v>
      </c>
      <c r="M542">
        <v>944</v>
      </c>
      <c r="N542">
        <v>755.2</v>
      </c>
      <c r="O542" t="s">
        <v>15</v>
      </c>
    </row>
    <row r="543" spans="1:15" x14ac:dyDescent="0.25">
      <c r="A543">
        <v>1517</v>
      </c>
      <c r="B543">
        <v>3284</v>
      </c>
      <c r="C543" t="s">
        <v>79</v>
      </c>
      <c r="D543" t="s">
        <v>498</v>
      </c>
      <c r="E543" t="s">
        <v>1203</v>
      </c>
      <c r="F543" s="1">
        <v>45498</v>
      </c>
      <c r="G543" s="34" t="str">
        <f t="shared" si="8"/>
        <v>Jul</v>
      </c>
      <c r="H543">
        <v>3</v>
      </c>
      <c r="I543" t="s">
        <v>1242</v>
      </c>
      <c r="J543" t="s">
        <v>1228</v>
      </c>
      <c r="K543">
        <v>0.3</v>
      </c>
      <c r="L543">
        <v>513.6</v>
      </c>
      <c r="M543">
        <v>1712</v>
      </c>
      <c r="N543">
        <v>1198.4000000000001</v>
      </c>
      <c r="O543" t="s">
        <v>13</v>
      </c>
    </row>
    <row r="544" spans="1:15" x14ac:dyDescent="0.25">
      <c r="A544">
        <v>1868</v>
      </c>
      <c r="B544">
        <v>3636</v>
      </c>
      <c r="C544" t="s">
        <v>897</v>
      </c>
      <c r="D544" t="s">
        <v>898</v>
      </c>
      <c r="E544" t="s">
        <v>1207</v>
      </c>
      <c r="F544" s="1">
        <v>45498</v>
      </c>
      <c r="G544" s="34" t="str">
        <f t="shared" si="8"/>
        <v>Jul</v>
      </c>
      <c r="H544">
        <v>3</v>
      </c>
      <c r="I544" t="s">
        <v>18</v>
      </c>
      <c r="J544" t="s">
        <v>1233</v>
      </c>
      <c r="K544">
        <v>0.2</v>
      </c>
      <c r="L544">
        <v>107</v>
      </c>
      <c r="M544">
        <v>535</v>
      </c>
      <c r="N544">
        <v>428</v>
      </c>
      <c r="O544" t="s">
        <v>15</v>
      </c>
    </row>
    <row r="545" spans="1:15" x14ac:dyDescent="0.25">
      <c r="A545">
        <v>1913</v>
      </c>
      <c r="B545">
        <v>3681</v>
      </c>
      <c r="C545" t="s">
        <v>940</v>
      </c>
      <c r="D545" t="s">
        <v>219</v>
      </c>
      <c r="E545" t="s">
        <v>1249</v>
      </c>
      <c r="F545" s="1">
        <v>45498</v>
      </c>
      <c r="G545" s="34" t="str">
        <f t="shared" si="8"/>
        <v>Jul</v>
      </c>
      <c r="H545">
        <v>3</v>
      </c>
      <c r="I545" t="s">
        <v>14</v>
      </c>
      <c r="J545" t="s">
        <v>1214</v>
      </c>
      <c r="K545">
        <v>0.25</v>
      </c>
      <c r="L545">
        <v>328</v>
      </c>
      <c r="M545">
        <v>1312</v>
      </c>
      <c r="N545">
        <v>984</v>
      </c>
      <c r="O545" t="s">
        <v>15</v>
      </c>
    </row>
    <row r="546" spans="1:15" x14ac:dyDescent="0.25">
      <c r="A546">
        <v>1721</v>
      </c>
      <c r="B546">
        <v>3489</v>
      </c>
      <c r="C546" t="s">
        <v>320</v>
      </c>
      <c r="D546" t="s">
        <v>308</v>
      </c>
      <c r="E546" t="s">
        <v>1207</v>
      </c>
      <c r="F546" s="1">
        <v>45499</v>
      </c>
      <c r="G546" s="34" t="str">
        <f t="shared" si="8"/>
        <v>Jul</v>
      </c>
      <c r="H546">
        <v>2</v>
      </c>
      <c r="I546" t="s">
        <v>14</v>
      </c>
      <c r="J546" t="s">
        <v>1214</v>
      </c>
      <c r="K546">
        <v>0.2</v>
      </c>
      <c r="L546">
        <v>327.60000000000002</v>
      </c>
      <c r="M546">
        <v>1638</v>
      </c>
      <c r="N546">
        <v>1310.4000000000001</v>
      </c>
      <c r="O546" t="s">
        <v>16</v>
      </c>
    </row>
    <row r="547" spans="1:15" x14ac:dyDescent="0.25">
      <c r="A547">
        <v>1723</v>
      </c>
      <c r="B547">
        <v>3491</v>
      </c>
      <c r="C547" t="s">
        <v>747</v>
      </c>
      <c r="D547" t="s">
        <v>748</v>
      </c>
      <c r="E547" t="s">
        <v>1248</v>
      </c>
      <c r="F547" s="1">
        <v>45499</v>
      </c>
      <c r="G547" s="34" t="str">
        <f t="shared" si="8"/>
        <v>Jul</v>
      </c>
      <c r="H547">
        <v>2</v>
      </c>
      <c r="I547" t="s">
        <v>14</v>
      </c>
      <c r="J547" t="s">
        <v>1214</v>
      </c>
      <c r="K547">
        <v>0.25</v>
      </c>
      <c r="L547">
        <v>320.5</v>
      </c>
      <c r="M547">
        <v>1282</v>
      </c>
      <c r="N547">
        <v>961.5</v>
      </c>
      <c r="O547" t="s">
        <v>1200</v>
      </c>
    </row>
    <row r="548" spans="1:15" x14ac:dyDescent="0.25">
      <c r="A548">
        <v>2220</v>
      </c>
      <c r="B548">
        <v>3989</v>
      </c>
      <c r="C548" t="s">
        <v>1191</v>
      </c>
      <c r="D548" t="s">
        <v>1192</v>
      </c>
      <c r="E548" t="s">
        <v>1248</v>
      </c>
      <c r="F548" s="1">
        <v>45499</v>
      </c>
      <c r="G548" s="34" t="str">
        <f t="shared" si="8"/>
        <v>Jul</v>
      </c>
      <c r="H548">
        <v>3</v>
      </c>
      <c r="I548" t="s">
        <v>1242</v>
      </c>
      <c r="J548" t="s">
        <v>1233</v>
      </c>
      <c r="K548">
        <v>0.25</v>
      </c>
      <c r="L548">
        <v>73.25</v>
      </c>
      <c r="M548">
        <v>293</v>
      </c>
      <c r="N548">
        <v>219.75</v>
      </c>
      <c r="O548" t="s">
        <v>15</v>
      </c>
    </row>
    <row r="549" spans="1:15" x14ac:dyDescent="0.25">
      <c r="A549">
        <v>1375</v>
      </c>
      <c r="B549">
        <v>3142</v>
      </c>
      <c r="C549" t="s">
        <v>283</v>
      </c>
      <c r="D549" t="s">
        <v>39</v>
      </c>
      <c r="E549" t="s">
        <v>1248</v>
      </c>
      <c r="F549" s="1">
        <v>45500</v>
      </c>
      <c r="G549" s="34" t="str">
        <f t="shared" si="8"/>
        <v>Jul</v>
      </c>
      <c r="H549">
        <v>1</v>
      </c>
      <c r="I549" t="s">
        <v>14</v>
      </c>
      <c r="J549" t="s">
        <v>1233</v>
      </c>
      <c r="K549">
        <v>0.25</v>
      </c>
      <c r="L549">
        <v>251.25</v>
      </c>
      <c r="M549">
        <v>1005</v>
      </c>
      <c r="N549">
        <v>753.75</v>
      </c>
      <c r="O549" t="s">
        <v>19</v>
      </c>
    </row>
    <row r="550" spans="1:15" x14ac:dyDescent="0.25">
      <c r="A550">
        <v>1419</v>
      </c>
      <c r="B550">
        <v>3186</v>
      </c>
      <c r="C550" t="s">
        <v>351</v>
      </c>
      <c r="D550" t="s">
        <v>352</v>
      </c>
      <c r="E550" t="s">
        <v>1249</v>
      </c>
      <c r="F550" s="1">
        <v>45500</v>
      </c>
      <c r="G550" s="34" t="str">
        <f t="shared" si="8"/>
        <v>Jul</v>
      </c>
      <c r="H550">
        <v>3</v>
      </c>
      <c r="I550" t="s">
        <v>1242</v>
      </c>
      <c r="J550" t="s">
        <v>1228</v>
      </c>
      <c r="K550">
        <v>0.25</v>
      </c>
      <c r="L550">
        <v>360</v>
      </c>
      <c r="M550">
        <v>1440</v>
      </c>
      <c r="N550">
        <v>1080</v>
      </c>
      <c r="O550" t="s">
        <v>15</v>
      </c>
    </row>
    <row r="551" spans="1:15" x14ac:dyDescent="0.25">
      <c r="A551">
        <v>1714</v>
      </c>
      <c r="B551">
        <v>3482</v>
      </c>
      <c r="C551" t="s">
        <v>740</v>
      </c>
      <c r="D551" t="s">
        <v>460</v>
      </c>
      <c r="E551" t="s">
        <v>1207</v>
      </c>
      <c r="F551" s="1">
        <v>45500</v>
      </c>
      <c r="G551" s="34" t="str">
        <f t="shared" si="8"/>
        <v>Jul</v>
      </c>
      <c r="H551">
        <v>3</v>
      </c>
      <c r="I551" t="s">
        <v>1242</v>
      </c>
      <c r="J551" t="s">
        <v>1214</v>
      </c>
      <c r="K551">
        <v>0.2</v>
      </c>
      <c r="L551">
        <v>204.2</v>
      </c>
      <c r="M551">
        <v>1021</v>
      </c>
      <c r="N551">
        <v>816.8</v>
      </c>
      <c r="O551" t="s">
        <v>19</v>
      </c>
    </row>
    <row r="552" spans="1:15" x14ac:dyDescent="0.25">
      <c r="A552">
        <v>2054</v>
      </c>
      <c r="B552">
        <v>3822</v>
      </c>
      <c r="C552" t="s">
        <v>1060</v>
      </c>
      <c r="D552" t="s">
        <v>778</v>
      </c>
      <c r="E552" t="s">
        <v>1207</v>
      </c>
      <c r="F552" s="1">
        <v>45500</v>
      </c>
      <c r="G552" s="34" t="str">
        <f t="shared" si="8"/>
        <v>Jul</v>
      </c>
      <c r="H552">
        <v>2</v>
      </c>
      <c r="I552" t="s">
        <v>1242</v>
      </c>
      <c r="J552" t="s">
        <v>1228</v>
      </c>
      <c r="K552">
        <v>0.2</v>
      </c>
      <c r="L552">
        <v>16.399999999999999</v>
      </c>
      <c r="M552">
        <v>82</v>
      </c>
      <c r="N552">
        <v>65.599999999999994</v>
      </c>
      <c r="O552" t="s">
        <v>19</v>
      </c>
    </row>
    <row r="553" spans="1:15" x14ac:dyDescent="0.25">
      <c r="A553">
        <v>1607</v>
      </c>
      <c r="B553">
        <v>3374</v>
      </c>
      <c r="C553" t="s">
        <v>609</v>
      </c>
      <c r="D553" t="s">
        <v>473</v>
      </c>
      <c r="E553" t="s">
        <v>1208</v>
      </c>
      <c r="F553" s="1">
        <v>45501</v>
      </c>
      <c r="G553" s="34" t="str">
        <f t="shared" si="8"/>
        <v>Jul</v>
      </c>
      <c r="H553">
        <v>3</v>
      </c>
      <c r="I553" t="s">
        <v>14</v>
      </c>
      <c r="J553" t="s">
        <v>1222</v>
      </c>
      <c r="K553">
        <v>0.3</v>
      </c>
      <c r="L553">
        <v>36.299999999999997</v>
      </c>
      <c r="M553">
        <v>121</v>
      </c>
      <c r="N553">
        <v>84.7</v>
      </c>
      <c r="O553" t="s">
        <v>19</v>
      </c>
    </row>
    <row r="554" spans="1:15" x14ac:dyDescent="0.25">
      <c r="A554">
        <v>1614</v>
      </c>
      <c r="B554">
        <v>3381</v>
      </c>
      <c r="C554" t="s">
        <v>616</v>
      </c>
      <c r="D554" t="s">
        <v>541</v>
      </c>
      <c r="E554" t="s">
        <v>1205</v>
      </c>
      <c r="F554" s="1">
        <v>45501</v>
      </c>
      <c r="G554" s="34" t="str">
        <f t="shared" si="8"/>
        <v>Jul</v>
      </c>
      <c r="H554">
        <v>2</v>
      </c>
      <c r="I554" t="s">
        <v>18</v>
      </c>
      <c r="J554" t="s">
        <v>1224</v>
      </c>
      <c r="K554">
        <v>0.1</v>
      </c>
      <c r="L554">
        <v>32.200000000000003</v>
      </c>
      <c r="M554">
        <v>322</v>
      </c>
      <c r="N554">
        <v>289.8</v>
      </c>
      <c r="O554" t="s">
        <v>1200</v>
      </c>
    </row>
    <row r="555" spans="1:15" x14ac:dyDescent="0.25">
      <c r="A555">
        <v>2077</v>
      </c>
      <c r="B555">
        <v>3845</v>
      </c>
      <c r="C555" t="s">
        <v>1079</v>
      </c>
      <c r="D555" t="s">
        <v>1080</v>
      </c>
      <c r="E555" t="s">
        <v>1248</v>
      </c>
      <c r="F555" s="1">
        <v>45501</v>
      </c>
      <c r="G555" s="34" t="str">
        <f t="shared" si="8"/>
        <v>Jul</v>
      </c>
      <c r="H555">
        <v>3</v>
      </c>
      <c r="I555" t="s">
        <v>14</v>
      </c>
      <c r="J555" t="s">
        <v>1218</v>
      </c>
      <c r="K555">
        <v>0.25</v>
      </c>
      <c r="L555">
        <v>59.75</v>
      </c>
      <c r="M555">
        <v>239</v>
      </c>
      <c r="N555">
        <v>179.25</v>
      </c>
      <c r="O555" t="s">
        <v>19</v>
      </c>
    </row>
    <row r="556" spans="1:15" x14ac:dyDescent="0.25">
      <c r="A556">
        <v>1891</v>
      </c>
      <c r="B556">
        <v>3659</v>
      </c>
      <c r="C556" t="s">
        <v>922</v>
      </c>
      <c r="D556" t="s">
        <v>698</v>
      </c>
      <c r="E556" t="s">
        <v>1203</v>
      </c>
      <c r="F556" s="1">
        <v>45502</v>
      </c>
      <c r="G556" s="34" t="str">
        <f t="shared" si="8"/>
        <v>Jul</v>
      </c>
      <c r="H556">
        <v>1</v>
      </c>
      <c r="I556" t="s">
        <v>1242</v>
      </c>
      <c r="J556" t="s">
        <v>1228</v>
      </c>
      <c r="K556">
        <v>0.3</v>
      </c>
      <c r="L556">
        <v>351.9</v>
      </c>
      <c r="M556">
        <v>1173</v>
      </c>
      <c r="N556">
        <v>821.1</v>
      </c>
      <c r="O556" t="s">
        <v>13</v>
      </c>
    </row>
    <row r="557" spans="1:15" x14ac:dyDescent="0.25">
      <c r="A557">
        <v>2150</v>
      </c>
      <c r="B557">
        <v>3919</v>
      </c>
      <c r="C557" t="s">
        <v>1146</v>
      </c>
      <c r="D557" t="s">
        <v>409</v>
      </c>
      <c r="E557" t="s">
        <v>1208</v>
      </c>
      <c r="F557" s="1">
        <v>45502</v>
      </c>
      <c r="G557" s="34" t="str">
        <f t="shared" si="8"/>
        <v>Jul</v>
      </c>
      <c r="H557">
        <v>3</v>
      </c>
      <c r="I557" t="s">
        <v>14</v>
      </c>
      <c r="J557" t="s">
        <v>1233</v>
      </c>
      <c r="K557">
        <v>0.3</v>
      </c>
      <c r="L557">
        <v>165.3</v>
      </c>
      <c r="M557">
        <v>551</v>
      </c>
      <c r="N557">
        <v>385.7</v>
      </c>
      <c r="O557" t="s">
        <v>16</v>
      </c>
    </row>
    <row r="558" spans="1:15" x14ac:dyDescent="0.25">
      <c r="A558">
        <v>1636</v>
      </c>
      <c r="B558">
        <v>3404</v>
      </c>
      <c r="C558" t="s">
        <v>44</v>
      </c>
      <c r="D558" t="s">
        <v>641</v>
      </c>
      <c r="E558" t="s">
        <v>1205</v>
      </c>
      <c r="F558" s="1">
        <v>45503</v>
      </c>
      <c r="G558" s="34" t="str">
        <f t="shared" si="8"/>
        <v>Jul</v>
      </c>
      <c r="H558">
        <v>3</v>
      </c>
      <c r="I558" t="s">
        <v>18</v>
      </c>
      <c r="J558" t="s">
        <v>1220</v>
      </c>
      <c r="K558">
        <v>0.1</v>
      </c>
      <c r="L558">
        <v>39.1</v>
      </c>
      <c r="M558">
        <v>391</v>
      </c>
      <c r="N558">
        <v>351.9</v>
      </c>
      <c r="O558" t="s">
        <v>15</v>
      </c>
    </row>
    <row r="559" spans="1:15" x14ac:dyDescent="0.25">
      <c r="A559">
        <v>1847</v>
      </c>
      <c r="B559">
        <v>3615</v>
      </c>
      <c r="C559" t="s">
        <v>875</v>
      </c>
      <c r="D559" t="s">
        <v>55</v>
      </c>
      <c r="E559" t="s">
        <v>1205</v>
      </c>
      <c r="F559" s="1">
        <v>45503</v>
      </c>
      <c r="G559" s="34" t="str">
        <f t="shared" si="8"/>
        <v>Jul</v>
      </c>
      <c r="H559">
        <v>2</v>
      </c>
      <c r="I559" t="s">
        <v>14</v>
      </c>
      <c r="J559" t="s">
        <v>1228</v>
      </c>
      <c r="K559">
        <v>0.1</v>
      </c>
      <c r="L559">
        <v>5.4</v>
      </c>
      <c r="M559">
        <v>54</v>
      </c>
      <c r="N559">
        <v>48.6</v>
      </c>
      <c r="O559" t="s">
        <v>13</v>
      </c>
    </row>
    <row r="560" spans="1:15" x14ac:dyDescent="0.25">
      <c r="A560">
        <v>1886</v>
      </c>
      <c r="B560">
        <v>3654</v>
      </c>
      <c r="C560" t="s">
        <v>862</v>
      </c>
      <c r="D560" t="s">
        <v>915</v>
      </c>
      <c r="E560" t="s">
        <v>1208</v>
      </c>
      <c r="F560" s="1">
        <v>45503</v>
      </c>
      <c r="G560" s="34" t="str">
        <f t="shared" si="8"/>
        <v>Jul</v>
      </c>
      <c r="H560">
        <v>3</v>
      </c>
      <c r="I560" t="s">
        <v>14</v>
      </c>
      <c r="J560" t="s">
        <v>1233</v>
      </c>
      <c r="K560">
        <v>0.3</v>
      </c>
      <c r="L560">
        <v>109.2</v>
      </c>
      <c r="M560">
        <v>364</v>
      </c>
      <c r="N560">
        <v>254.8</v>
      </c>
      <c r="O560" t="s">
        <v>13</v>
      </c>
    </row>
    <row r="561" spans="1:15" x14ac:dyDescent="0.25">
      <c r="A561">
        <v>1906</v>
      </c>
      <c r="B561">
        <v>3674</v>
      </c>
      <c r="C561" t="s">
        <v>738</v>
      </c>
      <c r="D561" t="s">
        <v>90</v>
      </c>
      <c r="E561" t="s">
        <v>1249</v>
      </c>
      <c r="F561" s="1">
        <v>45503</v>
      </c>
      <c r="G561" s="34" t="str">
        <f t="shared" si="8"/>
        <v>Jul</v>
      </c>
      <c r="H561">
        <v>2</v>
      </c>
      <c r="I561" t="s">
        <v>1243</v>
      </c>
      <c r="J561" t="s">
        <v>1220</v>
      </c>
      <c r="K561">
        <v>0.25</v>
      </c>
      <c r="L561">
        <v>158</v>
      </c>
      <c r="M561">
        <v>632</v>
      </c>
      <c r="N561">
        <v>474</v>
      </c>
      <c r="O561" t="s">
        <v>16</v>
      </c>
    </row>
    <row r="562" spans="1:15" x14ac:dyDescent="0.25">
      <c r="A562">
        <v>2183</v>
      </c>
      <c r="B562">
        <v>3952</v>
      </c>
      <c r="C562" t="s">
        <v>1169</v>
      </c>
      <c r="D562" t="s">
        <v>1170</v>
      </c>
      <c r="E562" t="s">
        <v>1205</v>
      </c>
      <c r="F562" s="1">
        <v>45503</v>
      </c>
      <c r="G562" s="34" t="str">
        <f t="shared" si="8"/>
        <v>Jul</v>
      </c>
      <c r="H562">
        <v>3</v>
      </c>
      <c r="I562" t="s">
        <v>18</v>
      </c>
      <c r="J562" t="s">
        <v>1218</v>
      </c>
      <c r="K562">
        <v>0.1</v>
      </c>
      <c r="L562">
        <v>127</v>
      </c>
      <c r="M562">
        <v>1270</v>
      </c>
      <c r="N562">
        <v>1143</v>
      </c>
      <c r="O562" t="s">
        <v>13</v>
      </c>
    </row>
    <row r="563" spans="1:15" x14ac:dyDescent="0.25">
      <c r="A563">
        <v>1513</v>
      </c>
      <c r="B563">
        <v>3280</v>
      </c>
      <c r="C563" t="s">
        <v>492</v>
      </c>
      <c r="D563" t="s">
        <v>223</v>
      </c>
      <c r="E563" t="s">
        <v>1248</v>
      </c>
      <c r="F563" s="1">
        <v>45504</v>
      </c>
      <c r="G563" s="34" t="str">
        <f t="shared" si="8"/>
        <v>Jul</v>
      </c>
      <c r="H563">
        <v>3</v>
      </c>
      <c r="I563" t="s">
        <v>14</v>
      </c>
      <c r="J563" t="s">
        <v>1228</v>
      </c>
      <c r="K563">
        <v>0.25</v>
      </c>
      <c r="L563">
        <v>301.75</v>
      </c>
      <c r="M563">
        <v>1207</v>
      </c>
      <c r="N563">
        <v>905.25</v>
      </c>
      <c r="O563" t="s">
        <v>1200</v>
      </c>
    </row>
    <row r="564" spans="1:15" x14ac:dyDescent="0.25">
      <c r="A564">
        <v>1562</v>
      </c>
      <c r="B564">
        <v>3329</v>
      </c>
      <c r="C564" t="s">
        <v>555</v>
      </c>
      <c r="D564" t="s">
        <v>556</v>
      </c>
      <c r="E564" t="s">
        <v>1207</v>
      </c>
      <c r="F564" s="1">
        <v>45504</v>
      </c>
      <c r="G564" s="34" t="str">
        <f t="shared" si="8"/>
        <v>Jul</v>
      </c>
      <c r="H564">
        <v>1</v>
      </c>
      <c r="I564" t="s">
        <v>1243</v>
      </c>
      <c r="J564" t="s">
        <v>1218</v>
      </c>
      <c r="K564">
        <v>0.2</v>
      </c>
      <c r="L564">
        <v>270.60000000000002</v>
      </c>
      <c r="M564">
        <v>1353</v>
      </c>
      <c r="N564">
        <v>1082.4000000000001</v>
      </c>
      <c r="O564" t="s">
        <v>15</v>
      </c>
    </row>
    <row r="565" spans="1:15" x14ac:dyDescent="0.25">
      <c r="A565">
        <v>1701</v>
      </c>
      <c r="B565">
        <v>3469</v>
      </c>
      <c r="C565" t="s">
        <v>726</v>
      </c>
      <c r="D565" t="s">
        <v>155</v>
      </c>
      <c r="E565" t="s">
        <v>1207</v>
      </c>
      <c r="F565" s="1">
        <v>45504</v>
      </c>
      <c r="G565" s="34" t="str">
        <f t="shared" si="8"/>
        <v>Jul</v>
      </c>
      <c r="H565">
        <v>3</v>
      </c>
      <c r="I565" t="s">
        <v>1243</v>
      </c>
      <c r="J565" t="s">
        <v>1222</v>
      </c>
      <c r="K565">
        <v>0.2</v>
      </c>
      <c r="L565">
        <v>252</v>
      </c>
      <c r="M565">
        <v>1260</v>
      </c>
      <c r="N565">
        <v>1008</v>
      </c>
      <c r="O565" t="s">
        <v>19</v>
      </c>
    </row>
    <row r="566" spans="1:15" x14ac:dyDescent="0.25">
      <c r="A566">
        <v>1281</v>
      </c>
      <c r="B566">
        <v>3048</v>
      </c>
      <c r="C566" t="s">
        <v>118</v>
      </c>
      <c r="D566" t="s">
        <v>119</v>
      </c>
      <c r="E566" t="s">
        <v>1207</v>
      </c>
      <c r="F566" s="1">
        <v>45505</v>
      </c>
      <c r="G566" s="34" t="str">
        <f t="shared" si="8"/>
        <v>Aug</v>
      </c>
      <c r="H566">
        <v>3</v>
      </c>
      <c r="I566" t="s">
        <v>14</v>
      </c>
      <c r="J566" t="s">
        <v>1224</v>
      </c>
      <c r="K566">
        <v>0.2</v>
      </c>
      <c r="L566">
        <v>295.2</v>
      </c>
      <c r="M566">
        <v>1476</v>
      </c>
      <c r="N566">
        <v>1180.8</v>
      </c>
      <c r="O566" t="s">
        <v>19</v>
      </c>
    </row>
    <row r="567" spans="1:15" x14ac:dyDescent="0.25">
      <c r="A567">
        <v>1354</v>
      </c>
      <c r="B567">
        <v>3121</v>
      </c>
      <c r="C567" t="s">
        <v>246</v>
      </c>
      <c r="D567" t="s">
        <v>194</v>
      </c>
      <c r="E567" t="s">
        <v>1203</v>
      </c>
      <c r="F567" s="1">
        <v>45505</v>
      </c>
      <c r="G567" s="34" t="str">
        <f t="shared" si="8"/>
        <v>Aug</v>
      </c>
      <c r="H567">
        <v>1</v>
      </c>
      <c r="I567" t="s">
        <v>14</v>
      </c>
      <c r="J567" t="s">
        <v>1222</v>
      </c>
      <c r="K567">
        <v>0.3</v>
      </c>
      <c r="L567">
        <v>176.7</v>
      </c>
      <c r="M567">
        <v>589</v>
      </c>
      <c r="N567">
        <v>412.3</v>
      </c>
      <c r="O567" t="s">
        <v>19</v>
      </c>
    </row>
    <row r="568" spans="1:15" x14ac:dyDescent="0.25">
      <c r="A568">
        <v>1529</v>
      </c>
      <c r="B568">
        <v>3296</v>
      </c>
      <c r="C568" t="s">
        <v>498</v>
      </c>
      <c r="D568" t="s">
        <v>176</v>
      </c>
      <c r="E568" t="s">
        <v>1208</v>
      </c>
      <c r="F568" s="1">
        <v>45505</v>
      </c>
      <c r="G568" s="34" t="str">
        <f t="shared" si="8"/>
        <v>Aug</v>
      </c>
      <c r="H568">
        <v>1</v>
      </c>
      <c r="I568" t="s">
        <v>1242</v>
      </c>
      <c r="J568" t="s">
        <v>1233</v>
      </c>
      <c r="K568">
        <v>0.3</v>
      </c>
      <c r="L568">
        <v>450.6</v>
      </c>
      <c r="M568">
        <v>1502</v>
      </c>
      <c r="N568">
        <v>1051.4000000000001</v>
      </c>
      <c r="O568" t="s">
        <v>16</v>
      </c>
    </row>
    <row r="569" spans="1:15" x14ac:dyDescent="0.25">
      <c r="A569">
        <v>1540</v>
      </c>
      <c r="B569">
        <v>3307</v>
      </c>
      <c r="C569" t="s">
        <v>524</v>
      </c>
      <c r="D569" t="s">
        <v>525</v>
      </c>
      <c r="E569" t="s">
        <v>1203</v>
      </c>
      <c r="F569" s="1">
        <v>45505</v>
      </c>
      <c r="G569" s="34" t="str">
        <f t="shared" si="8"/>
        <v>Aug</v>
      </c>
      <c r="H569">
        <v>3</v>
      </c>
      <c r="I569" t="s">
        <v>1242</v>
      </c>
      <c r="J569" t="s">
        <v>1224</v>
      </c>
      <c r="K569">
        <v>0.3</v>
      </c>
      <c r="L569">
        <v>75</v>
      </c>
      <c r="M569">
        <v>250</v>
      </c>
      <c r="N569">
        <v>175</v>
      </c>
      <c r="O569" t="s">
        <v>1200</v>
      </c>
    </row>
    <row r="570" spans="1:15" x14ac:dyDescent="0.25">
      <c r="A570">
        <v>1739</v>
      </c>
      <c r="B570">
        <v>3507</v>
      </c>
      <c r="C570" t="s">
        <v>766</v>
      </c>
      <c r="D570" t="s">
        <v>643</v>
      </c>
      <c r="E570" t="s">
        <v>1205</v>
      </c>
      <c r="F570" s="1">
        <v>45505</v>
      </c>
      <c r="G570" s="34" t="str">
        <f t="shared" si="8"/>
        <v>Aug</v>
      </c>
      <c r="H570">
        <v>3</v>
      </c>
      <c r="I570" t="s">
        <v>1242</v>
      </c>
      <c r="J570" t="s">
        <v>1214</v>
      </c>
      <c r="K570">
        <v>0.1</v>
      </c>
      <c r="L570">
        <v>175.6</v>
      </c>
      <c r="M570">
        <v>1756</v>
      </c>
      <c r="N570">
        <v>1580.4</v>
      </c>
      <c r="O570" t="s">
        <v>19</v>
      </c>
    </row>
    <row r="571" spans="1:15" x14ac:dyDescent="0.25">
      <c r="A571">
        <v>1966</v>
      </c>
      <c r="B571">
        <v>3734</v>
      </c>
      <c r="C571" t="s">
        <v>341</v>
      </c>
      <c r="D571" t="s">
        <v>288</v>
      </c>
      <c r="E571" t="s">
        <v>1207</v>
      </c>
      <c r="F571" s="1">
        <v>45505</v>
      </c>
      <c r="G571" s="34" t="str">
        <f t="shared" si="8"/>
        <v>Aug</v>
      </c>
      <c r="H571">
        <v>1</v>
      </c>
      <c r="I571" t="s">
        <v>1242</v>
      </c>
      <c r="J571" t="s">
        <v>1216</v>
      </c>
      <c r="K571">
        <v>0.2</v>
      </c>
      <c r="L571">
        <v>318.60000000000002</v>
      </c>
      <c r="M571">
        <v>1593</v>
      </c>
      <c r="N571">
        <v>1274.4000000000001</v>
      </c>
      <c r="O571" t="s">
        <v>15</v>
      </c>
    </row>
    <row r="572" spans="1:15" x14ac:dyDescent="0.25">
      <c r="A572">
        <v>2187</v>
      </c>
      <c r="B572">
        <v>3956</v>
      </c>
      <c r="C572" t="s">
        <v>859</v>
      </c>
      <c r="D572" t="s">
        <v>643</v>
      </c>
      <c r="E572" t="s">
        <v>1249</v>
      </c>
      <c r="F572" s="1">
        <v>45505</v>
      </c>
      <c r="G572" s="34" t="str">
        <f t="shared" si="8"/>
        <v>Aug</v>
      </c>
      <c r="H572">
        <v>2</v>
      </c>
      <c r="I572" t="s">
        <v>14</v>
      </c>
      <c r="J572" t="s">
        <v>1228</v>
      </c>
      <c r="K572">
        <v>0.25</v>
      </c>
      <c r="L572">
        <v>43.75</v>
      </c>
      <c r="M572">
        <v>175</v>
      </c>
      <c r="N572">
        <v>131.25</v>
      </c>
      <c r="O572" t="s">
        <v>19</v>
      </c>
    </row>
    <row r="573" spans="1:15" x14ac:dyDescent="0.25">
      <c r="A573">
        <v>1593</v>
      </c>
      <c r="B573">
        <v>3360</v>
      </c>
      <c r="C573" t="s">
        <v>248</v>
      </c>
      <c r="D573" t="s">
        <v>593</v>
      </c>
      <c r="E573" t="s">
        <v>1249</v>
      </c>
      <c r="F573" s="1">
        <v>45506</v>
      </c>
      <c r="G573" s="34" t="str">
        <f t="shared" si="8"/>
        <v>Aug</v>
      </c>
      <c r="H573">
        <v>2</v>
      </c>
      <c r="I573" t="s">
        <v>14</v>
      </c>
      <c r="J573" t="s">
        <v>1233</v>
      </c>
      <c r="K573">
        <v>0.25</v>
      </c>
      <c r="L573">
        <v>275</v>
      </c>
      <c r="M573">
        <v>1100</v>
      </c>
      <c r="N573">
        <v>825</v>
      </c>
      <c r="O573" t="s">
        <v>19</v>
      </c>
    </row>
    <row r="574" spans="1:15" x14ac:dyDescent="0.25">
      <c r="A574">
        <v>1960</v>
      </c>
      <c r="B574">
        <v>3728</v>
      </c>
      <c r="C574" t="s">
        <v>984</v>
      </c>
      <c r="D574" t="s">
        <v>985</v>
      </c>
      <c r="E574" t="s">
        <v>1205</v>
      </c>
      <c r="F574" s="1">
        <v>45506</v>
      </c>
      <c r="G574" s="34" t="str">
        <f t="shared" si="8"/>
        <v>Aug</v>
      </c>
      <c r="H574">
        <v>1</v>
      </c>
      <c r="I574" t="s">
        <v>1242</v>
      </c>
      <c r="J574" t="s">
        <v>1224</v>
      </c>
      <c r="K574">
        <v>0.1</v>
      </c>
      <c r="L574">
        <v>178.3</v>
      </c>
      <c r="M574">
        <v>1783</v>
      </c>
      <c r="N574">
        <v>1604.7</v>
      </c>
      <c r="O574" t="s">
        <v>15</v>
      </c>
    </row>
    <row r="575" spans="1:15" x14ac:dyDescent="0.25">
      <c r="A575">
        <v>2122</v>
      </c>
      <c r="B575">
        <v>3891</v>
      </c>
      <c r="C575" t="s">
        <v>1119</v>
      </c>
      <c r="D575" t="s">
        <v>1120</v>
      </c>
      <c r="E575" t="s">
        <v>1248</v>
      </c>
      <c r="F575" s="1">
        <v>45506</v>
      </c>
      <c r="G575" s="34" t="str">
        <f t="shared" si="8"/>
        <v>Aug</v>
      </c>
      <c r="H575">
        <v>1</v>
      </c>
      <c r="I575" t="s">
        <v>14</v>
      </c>
      <c r="J575" t="s">
        <v>1220</v>
      </c>
      <c r="K575">
        <v>0.25</v>
      </c>
      <c r="L575">
        <v>243.25</v>
      </c>
      <c r="M575">
        <v>973</v>
      </c>
      <c r="N575">
        <v>729.75</v>
      </c>
      <c r="O575" t="s">
        <v>16</v>
      </c>
    </row>
    <row r="576" spans="1:15" x14ac:dyDescent="0.25">
      <c r="A576">
        <v>1590</v>
      </c>
      <c r="B576">
        <v>3357</v>
      </c>
      <c r="C576" t="s">
        <v>259</v>
      </c>
      <c r="D576" t="s">
        <v>590</v>
      </c>
      <c r="E576" t="s">
        <v>1207</v>
      </c>
      <c r="F576" s="1">
        <v>45507</v>
      </c>
      <c r="G576" s="34" t="str">
        <f t="shared" si="8"/>
        <v>Aug</v>
      </c>
      <c r="H576">
        <v>2</v>
      </c>
      <c r="I576" t="s">
        <v>1242</v>
      </c>
      <c r="J576" t="s">
        <v>1222</v>
      </c>
      <c r="K576">
        <v>0.2</v>
      </c>
      <c r="L576">
        <v>97.8</v>
      </c>
      <c r="M576">
        <v>489</v>
      </c>
      <c r="N576">
        <v>391.2</v>
      </c>
      <c r="O576" t="s">
        <v>15</v>
      </c>
    </row>
    <row r="577" spans="1:15" x14ac:dyDescent="0.25">
      <c r="A577">
        <v>1712</v>
      </c>
      <c r="B577">
        <v>3480</v>
      </c>
      <c r="C577" t="s">
        <v>449</v>
      </c>
      <c r="D577" t="s">
        <v>494</v>
      </c>
      <c r="E577" t="s">
        <v>1207</v>
      </c>
      <c r="F577" s="1">
        <v>45507</v>
      </c>
      <c r="G577" s="34" t="str">
        <f t="shared" si="8"/>
        <v>Aug</v>
      </c>
      <c r="H577">
        <v>3</v>
      </c>
      <c r="I577" t="s">
        <v>14</v>
      </c>
      <c r="J577" t="s">
        <v>1216</v>
      </c>
      <c r="K577">
        <v>0.2</v>
      </c>
      <c r="L577">
        <v>307</v>
      </c>
      <c r="M577">
        <v>1535</v>
      </c>
      <c r="N577">
        <v>1228</v>
      </c>
      <c r="O577" t="s">
        <v>1200</v>
      </c>
    </row>
    <row r="578" spans="1:15" x14ac:dyDescent="0.25">
      <c r="A578">
        <v>1907</v>
      </c>
      <c r="B578">
        <v>3675</v>
      </c>
      <c r="C578" t="s">
        <v>937</v>
      </c>
      <c r="D578" t="s">
        <v>938</v>
      </c>
      <c r="E578" t="s">
        <v>1203</v>
      </c>
      <c r="F578" s="1">
        <v>45507</v>
      </c>
      <c r="G578" s="34" t="str">
        <f t="shared" ref="G578:G641" si="9">TEXT(F578, "MMM")</f>
        <v>Aug</v>
      </c>
      <c r="H578">
        <v>1</v>
      </c>
      <c r="I578" t="s">
        <v>14</v>
      </c>
      <c r="J578" t="s">
        <v>1233</v>
      </c>
      <c r="K578">
        <v>0.3</v>
      </c>
      <c r="L578">
        <v>473.1</v>
      </c>
      <c r="M578">
        <v>1577</v>
      </c>
      <c r="N578">
        <v>1103.9000000000001</v>
      </c>
      <c r="O578" t="s">
        <v>15</v>
      </c>
    </row>
    <row r="579" spans="1:15" x14ac:dyDescent="0.25">
      <c r="A579">
        <v>2108</v>
      </c>
      <c r="B579">
        <v>3877</v>
      </c>
      <c r="C579" t="s">
        <v>1105</v>
      </c>
      <c r="D579" t="s">
        <v>1106</v>
      </c>
      <c r="E579" t="s">
        <v>1207</v>
      </c>
      <c r="F579" s="1">
        <v>45508</v>
      </c>
      <c r="G579" s="34" t="str">
        <f t="shared" si="9"/>
        <v>Aug</v>
      </c>
      <c r="H579">
        <v>3</v>
      </c>
      <c r="I579" t="s">
        <v>1242</v>
      </c>
      <c r="J579" t="s">
        <v>1216</v>
      </c>
      <c r="K579">
        <v>0.2</v>
      </c>
      <c r="L579">
        <v>216.6</v>
      </c>
      <c r="M579">
        <v>1083</v>
      </c>
      <c r="N579">
        <v>866.4</v>
      </c>
      <c r="O579" t="s">
        <v>15</v>
      </c>
    </row>
    <row r="580" spans="1:15" x14ac:dyDescent="0.25">
      <c r="A580">
        <v>1448</v>
      </c>
      <c r="B580">
        <v>3215</v>
      </c>
      <c r="C580" t="s">
        <v>398</v>
      </c>
      <c r="D580" t="s">
        <v>399</v>
      </c>
      <c r="E580" t="s">
        <v>1248</v>
      </c>
      <c r="F580" s="1">
        <v>45510</v>
      </c>
      <c r="G580" s="34" t="str">
        <f t="shared" si="9"/>
        <v>Aug</v>
      </c>
      <c r="H580">
        <v>3</v>
      </c>
      <c r="I580" t="s">
        <v>1242</v>
      </c>
      <c r="J580" t="s">
        <v>1220</v>
      </c>
      <c r="K580">
        <v>0.25</v>
      </c>
      <c r="L580">
        <v>443</v>
      </c>
      <c r="M580">
        <v>1772</v>
      </c>
      <c r="N580">
        <v>1329</v>
      </c>
      <c r="O580" t="s">
        <v>19</v>
      </c>
    </row>
    <row r="581" spans="1:15" x14ac:dyDescent="0.25">
      <c r="A581">
        <v>1503</v>
      </c>
      <c r="B581">
        <v>3270</v>
      </c>
      <c r="C581" t="s">
        <v>480</v>
      </c>
      <c r="D581" t="s">
        <v>481</v>
      </c>
      <c r="E581" t="s">
        <v>1248</v>
      </c>
      <c r="F581" s="1">
        <v>45510</v>
      </c>
      <c r="G581" s="34" t="str">
        <f t="shared" si="9"/>
        <v>Aug</v>
      </c>
      <c r="H581">
        <v>3</v>
      </c>
      <c r="I581" t="s">
        <v>1242</v>
      </c>
      <c r="J581" t="s">
        <v>1216</v>
      </c>
      <c r="K581">
        <v>0.25</v>
      </c>
      <c r="L581">
        <v>309.5</v>
      </c>
      <c r="M581">
        <v>1238</v>
      </c>
      <c r="N581">
        <v>928.5</v>
      </c>
      <c r="O581" t="s">
        <v>16</v>
      </c>
    </row>
    <row r="582" spans="1:15" x14ac:dyDescent="0.25">
      <c r="A582">
        <v>1986</v>
      </c>
      <c r="B582">
        <v>3754</v>
      </c>
      <c r="C582" t="s">
        <v>1004</v>
      </c>
      <c r="D582" t="s">
        <v>1005</v>
      </c>
      <c r="E582" t="s">
        <v>1208</v>
      </c>
      <c r="F582" s="1">
        <v>45510</v>
      </c>
      <c r="G582" s="34" t="str">
        <f t="shared" si="9"/>
        <v>Aug</v>
      </c>
      <c r="H582">
        <v>1</v>
      </c>
      <c r="I582" t="s">
        <v>1242</v>
      </c>
      <c r="J582" t="s">
        <v>1218</v>
      </c>
      <c r="K582">
        <v>0.3</v>
      </c>
      <c r="L582">
        <v>277.5</v>
      </c>
      <c r="M582">
        <v>925</v>
      </c>
      <c r="N582">
        <v>647.5</v>
      </c>
      <c r="O582" t="s">
        <v>15</v>
      </c>
    </row>
    <row r="583" spans="1:15" x14ac:dyDescent="0.25">
      <c r="A583">
        <v>1643</v>
      </c>
      <c r="B583">
        <v>3411</v>
      </c>
      <c r="C583" t="s">
        <v>636</v>
      </c>
      <c r="D583" t="s">
        <v>652</v>
      </c>
      <c r="E583" t="s">
        <v>1205</v>
      </c>
      <c r="F583" s="1">
        <v>45511</v>
      </c>
      <c r="G583" s="34" t="str">
        <f t="shared" si="9"/>
        <v>Aug</v>
      </c>
      <c r="H583">
        <v>3</v>
      </c>
      <c r="I583" t="s">
        <v>1243</v>
      </c>
      <c r="J583" t="s">
        <v>1220</v>
      </c>
      <c r="K583">
        <v>0.1</v>
      </c>
      <c r="L583">
        <v>70.400000000000006</v>
      </c>
      <c r="M583">
        <v>704</v>
      </c>
      <c r="N583">
        <v>633.6</v>
      </c>
      <c r="O583" t="s">
        <v>15</v>
      </c>
    </row>
    <row r="584" spans="1:15" x14ac:dyDescent="0.25">
      <c r="A584">
        <v>1999</v>
      </c>
      <c r="B584">
        <v>3767</v>
      </c>
      <c r="C584" t="s">
        <v>689</v>
      </c>
      <c r="D584" t="s">
        <v>1011</v>
      </c>
      <c r="E584" t="s">
        <v>1207</v>
      </c>
      <c r="F584" s="1">
        <v>45511</v>
      </c>
      <c r="G584" s="34" t="str">
        <f t="shared" si="9"/>
        <v>Aug</v>
      </c>
      <c r="H584">
        <v>3</v>
      </c>
      <c r="I584" t="s">
        <v>14</v>
      </c>
      <c r="J584" t="s">
        <v>1214</v>
      </c>
      <c r="K584">
        <v>0.2</v>
      </c>
      <c r="L584">
        <v>11.4</v>
      </c>
      <c r="M584">
        <v>57</v>
      </c>
      <c r="N584">
        <v>45.6</v>
      </c>
      <c r="O584" t="s">
        <v>13</v>
      </c>
    </row>
    <row r="585" spans="1:15" x14ac:dyDescent="0.25">
      <c r="A585">
        <v>2020</v>
      </c>
      <c r="B585">
        <v>3788</v>
      </c>
      <c r="C585" t="s">
        <v>536</v>
      </c>
      <c r="D585" t="s">
        <v>812</v>
      </c>
      <c r="E585" t="s">
        <v>1205</v>
      </c>
      <c r="F585" s="1">
        <v>45511</v>
      </c>
      <c r="G585" s="34" t="str">
        <f t="shared" si="9"/>
        <v>Aug</v>
      </c>
      <c r="H585">
        <v>1</v>
      </c>
      <c r="I585" t="s">
        <v>1242</v>
      </c>
      <c r="J585" t="s">
        <v>1224</v>
      </c>
      <c r="K585">
        <v>0.1</v>
      </c>
      <c r="L585">
        <v>122.7</v>
      </c>
      <c r="M585">
        <v>1227</v>
      </c>
      <c r="N585">
        <v>1104.3</v>
      </c>
      <c r="O585" t="s">
        <v>19</v>
      </c>
    </row>
    <row r="586" spans="1:15" x14ac:dyDescent="0.25">
      <c r="A586">
        <v>2038</v>
      </c>
      <c r="B586">
        <v>3806</v>
      </c>
      <c r="C586" t="s">
        <v>657</v>
      </c>
      <c r="D586" t="s">
        <v>870</v>
      </c>
      <c r="E586" t="s">
        <v>1248</v>
      </c>
      <c r="F586" s="1">
        <v>45511</v>
      </c>
      <c r="G586" s="34" t="str">
        <f t="shared" si="9"/>
        <v>Aug</v>
      </c>
      <c r="H586">
        <v>2</v>
      </c>
      <c r="I586" t="s">
        <v>14</v>
      </c>
      <c r="J586" t="s">
        <v>1233</v>
      </c>
      <c r="K586">
        <v>0.25</v>
      </c>
      <c r="L586">
        <v>111.25</v>
      </c>
      <c r="M586">
        <v>445</v>
      </c>
      <c r="N586">
        <v>333.75</v>
      </c>
      <c r="O586" t="s">
        <v>15</v>
      </c>
    </row>
    <row r="587" spans="1:15" x14ac:dyDescent="0.25">
      <c r="A587">
        <v>2099</v>
      </c>
      <c r="B587">
        <v>3868</v>
      </c>
      <c r="C587" t="s">
        <v>642</v>
      </c>
      <c r="D587" t="s">
        <v>1098</v>
      </c>
      <c r="E587" t="s">
        <v>1208</v>
      </c>
      <c r="F587" s="1">
        <v>45511</v>
      </c>
      <c r="G587" s="34" t="str">
        <f t="shared" si="9"/>
        <v>Aug</v>
      </c>
      <c r="H587">
        <v>1</v>
      </c>
      <c r="I587" t="s">
        <v>18</v>
      </c>
      <c r="J587" t="s">
        <v>1222</v>
      </c>
      <c r="K587">
        <v>0.3</v>
      </c>
      <c r="L587">
        <v>551.70000000000005</v>
      </c>
      <c r="M587">
        <v>1839</v>
      </c>
      <c r="N587">
        <v>1287.3</v>
      </c>
      <c r="O587" t="s">
        <v>16</v>
      </c>
    </row>
    <row r="588" spans="1:15" x14ac:dyDescent="0.25">
      <c r="A588">
        <v>2046</v>
      </c>
      <c r="B588">
        <v>3814</v>
      </c>
      <c r="C588" t="s">
        <v>789</v>
      </c>
      <c r="D588" t="s">
        <v>1051</v>
      </c>
      <c r="E588" t="s">
        <v>1203</v>
      </c>
      <c r="F588" s="1">
        <v>45512</v>
      </c>
      <c r="G588" s="34" t="str">
        <f t="shared" si="9"/>
        <v>Aug</v>
      </c>
      <c r="H588">
        <v>1</v>
      </c>
      <c r="I588" t="s">
        <v>18</v>
      </c>
      <c r="J588" t="s">
        <v>1220</v>
      </c>
      <c r="K588">
        <v>0.3</v>
      </c>
      <c r="L588">
        <v>269.10000000000002</v>
      </c>
      <c r="M588">
        <v>897</v>
      </c>
      <c r="N588">
        <v>627.9</v>
      </c>
      <c r="O588" t="s">
        <v>15</v>
      </c>
    </row>
    <row r="589" spans="1:15" x14ac:dyDescent="0.25">
      <c r="A589">
        <v>1943</v>
      </c>
      <c r="B589">
        <v>3711</v>
      </c>
      <c r="C589" t="s">
        <v>974</v>
      </c>
      <c r="D589" t="s">
        <v>47</v>
      </c>
      <c r="E589" t="s">
        <v>1203</v>
      </c>
      <c r="F589" s="1">
        <v>45513</v>
      </c>
      <c r="G589" s="34" t="str">
        <f t="shared" si="9"/>
        <v>Aug</v>
      </c>
      <c r="H589">
        <v>1</v>
      </c>
      <c r="I589" t="s">
        <v>1242</v>
      </c>
      <c r="J589" t="s">
        <v>1218</v>
      </c>
      <c r="K589">
        <v>0.3</v>
      </c>
      <c r="L589">
        <v>144.6</v>
      </c>
      <c r="M589">
        <v>482</v>
      </c>
      <c r="N589">
        <v>337.4</v>
      </c>
      <c r="O589" t="s">
        <v>16</v>
      </c>
    </row>
    <row r="590" spans="1:15" x14ac:dyDescent="0.25">
      <c r="A590">
        <v>1314</v>
      </c>
      <c r="B590">
        <v>3081</v>
      </c>
      <c r="C590" t="s">
        <v>177</v>
      </c>
      <c r="D590" t="s">
        <v>178</v>
      </c>
      <c r="E590" t="s">
        <v>1207</v>
      </c>
      <c r="F590" s="1">
        <v>45514</v>
      </c>
      <c r="G590" s="34" t="str">
        <f t="shared" si="9"/>
        <v>Aug</v>
      </c>
      <c r="H590">
        <v>3</v>
      </c>
      <c r="I590" t="s">
        <v>1242</v>
      </c>
      <c r="J590" t="s">
        <v>1220</v>
      </c>
      <c r="K590">
        <v>0.2</v>
      </c>
      <c r="L590">
        <v>107.8</v>
      </c>
      <c r="M590">
        <v>539</v>
      </c>
      <c r="N590">
        <v>431.2</v>
      </c>
      <c r="O590" t="s">
        <v>15</v>
      </c>
    </row>
    <row r="591" spans="1:15" x14ac:dyDescent="0.25">
      <c r="A591">
        <v>1623</v>
      </c>
      <c r="B591">
        <v>3391</v>
      </c>
      <c r="C591" t="s">
        <v>295</v>
      </c>
      <c r="D591" t="s">
        <v>141</v>
      </c>
      <c r="E591" t="s">
        <v>1207</v>
      </c>
      <c r="F591" s="1">
        <v>45514</v>
      </c>
      <c r="G591" s="34" t="str">
        <f t="shared" si="9"/>
        <v>Aug</v>
      </c>
      <c r="H591">
        <v>2</v>
      </c>
      <c r="I591" t="s">
        <v>14</v>
      </c>
      <c r="J591" t="s">
        <v>1228</v>
      </c>
      <c r="K591">
        <v>0.2</v>
      </c>
      <c r="L591">
        <v>319.2</v>
      </c>
      <c r="M591">
        <v>1596</v>
      </c>
      <c r="N591">
        <v>1276.8</v>
      </c>
      <c r="O591" t="s">
        <v>16</v>
      </c>
    </row>
    <row r="592" spans="1:15" x14ac:dyDescent="0.25">
      <c r="A592">
        <v>1965</v>
      </c>
      <c r="B592">
        <v>3733</v>
      </c>
      <c r="C592" t="s">
        <v>78</v>
      </c>
      <c r="D592" t="s">
        <v>150</v>
      </c>
      <c r="E592" t="s">
        <v>1249</v>
      </c>
      <c r="F592" s="1">
        <v>45514</v>
      </c>
      <c r="G592" s="34" t="str">
        <f t="shared" si="9"/>
        <v>Aug</v>
      </c>
      <c r="H592">
        <v>3</v>
      </c>
      <c r="I592" t="s">
        <v>14</v>
      </c>
      <c r="J592" t="s">
        <v>1218</v>
      </c>
      <c r="K592">
        <v>0.25</v>
      </c>
      <c r="L592">
        <v>331.75</v>
      </c>
      <c r="M592">
        <v>1327</v>
      </c>
      <c r="N592">
        <v>995.25</v>
      </c>
      <c r="O592" t="s">
        <v>13</v>
      </c>
    </row>
    <row r="593" spans="1:15" x14ac:dyDescent="0.25">
      <c r="A593">
        <v>1611</v>
      </c>
      <c r="B593">
        <v>3378</v>
      </c>
      <c r="C593" t="s">
        <v>192</v>
      </c>
      <c r="D593" t="s">
        <v>613</v>
      </c>
      <c r="E593" t="s">
        <v>1249</v>
      </c>
      <c r="F593" s="1">
        <v>45515</v>
      </c>
      <c r="G593" s="34" t="str">
        <f t="shared" si="9"/>
        <v>Aug</v>
      </c>
      <c r="H593">
        <v>2</v>
      </c>
      <c r="I593" t="s">
        <v>18</v>
      </c>
      <c r="J593" t="s">
        <v>1216</v>
      </c>
      <c r="K593">
        <v>0.25</v>
      </c>
      <c r="L593">
        <v>96.75</v>
      </c>
      <c r="M593">
        <v>387</v>
      </c>
      <c r="N593">
        <v>290.25</v>
      </c>
      <c r="O593" t="s">
        <v>16</v>
      </c>
    </row>
    <row r="594" spans="1:15" x14ac:dyDescent="0.25">
      <c r="A594">
        <v>1702</v>
      </c>
      <c r="B594">
        <v>3470</v>
      </c>
      <c r="C594" t="s">
        <v>727</v>
      </c>
      <c r="D594" t="s">
        <v>728</v>
      </c>
      <c r="E594" t="s">
        <v>1208</v>
      </c>
      <c r="F594" s="1">
        <v>45515</v>
      </c>
      <c r="G594" s="34" t="str">
        <f t="shared" si="9"/>
        <v>Aug</v>
      </c>
      <c r="H594">
        <v>3</v>
      </c>
      <c r="I594" t="s">
        <v>14</v>
      </c>
      <c r="J594" t="s">
        <v>1216</v>
      </c>
      <c r="K594">
        <v>0.3</v>
      </c>
      <c r="L594">
        <v>107.1</v>
      </c>
      <c r="M594">
        <v>357</v>
      </c>
      <c r="N594">
        <v>249.9</v>
      </c>
      <c r="O594" t="s">
        <v>1200</v>
      </c>
    </row>
    <row r="595" spans="1:15" x14ac:dyDescent="0.25">
      <c r="A595">
        <v>1939</v>
      </c>
      <c r="B595">
        <v>3707</v>
      </c>
      <c r="C595" t="s">
        <v>971</v>
      </c>
      <c r="D595" t="s">
        <v>356</v>
      </c>
      <c r="E595" t="s">
        <v>1205</v>
      </c>
      <c r="F595" s="1">
        <v>45515</v>
      </c>
      <c r="G595" s="34" t="str">
        <f t="shared" si="9"/>
        <v>Aug</v>
      </c>
      <c r="H595">
        <v>1</v>
      </c>
      <c r="I595" t="s">
        <v>14</v>
      </c>
      <c r="J595" t="s">
        <v>1218</v>
      </c>
      <c r="K595">
        <v>0.1</v>
      </c>
      <c r="L595">
        <v>48.2</v>
      </c>
      <c r="M595">
        <v>482</v>
      </c>
      <c r="N595">
        <v>433.8</v>
      </c>
      <c r="O595" t="s">
        <v>19</v>
      </c>
    </row>
    <row r="596" spans="1:15" x14ac:dyDescent="0.25">
      <c r="A596">
        <v>1259</v>
      </c>
      <c r="B596">
        <v>3026</v>
      </c>
      <c r="C596" t="s">
        <v>76</v>
      </c>
      <c r="D596" t="s">
        <v>77</v>
      </c>
      <c r="E596" t="s">
        <v>1207</v>
      </c>
      <c r="F596" s="1">
        <v>45516</v>
      </c>
      <c r="G596" s="34" t="str">
        <f t="shared" si="9"/>
        <v>Aug</v>
      </c>
      <c r="H596">
        <v>2</v>
      </c>
      <c r="I596" t="s">
        <v>18</v>
      </c>
      <c r="J596" t="s">
        <v>1214</v>
      </c>
      <c r="K596">
        <v>0.2</v>
      </c>
      <c r="L596">
        <v>237.8</v>
      </c>
      <c r="M596">
        <v>1189</v>
      </c>
      <c r="N596">
        <v>951.2</v>
      </c>
      <c r="O596" t="s">
        <v>15</v>
      </c>
    </row>
    <row r="597" spans="1:15" x14ac:dyDescent="0.25">
      <c r="A597">
        <v>1822</v>
      </c>
      <c r="B597">
        <v>3590</v>
      </c>
      <c r="C597" t="s">
        <v>361</v>
      </c>
      <c r="D597" t="s">
        <v>634</v>
      </c>
      <c r="E597" t="s">
        <v>1249</v>
      </c>
      <c r="F597" s="1">
        <v>45516</v>
      </c>
      <c r="G597" s="34" t="str">
        <f t="shared" si="9"/>
        <v>Aug</v>
      </c>
      <c r="H597">
        <v>3</v>
      </c>
      <c r="I597" t="s">
        <v>14</v>
      </c>
      <c r="J597" t="s">
        <v>1216</v>
      </c>
      <c r="K597">
        <v>0.25</v>
      </c>
      <c r="L597">
        <v>96</v>
      </c>
      <c r="M597">
        <v>384</v>
      </c>
      <c r="N597">
        <v>288</v>
      </c>
      <c r="O597" t="s">
        <v>16</v>
      </c>
    </row>
    <row r="598" spans="1:15" x14ac:dyDescent="0.25">
      <c r="A598">
        <v>1932</v>
      </c>
      <c r="B598">
        <v>3700</v>
      </c>
      <c r="C598" t="s">
        <v>87</v>
      </c>
      <c r="D598" t="s">
        <v>964</v>
      </c>
      <c r="E598" t="s">
        <v>1203</v>
      </c>
      <c r="F598" s="1">
        <v>45516</v>
      </c>
      <c r="G598" s="34" t="str">
        <f t="shared" si="9"/>
        <v>Aug</v>
      </c>
      <c r="H598">
        <v>2</v>
      </c>
      <c r="I598" t="s">
        <v>1242</v>
      </c>
      <c r="J598" t="s">
        <v>1214</v>
      </c>
      <c r="K598">
        <v>0.3</v>
      </c>
      <c r="L598">
        <v>11.7</v>
      </c>
      <c r="M598">
        <v>39</v>
      </c>
      <c r="N598">
        <v>27.3</v>
      </c>
      <c r="O598" t="s">
        <v>13</v>
      </c>
    </row>
    <row r="599" spans="1:15" x14ac:dyDescent="0.25">
      <c r="A599">
        <v>1249</v>
      </c>
      <c r="B599">
        <v>3016</v>
      </c>
      <c r="C599" t="s">
        <v>56</v>
      </c>
      <c r="D599" t="s">
        <v>57</v>
      </c>
      <c r="E599" t="s">
        <v>1207</v>
      </c>
      <c r="F599" s="1">
        <v>45517</v>
      </c>
      <c r="G599" s="34" t="str">
        <f t="shared" si="9"/>
        <v>Aug</v>
      </c>
      <c r="H599">
        <v>1</v>
      </c>
      <c r="I599" t="s">
        <v>14</v>
      </c>
      <c r="J599" t="s">
        <v>1233</v>
      </c>
      <c r="K599">
        <v>0.2</v>
      </c>
      <c r="L599">
        <v>51.6</v>
      </c>
      <c r="M599">
        <v>258</v>
      </c>
      <c r="N599">
        <v>206.4</v>
      </c>
      <c r="O599" t="s">
        <v>15</v>
      </c>
    </row>
    <row r="600" spans="1:15" x14ac:dyDescent="0.25">
      <c r="A600">
        <v>1624</v>
      </c>
      <c r="B600">
        <v>3392</v>
      </c>
      <c r="C600" t="s">
        <v>627</v>
      </c>
      <c r="D600" t="s">
        <v>628</v>
      </c>
      <c r="E600" t="s">
        <v>1203</v>
      </c>
      <c r="F600" s="1">
        <v>45517</v>
      </c>
      <c r="G600" s="34" t="str">
        <f t="shared" si="9"/>
        <v>Aug</v>
      </c>
      <c r="H600">
        <v>3</v>
      </c>
      <c r="I600" t="s">
        <v>1242</v>
      </c>
      <c r="J600" t="s">
        <v>1218</v>
      </c>
      <c r="K600">
        <v>0.3</v>
      </c>
      <c r="L600">
        <v>133.5</v>
      </c>
      <c r="M600">
        <v>445</v>
      </c>
      <c r="N600">
        <v>311.5</v>
      </c>
      <c r="O600" t="s">
        <v>19</v>
      </c>
    </row>
    <row r="601" spans="1:15" x14ac:dyDescent="0.25">
      <c r="A601">
        <v>2146</v>
      </c>
      <c r="B601">
        <v>3915</v>
      </c>
      <c r="C601" t="s">
        <v>1142</v>
      </c>
      <c r="D601" t="s">
        <v>1143</v>
      </c>
      <c r="E601" t="s">
        <v>1208</v>
      </c>
      <c r="F601" s="1">
        <v>45517</v>
      </c>
      <c r="G601" s="34" t="str">
        <f t="shared" si="9"/>
        <v>Aug</v>
      </c>
      <c r="H601">
        <v>3</v>
      </c>
      <c r="I601" t="s">
        <v>14</v>
      </c>
      <c r="J601" t="s">
        <v>1222</v>
      </c>
      <c r="K601">
        <v>0.3</v>
      </c>
      <c r="L601">
        <v>37.5</v>
      </c>
      <c r="M601">
        <v>125</v>
      </c>
      <c r="N601">
        <v>87.5</v>
      </c>
      <c r="O601" t="s">
        <v>13</v>
      </c>
    </row>
    <row r="602" spans="1:15" x14ac:dyDescent="0.25">
      <c r="A602">
        <v>1315</v>
      </c>
      <c r="B602">
        <v>3082</v>
      </c>
      <c r="C602" t="s">
        <v>54</v>
      </c>
      <c r="D602" t="s">
        <v>179</v>
      </c>
      <c r="E602" t="s">
        <v>1248</v>
      </c>
      <c r="F602" s="1">
        <v>45518</v>
      </c>
      <c r="G602" s="34" t="str">
        <f t="shared" si="9"/>
        <v>Aug</v>
      </c>
      <c r="H602">
        <v>2</v>
      </c>
      <c r="I602" t="s">
        <v>1242</v>
      </c>
      <c r="J602" t="s">
        <v>1222</v>
      </c>
      <c r="K602">
        <v>0.25</v>
      </c>
      <c r="L602">
        <v>198.5</v>
      </c>
      <c r="M602">
        <v>794</v>
      </c>
      <c r="N602">
        <v>595.5</v>
      </c>
      <c r="O602" t="s">
        <v>19</v>
      </c>
    </row>
    <row r="603" spans="1:15" x14ac:dyDescent="0.25">
      <c r="A603">
        <v>1355</v>
      </c>
      <c r="B603">
        <v>3122</v>
      </c>
      <c r="C603" t="s">
        <v>154</v>
      </c>
      <c r="D603" t="s">
        <v>247</v>
      </c>
      <c r="E603" t="s">
        <v>1248</v>
      </c>
      <c r="F603" s="1">
        <v>45518</v>
      </c>
      <c r="G603" s="34" t="str">
        <f t="shared" si="9"/>
        <v>Aug</v>
      </c>
      <c r="H603">
        <v>3</v>
      </c>
      <c r="I603" t="s">
        <v>14</v>
      </c>
      <c r="J603" t="s">
        <v>1233</v>
      </c>
      <c r="K603">
        <v>0.25</v>
      </c>
      <c r="L603">
        <v>108</v>
      </c>
      <c r="M603">
        <v>432</v>
      </c>
      <c r="N603">
        <v>324</v>
      </c>
      <c r="O603" t="s">
        <v>16</v>
      </c>
    </row>
    <row r="604" spans="1:15" x14ac:dyDescent="0.25">
      <c r="A604">
        <v>1439</v>
      </c>
      <c r="B604">
        <v>3206</v>
      </c>
      <c r="C604" t="s">
        <v>383</v>
      </c>
      <c r="D604" t="s">
        <v>321</v>
      </c>
      <c r="E604" t="s">
        <v>1207</v>
      </c>
      <c r="F604" s="1">
        <v>45518</v>
      </c>
      <c r="G604" s="34" t="str">
        <f t="shared" si="9"/>
        <v>Aug</v>
      </c>
      <c r="H604">
        <v>2</v>
      </c>
      <c r="I604" t="s">
        <v>14</v>
      </c>
      <c r="J604" t="s">
        <v>1228</v>
      </c>
      <c r="K604">
        <v>0.2</v>
      </c>
      <c r="L604">
        <v>259.39999999999998</v>
      </c>
      <c r="M604">
        <v>1297</v>
      </c>
      <c r="N604">
        <v>1037.5999999999999</v>
      </c>
      <c r="O604" t="s">
        <v>19</v>
      </c>
    </row>
    <row r="605" spans="1:15" x14ac:dyDescent="0.25">
      <c r="A605">
        <v>1647</v>
      </c>
      <c r="B605">
        <v>3415</v>
      </c>
      <c r="C605" t="s">
        <v>656</v>
      </c>
      <c r="D605" t="s">
        <v>198</v>
      </c>
      <c r="E605" t="s">
        <v>1205</v>
      </c>
      <c r="F605" s="1">
        <v>45518</v>
      </c>
      <c r="G605" s="34" t="str">
        <f t="shared" si="9"/>
        <v>Aug</v>
      </c>
      <c r="H605">
        <v>3</v>
      </c>
      <c r="I605" t="s">
        <v>14</v>
      </c>
      <c r="J605" t="s">
        <v>1224</v>
      </c>
      <c r="K605">
        <v>0.1</v>
      </c>
      <c r="L605">
        <v>92.1</v>
      </c>
      <c r="M605">
        <v>921</v>
      </c>
      <c r="N605">
        <v>828.9</v>
      </c>
      <c r="O605" t="s">
        <v>15</v>
      </c>
    </row>
    <row r="606" spans="1:15" x14ac:dyDescent="0.25">
      <c r="A606">
        <v>2088</v>
      </c>
      <c r="B606">
        <v>3856</v>
      </c>
      <c r="C606" t="s">
        <v>1089</v>
      </c>
      <c r="D606" t="s">
        <v>1090</v>
      </c>
      <c r="E606" t="s">
        <v>1205</v>
      </c>
      <c r="F606" s="1">
        <v>45518</v>
      </c>
      <c r="G606" s="34" t="str">
        <f t="shared" si="9"/>
        <v>Aug</v>
      </c>
      <c r="H606">
        <v>1</v>
      </c>
      <c r="I606" t="s">
        <v>14</v>
      </c>
      <c r="J606" t="s">
        <v>1220</v>
      </c>
      <c r="K606">
        <v>0.1</v>
      </c>
      <c r="L606">
        <v>130.5</v>
      </c>
      <c r="M606">
        <v>1305</v>
      </c>
      <c r="N606">
        <v>1174.5</v>
      </c>
      <c r="O606" t="s">
        <v>1200</v>
      </c>
    </row>
    <row r="607" spans="1:15" x14ac:dyDescent="0.25">
      <c r="A607">
        <v>2223</v>
      </c>
      <c r="B607">
        <v>3992</v>
      </c>
      <c r="C607" t="s">
        <v>1194</v>
      </c>
      <c r="D607" t="s">
        <v>146</v>
      </c>
      <c r="E607" t="s">
        <v>1248</v>
      </c>
      <c r="F607" s="1">
        <v>45518</v>
      </c>
      <c r="G607" s="34" t="str">
        <f t="shared" si="9"/>
        <v>Aug</v>
      </c>
      <c r="H607">
        <v>2</v>
      </c>
      <c r="I607" t="s">
        <v>1242</v>
      </c>
      <c r="J607" t="s">
        <v>1233</v>
      </c>
      <c r="K607">
        <v>0.25</v>
      </c>
      <c r="L607">
        <v>25.5</v>
      </c>
      <c r="M607">
        <v>102</v>
      </c>
      <c r="N607">
        <v>76.5</v>
      </c>
      <c r="O607" t="s">
        <v>1200</v>
      </c>
    </row>
    <row r="608" spans="1:15" x14ac:dyDescent="0.25">
      <c r="A608">
        <v>1327</v>
      </c>
      <c r="B608">
        <v>3094</v>
      </c>
      <c r="C608" t="s">
        <v>200</v>
      </c>
      <c r="D608" t="s">
        <v>201</v>
      </c>
      <c r="E608" t="s">
        <v>1208</v>
      </c>
      <c r="F608" s="1">
        <v>45519</v>
      </c>
      <c r="G608" s="34" t="str">
        <f t="shared" si="9"/>
        <v>Aug</v>
      </c>
      <c r="H608">
        <v>1</v>
      </c>
      <c r="I608" t="s">
        <v>1242</v>
      </c>
      <c r="J608" t="s">
        <v>1220</v>
      </c>
      <c r="K608">
        <v>0.3</v>
      </c>
      <c r="L608">
        <v>276</v>
      </c>
      <c r="M608">
        <v>920</v>
      </c>
      <c r="N608">
        <v>644</v>
      </c>
      <c r="O608" t="s">
        <v>1200</v>
      </c>
    </row>
    <row r="609" spans="1:15" x14ac:dyDescent="0.25">
      <c r="A609">
        <v>1473</v>
      </c>
      <c r="B609">
        <v>3240</v>
      </c>
      <c r="C609" t="s">
        <v>435</v>
      </c>
      <c r="D609" t="s">
        <v>436</v>
      </c>
      <c r="E609" t="s">
        <v>1207</v>
      </c>
      <c r="F609" s="1">
        <v>45519</v>
      </c>
      <c r="G609" s="34" t="str">
        <f t="shared" si="9"/>
        <v>Aug</v>
      </c>
      <c r="H609">
        <v>1</v>
      </c>
      <c r="I609" t="s">
        <v>14</v>
      </c>
      <c r="J609" t="s">
        <v>1214</v>
      </c>
      <c r="K609">
        <v>0.2</v>
      </c>
      <c r="L609">
        <v>329.8</v>
      </c>
      <c r="M609">
        <v>1649</v>
      </c>
      <c r="N609">
        <v>1319.2</v>
      </c>
      <c r="O609" t="s">
        <v>13</v>
      </c>
    </row>
    <row r="610" spans="1:15" x14ac:dyDescent="0.25">
      <c r="A610">
        <v>1530</v>
      </c>
      <c r="B610">
        <v>3297</v>
      </c>
      <c r="C610" t="s">
        <v>510</v>
      </c>
      <c r="D610" t="s">
        <v>511</v>
      </c>
      <c r="E610" t="s">
        <v>1249</v>
      </c>
      <c r="F610" s="1">
        <v>45519</v>
      </c>
      <c r="G610" s="34" t="str">
        <f t="shared" si="9"/>
        <v>Aug</v>
      </c>
      <c r="H610">
        <v>1</v>
      </c>
      <c r="I610" t="s">
        <v>14</v>
      </c>
      <c r="J610" t="s">
        <v>1216</v>
      </c>
      <c r="K610">
        <v>0.25</v>
      </c>
      <c r="L610">
        <v>377.5</v>
      </c>
      <c r="M610">
        <v>1510</v>
      </c>
      <c r="N610">
        <v>1132.5</v>
      </c>
      <c r="O610" t="s">
        <v>15</v>
      </c>
    </row>
    <row r="611" spans="1:15" x14ac:dyDescent="0.25">
      <c r="A611">
        <v>2098</v>
      </c>
      <c r="B611">
        <v>3867</v>
      </c>
      <c r="C611" t="s">
        <v>585</v>
      </c>
      <c r="D611" t="s">
        <v>725</v>
      </c>
      <c r="E611" t="s">
        <v>1249</v>
      </c>
      <c r="F611" s="1">
        <v>45519</v>
      </c>
      <c r="G611" s="34" t="str">
        <f t="shared" si="9"/>
        <v>Aug</v>
      </c>
      <c r="H611">
        <v>3</v>
      </c>
      <c r="I611" t="s">
        <v>14</v>
      </c>
      <c r="J611" t="s">
        <v>1216</v>
      </c>
      <c r="K611">
        <v>0.25</v>
      </c>
      <c r="L611">
        <v>261.25</v>
      </c>
      <c r="M611">
        <v>1045</v>
      </c>
      <c r="N611">
        <v>783.75</v>
      </c>
      <c r="O611" t="s">
        <v>19</v>
      </c>
    </row>
    <row r="612" spans="1:15" x14ac:dyDescent="0.25">
      <c r="A612">
        <v>1384</v>
      </c>
      <c r="B612">
        <v>3151</v>
      </c>
      <c r="C612" t="s">
        <v>298</v>
      </c>
      <c r="D612" t="s">
        <v>299</v>
      </c>
      <c r="E612" t="s">
        <v>1249</v>
      </c>
      <c r="F612" s="1">
        <v>45520</v>
      </c>
      <c r="G612" s="34" t="str">
        <f t="shared" si="9"/>
        <v>Aug</v>
      </c>
      <c r="H612">
        <v>1</v>
      </c>
      <c r="I612" t="s">
        <v>1242</v>
      </c>
      <c r="J612" t="s">
        <v>1218</v>
      </c>
      <c r="K612">
        <v>0.25</v>
      </c>
      <c r="L612">
        <v>133.25</v>
      </c>
      <c r="M612">
        <v>533</v>
      </c>
      <c r="N612">
        <v>399.75</v>
      </c>
      <c r="O612" t="s">
        <v>1200</v>
      </c>
    </row>
    <row r="613" spans="1:15" x14ac:dyDescent="0.25">
      <c r="A613">
        <v>1447</v>
      </c>
      <c r="B613">
        <v>3214</v>
      </c>
      <c r="C613" t="s">
        <v>396</v>
      </c>
      <c r="D613" t="s">
        <v>397</v>
      </c>
      <c r="E613" t="s">
        <v>1207</v>
      </c>
      <c r="F613" s="1">
        <v>45520</v>
      </c>
      <c r="G613" s="34" t="str">
        <f t="shared" si="9"/>
        <v>Aug</v>
      </c>
      <c r="H613">
        <v>3</v>
      </c>
      <c r="I613" t="s">
        <v>14</v>
      </c>
      <c r="J613" t="s">
        <v>1222</v>
      </c>
      <c r="K613">
        <v>0.2</v>
      </c>
      <c r="L613">
        <v>147.80000000000001</v>
      </c>
      <c r="M613">
        <v>739</v>
      </c>
      <c r="N613">
        <v>591.20000000000005</v>
      </c>
      <c r="O613" t="s">
        <v>1200</v>
      </c>
    </row>
    <row r="614" spans="1:15" x14ac:dyDescent="0.25">
      <c r="A614">
        <v>1491</v>
      </c>
      <c r="B614">
        <v>3258</v>
      </c>
      <c r="C614" t="s">
        <v>206</v>
      </c>
      <c r="D614" t="s">
        <v>464</v>
      </c>
      <c r="E614" t="s">
        <v>1205</v>
      </c>
      <c r="F614" s="1">
        <v>45520</v>
      </c>
      <c r="G614" s="34" t="str">
        <f t="shared" si="9"/>
        <v>Aug</v>
      </c>
      <c r="H614">
        <v>3</v>
      </c>
      <c r="I614" t="s">
        <v>14</v>
      </c>
      <c r="J614" t="s">
        <v>1222</v>
      </c>
      <c r="K614">
        <v>0.1</v>
      </c>
      <c r="L614">
        <v>43</v>
      </c>
      <c r="M614">
        <v>430</v>
      </c>
      <c r="N614">
        <v>387</v>
      </c>
      <c r="O614" t="s">
        <v>1200</v>
      </c>
    </row>
    <row r="615" spans="1:15" x14ac:dyDescent="0.25">
      <c r="A615">
        <v>1830</v>
      </c>
      <c r="B615">
        <v>3598</v>
      </c>
      <c r="C615" t="s">
        <v>858</v>
      </c>
      <c r="D615" t="s">
        <v>308</v>
      </c>
      <c r="E615" t="s">
        <v>1248</v>
      </c>
      <c r="F615" s="1">
        <v>45520</v>
      </c>
      <c r="G615" s="34" t="str">
        <f t="shared" si="9"/>
        <v>Aug</v>
      </c>
      <c r="H615">
        <v>1</v>
      </c>
      <c r="I615" t="s">
        <v>1243</v>
      </c>
      <c r="J615" t="s">
        <v>1218</v>
      </c>
      <c r="K615">
        <v>0.25</v>
      </c>
      <c r="L615">
        <v>368</v>
      </c>
      <c r="M615">
        <v>1472</v>
      </c>
      <c r="N615">
        <v>1104</v>
      </c>
      <c r="O615" t="s">
        <v>16</v>
      </c>
    </row>
    <row r="616" spans="1:15" x14ac:dyDescent="0.25">
      <c r="A616">
        <v>1367</v>
      </c>
      <c r="B616">
        <v>3134</v>
      </c>
      <c r="C616" t="s">
        <v>269</v>
      </c>
      <c r="D616" t="s">
        <v>270</v>
      </c>
      <c r="E616" t="s">
        <v>1208</v>
      </c>
      <c r="F616" s="1">
        <v>45521</v>
      </c>
      <c r="G616" s="34" t="str">
        <f t="shared" si="9"/>
        <v>Aug</v>
      </c>
      <c r="H616">
        <v>2</v>
      </c>
      <c r="I616" t="s">
        <v>1242</v>
      </c>
      <c r="J616" t="s">
        <v>1224</v>
      </c>
      <c r="K616">
        <v>0.3</v>
      </c>
      <c r="L616">
        <v>433.2</v>
      </c>
      <c r="M616">
        <v>1444</v>
      </c>
      <c r="N616">
        <v>1010.8</v>
      </c>
      <c r="O616" t="s">
        <v>19</v>
      </c>
    </row>
    <row r="617" spans="1:15" x14ac:dyDescent="0.25">
      <c r="A617">
        <v>1649</v>
      </c>
      <c r="B617">
        <v>3417</v>
      </c>
      <c r="C617" t="s">
        <v>659</v>
      </c>
      <c r="D617" t="s">
        <v>660</v>
      </c>
      <c r="E617" t="s">
        <v>1205</v>
      </c>
      <c r="F617" s="1">
        <v>45521</v>
      </c>
      <c r="G617" s="34" t="str">
        <f t="shared" si="9"/>
        <v>Aug</v>
      </c>
      <c r="H617">
        <v>1</v>
      </c>
      <c r="I617" t="s">
        <v>1242</v>
      </c>
      <c r="J617" t="s">
        <v>1222</v>
      </c>
      <c r="K617">
        <v>0.1</v>
      </c>
      <c r="L617">
        <v>98</v>
      </c>
      <c r="M617">
        <v>980</v>
      </c>
      <c r="N617">
        <v>882</v>
      </c>
      <c r="O617" t="s">
        <v>15</v>
      </c>
    </row>
    <row r="618" spans="1:15" x14ac:dyDescent="0.25">
      <c r="A618">
        <v>1952</v>
      </c>
      <c r="B618">
        <v>3720</v>
      </c>
      <c r="C618" t="s">
        <v>981</v>
      </c>
      <c r="D618" t="s">
        <v>782</v>
      </c>
      <c r="E618" t="s">
        <v>1208</v>
      </c>
      <c r="F618" s="1">
        <v>45522</v>
      </c>
      <c r="G618" s="34" t="str">
        <f t="shared" si="9"/>
        <v>Aug</v>
      </c>
      <c r="H618">
        <v>1</v>
      </c>
      <c r="I618" t="s">
        <v>14</v>
      </c>
      <c r="J618" t="s">
        <v>1216</v>
      </c>
      <c r="K618">
        <v>0.3</v>
      </c>
      <c r="L618">
        <v>33.299999999999997</v>
      </c>
      <c r="M618">
        <v>111</v>
      </c>
      <c r="N618">
        <v>77.7</v>
      </c>
      <c r="O618" t="s">
        <v>19</v>
      </c>
    </row>
    <row r="619" spans="1:15" x14ac:dyDescent="0.25">
      <c r="A619">
        <v>1910</v>
      </c>
      <c r="B619">
        <v>3678</v>
      </c>
      <c r="C619" t="s">
        <v>939</v>
      </c>
      <c r="D619" t="s">
        <v>494</v>
      </c>
      <c r="E619" t="s">
        <v>1249</v>
      </c>
      <c r="F619" s="1">
        <v>45523</v>
      </c>
      <c r="G619" s="34" t="str">
        <f t="shared" si="9"/>
        <v>Aug</v>
      </c>
      <c r="H619">
        <v>2</v>
      </c>
      <c r="I619" t="s">
        <v>1242</v>
      </c>
      <c r="J619" t="s">
        <v>1224</v>
      </c>
      <c r="K619">
        <v>0.25</v>
      </c>
      <c r="L619">
        <v>189.75</v>
      </c>
      <c r="M619">
        <v>759</v>
      </c>
      <c r="N619">
        <v>569.25</v>
      </c>
      <c r="O619" t="s">
        <v>15</v>
      </c>
    </row>
    <row r="620" spans="1:15" x14ac:dyDescent="0.25">
      <c r="A620">
        <v>1993</v>
      </c>
      <c r="B620">
        <v>3761</v>
      </c>
      <c r="C620" t="s">
        <v>411</v>
      </c>
      <c r="D620" t="s">
        <v>354</v>
      </c>
      <c r="E620" t="s">
        <v>1205</v>
      </c>
      <c r="F620" s="1">
        <v>45523</v>
      </c>
      <c r="G620" s="34" t="str">
        <f t="shared" si="9"/>
        <v>Aug</v>
      </c>
      <c r="H620">
        <v>3</v>
      </c>
      <c r="I620" t="s">
        <v>1242</v>
      </c>
      <c r="J620" t="s">
        <v>1222</v>
      </c>
      <c r="K620">
        <v>0.1</v>
      </c>
      <c r="L620">
        <v>80.900000000000006</v>
      </c>
      <c r="M620">
        <v>809</v>
      </c>
      <c r="N620">
        <v>728.1</v>
      </c>
      <c r="O620" t="s">
        <v>1200</v>
      </c>
    </row>
    <row r="621" spans="1:15" x14ac:dyDescent="0.25">
      <c r="A621">
        <v>2136</v>
      </c>
      <c r="B621">
        <v>3905</v>
      </c>
      <c r="C621" t="s">
        <v>1135</v>
      </c>
      <c r="D621" t="s">
        <v>1136</v>
      </c>
      <c r="E621" t="s">
        <v>1249</v>
      </c>
      <c r="F621" s="1">
        <v>45523</v>
      </c>
      <c r="G621" s="34" t="str">
        <f t="shared" si="9"/>
        <v>Aug</v>
      </c>
      <c r="H621">
        <v>1</v>
      </c>
      <c r="I621" t="s">
        <v>14</v>
      </c>
      <c r="J621" t="s">
        <v>1220</v>
      </c>
      <c r="K621">
        <v>0.25</v>
      </c>
      <c r="L621">
        <v>323.25</v>
      </c>
      <c r="M621">
        <v>1293</v>
      </c>
      <c r="N621">
        <v>969.75</v>
      </c>
      <c r="O621" t="s">
        <v>19</v>
      </c>
    </row>
    <row r="622" spans="1:15" x14ac:dyDescent="0.25">
      <c r="A622">
        <v>1251</v>
      </c>
      <c r="B622">
        <v>3018</v>
      </c>
      <c r="C622" t="s">
        <v>60</v>
      </c>
      <c r="D622" t="s">
        <v>61</v>
      </c>
      <c r="E622" t="s">
        <v>1207</v>
      </c>
      <c r="F622" s="1">
        <v>45524</v>
      </c>
      <c r="G622" s="34" t="str">
        <f t="shared" si="9"/>
        <v>Aug</v>
      </c>
      <c r="H622">
        <v>2</v>
      </c>
      <c r="I622" t="s">
        <v>1243</v>
      </c>
      <c r="J622" t="s">
        <v>1228</v>
      </c>
      <c r="K622">
        <v>0.2</v>
      </c>
      <c r="L622">
        <v>326</v>
      </c>
      <c r="M622">
        <v>1630</v>
      </c>
      <c r="N622">
        <v>1304</v>
      </c>
      <c r="O622" t="s">
        <v>19</v>
      </c>
    </row>
    <row r="623" spans="1:15" x14ac:dyDescent="0.25">
      <c r="A623">
        <v>1455</v>
      </c>
      <c r="B623">
        <v>3222</v>
      </c>
      <c r="C623" t="s">
        <v>80</v>
      </c>
      <c r="D623" t="s">
        <v>410</v>
      </c>
      <c r="E623" t="s">
        <v>1207</v>
      </c>
      <c r="F623" s="1">
        <v>45524</v>
      </c>
      <c r="G623" s="34" t="str">
        <f t="shared" si="9"/>
        <v>Aug</v>
      </c>
      <c r="H623">
        <v>2</v>
      </c>
      <c r="I623" t="s">
        <v>14</v>
      </c>
      <c r="J623" t="s">
        <v>1218</v>
      </c>
      <c r="K623">
        <v>0.2</v>
      </c>
      <c r="L623">
        <v>291.60000000000002</v>
      </c>
      <c r="M623">
        <v>1458</v>
      </c>
      <c r="N623">
        <v>1166.4000000000001</v>
      </c>
      <c r="O623" t="s">
        <v>15</v>
      </c>
    </row>
    <row r="624" spans="1:15" x14ac:dyDescent="0.25">
      <c r="A624">
        <v>1908</v>
      </c>
      <c r="B624">
        <v>3676</v>
      </c>
      <c r="C624" t="s">
        <v>298</v>
      </c>
      <c r="D624" t="s">
        <v>501</v>
      </c>
      <c r="E624" t="s">
        <v>1205</v>
      </c>
      <c r="F624" s="1">
        <v>45524</v>
      </c>
      <c r="G624" s="34" t="str">
        <f t="shared" si="9"/>
        <v>Aug</v>
      </c>
      <c r="H624">
        <v>3</v>
      </c>
      <c r="I624" t="s">
        <v>14</v>
      </c>
      <c r="J624" t="s">
        <v>1228</v>
      </c>
      <c r="K624">
        <v>0.1</v>
      </c>
      <c r="L624">
        <v>11.6</v>
      </c>
      <c r="M624">
        <v>116</v>
      </c>
      <c r="N624">
        <v>104.4</v>
      </c>
      <c r="O624" t="s">
        <v>19</v>
      </c>
    </row>
    <row r="625" spans="1:15" x14ac:dyDescent="0.25">
      <c r="A625">
        <v>1546</v>
      </c>
      <c r="B625">
        <v>3313</v>
      </c>
      <c r="C625" t="s">
        <v>15</v>
      </c>
      <c r="D625" t="s">
        <v>531</v>
      </c>
      <c r="E625" t="s">
        <v>1249</v>
      </c>
      <c r="F625" s="1">
        <v>45525</v>
      </c>
      <c r="G625" s="34" t="str">
        <f t="shared" si="9"/>
        <v>Aug</v>
      </c>
      <c r="H625">
        <v>1</v>
      </c>
      <c r="I625" t="s">
        <v>1242</v>
      </c>
      <c r="J625" t="s">
        <v>1228</v>
      </c>
      <c r="K625">
        <v>0.25</v>
      </c>
      <c r="L625">
        <v>385</v>
      </c>
      <c r="M625">
        <v>1540</v>
      </c>
      <c r="N625">
        <v>1155</v>
      </c>
      <c r="O625" t="s">
        <v>19</v>
      </c>
    </row>
    <row r="626" spans="1:15" x14ac:dyDescent="0.25">
      <c r="A626">
        <v>1673</v>
      </c>
      <c r="B626">
        <v>3441</v>
      </c>
      <c r="C626" t="s">
        <v>688</v>
      </c>
      <c r="D626" t="s">
        <v>618</v>
      </c>
      <c r="E626" t="s">
        <v>1249</v>
      </c>
      <c r="F626" s="1">
        <v>45525</v>
      </c>
      <c r="G626" s="34" t="str">
        <f t="shared" si="9"/>
        <v>Aug</v>
      </c>
      <c r="H626">
        <v>1</v>
      </c>
      <c r="I626" t="s">
        <v>14</v>
      </c>
      <c r="J626" t="s">
        <v>1222</v>
      </c>
      <c r="K626">
        <v>0.25</v>
      </c>
      <c r="L626">
        <v>237.25</v>
      </c>
      <c r="M626">
        <v>949</v>
      </c>
      <c r="N626">
        <v>711.75</v>
      </c>
      <c r="O626" t="s">
        <v>1200</v>
      </c>
    </row>
    <row r="627" spans="1:15" x14ac:dyDescent="0.25">
      <c r="A627">
        <v>1758</v>
      </c>
      <c r="B627">
        <v>3526</v>
      </c>
      <c r="C627" t="s">
        <v>784</v>
      </c>
      <c r="D627" t="s">
        <v>785</v>
      </c>
      <c r="E627" t="s">
        <v>1208</v>
      </c>
      <c r="F627" s="1">
        <v>45525</v>
      </c>
      <c r="G627" s="34" t="str">
        <f t="shared" si="9"/>
        <v>Aug</v>
      </c>
      <c r="H627">
        <v>2</v>
      </c>
      <c r="I627" t="s">
        <v>1242</v>
      </c>
      <c r="J627" t="s">
        <v>1214</v>
      </c>
      <c r="K627">
        <v>0.3</v>
      </c>
      <c r="L627">
        <v>50.7</v>
      </c>
      <c r="M627">
        <v>169</v>
      </c>
      <c r="N627">
        <v>118.3</v>
      </c>
      <c r="O627" t="s">
        <v>13</v>
      </c>
    </row>
    <row r="628" spans="1:15" x14ac:dyDescent="0.25">
      <c r="A628">
        <v>1829</v>
      </c>
      <c r="B628">
        <v>3597</v>
      </c>
      <c r="C628" t="s">
        <v>839</v>
      </c>
      <c r="D628" t="s">
        <v>127</v>
      </c>
      <c r="E628" t="s">
        <v>1248</v>
      </c>
      <c r="F628" s="1">
        <v>45525</v>
      </c>
      <c r="G628" s="34" t="str">
        <f t="shared" si="9"/>
        <v>Aug</v>
      </c>
      <c r="H628">
        <v>1</v>
      </c>
      <c r="I628" t="s">
        <v>1243</v>
      </c>
      <c r="J628" t="s">
        <v>1218</v>
      </c>
      <c r="K628">
        <v>0.25</v>
      </c>
      <c r="L628">
        <v>222</v>
      </c>
      <c r="M628">
        <v>888</v>
      </c>
      <c r="N628">
        <v>666</v>
      </c>
      <c r="O628" t="s">
        <v>16</v>
      </c>
    </row>
    <row r="629" spans="1:15" x14ac:dyDescent="0.25">
      <c r="A629">
        <v>1992</v>
      </c>
      <c r="B629">
        <v>3760</v>
      </c>
      <c r="C629" t="s">
        <v>519</v>
      </c>
      <c r="D629" t="s">
        <v>1011</v>
      </c>
      <c r="E629" t="s">
        <v>1207</v>
      </c>
      <c r="F629" s="1">
        <v>45525</v>
      </c>
      <c r="G629" s="34" t="str">
        <f t="shared" si="9"/>
        <v>Aug</v>
      </c>
      <c r="H629">
        <v>3</v>
      </c>
      <c r="I629" t="s">
        <v>1243</v>
      </c>
      <c r="J629" t="s">
        <v>1222</v>
      </c>
      <c r="K629">
        <v>0.2</v>
      </c>
      <c r="L629">
        <v>50.6</v>
      </c>
      <c r="M629">
        <v>253</v>
      </c>
      <c r="N629">
        <v>202.4</v>
      </c>
      <c r="O629" t="s">
        <v>13</v>
      </c>
    </row>
    <row r="630" spans="1:15" x14ac:dyDescent="0.25">
      <c r="A630">
        <v>1609</v>
      </c>
      <c r="B630">
        <v>3376</v>
      </c>
      <c r="C630" t="s">
        <v>610</v>
      </c>
      <c r="D630" t="s">
        <v>611</v>
      </c>
      <c r="E630" t="s">
        <v>1203</v>
      </c>
      <c r="F630" s="1">
        <v>45526</v>
      </c>
      <c r="G630" s="34" t="str">
        <f t="shared" si="9"/>
        <v>Aug</v>
      </c>
      <c r="H630">
        <v>2</v>
      </c>
      <c r="I630" t="s">
        <v>1243</v>
      </c>
      <c r="J630" t="s">
        <v>1228</v>
      </c>
      <c r="K630">
        <v>0.3</v>
      </c>
      <c r="L630">
        <v>165</v>
      </c>
      <c r="M630">
        <v>550</v>
      </c>
      <c r="N630">
        <v>385</v>
      </c>
      <c r="O630" t="s">
        <v>1200</v>
      </c>
    </row>
    <row r="631" spans="1:15" x14ac:dyDescent="0.25">
      <c r="A631">
        <v>1313</v>
      </c>
      <c r="B631">
        <v>3080</v>
      </c>
      <c r="C631" t="s">
        <v>175</v>
      </c>
      <c r="D631" t="s">
        <v>176</v>
      </c>
      <c r="E631" t="s">
        <v>1249</v>
      </c>
      <c r="F631" s="1">
        <v>45527</v>
      </c>
      <c r="G631" s="34" t="str">
        <f t="shared" si="9"/>
        <v>Aug</v>
      </c>
      <c r="H631">
        <v>3</v>
      </c>
      <c r="I631" t="s">
        <v>1243</v>
      </c>
      <c r="J631" t="s">
        <v>1218</v>
      </c>
      <c r="K631">
        <v>0.25</v>
      </c>
      <c r="L631">
        <v>212</v>
      </c>
      <c r="M631">
        <v>848</v>
      </c>
      <c r="N631">
        <v>636</v>
      </c>
      <c r="O631" t="s">
        <v>19</v>
      </c>
    </row>
    <row r="632" spans="1:15" x14ac:dyDescent="0.25">
      <c r="A632">
        <v>1652</v>
      </c>
      <c r="B632">
        <v>3420</v>
      </c>
      <c r="C632" t="s">
        <v>128</v>
      </c>
      <c r="D632" t="s">
        <v>582</v>
      </c>
      <c r="E632" t="s">
        <v>1249</v>
      </c>
      <c r="F632" s="1">
        <v>45528</v>
      </c>
      <c r="G632" s="34" t="str">
        <f t="shared" si="9"/>
        <v>Aug</v>
      </c>
      <c r="H632">
        <v>3</v>
      </c>
      <c r="I632" t="s">
        <v>14</v>
      </c>
      <c r="J632" t="s">
        <v>1218</v>
      </c>
      <c r="K632">
        <v>0.25</v>
      </c>
      <c r="L632">
        <v>192.5</v>
      </c>
      <c r="M632">
        <v>770</v>
      </c>
      <c r="N632">
        <v>577.5</v>
      </c>
      <c r="O632" t="s">
        <v>15</v>
      </c>
    </row>
    <row r="633" spans="1:15" x14ac:dyDescent="0.25">
      <c r="A633">
        <v>1765</v>
      </c>
      <c r="B633">
        <v>3533</v>
      </c>
      <c r="C633" t="s">
        <v>789</v>
      </c>
      <c r="D633" t="s">
        <v>176</v>
      </c>
      <c r="E633" t="s">
        <v>1248</v>
      </c>
      <c r="F633" s="1">
        <v>45528</v>
      </c>
      <c r="G633" s="34" t="str">
        <f t="shared" si="9"/>
        <v>Aug</v>
      </c>
      <c r="H633">
        <v>1</v>
      </c>
      <c r="I633" t="s">
        <v>1242</v>
      </c>
      <c r="J633" t="s">
        <v>1222</v>
      </c>
      <c r="K633">
        <v>0.25</v>
      </c>
      <c r="L633">
        <v>101.75</v>
      </c>
      <c r="M633">
        <v>407</v>
      </c>
      <c r="N633">
        <v>305.25</v>
      </c>
      <c r="O633" t="s">
        <v>19</v>
      </c>
    </row>
    <row r="634" spans="1:15" x14ac:dyDescent="0.25">
      <c r="A634">
        <v>1875</v>
      </c>
      <c r="B634">
        <v>3643</v>
      </c>
      <c r="C634" t="s">
        <v>905</v>
      </c>
      <c r="D634" t="s">
        <v>388</v>
      </c>
      <c r="E634" t="s">
        <v>1249</v>
      </c>
      <c r="F634" s="1">
        <v>45528</v>
      </c>
      <c r="G634" s="34" t="str">
        <f t="shared" si="9"/>
        <v>Aug</v>
      </c>
      <c r="H634">
        <v>3</v>
      </c>
      <c r="I634" t="s">
        <v>14</v>
      </c>
      <c r="J634" t="s">
        <v>1228</v>
      </c>
      <c r="K634">
        <v>0.25</v>
      </c>
      <c r="L634">
        <v>74.25</v>
      </c>
      <c r="M634">
        <v>297</v>
      </c>
      <c r="N634">
        <v>222.75</v>
      </c>
      <c r="O634" t="s">
        <v>19</v>
      </c>
    </row>
    <row r="635" spans="1:15" x14ac:dyDescent="0.25">
      <c r="A635">
        <v>1881</v>
      </c>
      <c r="B635">
        <v>3649</v>
      </c>
      <c r="C635" t="s">
        <v>288</v>
      </c>
      <c r="D635" t="s">
        <v>564</v>
      </c>
      <c r="E635" t="s">
        <v>1249</v>
      </c>
      <c r="F635" s="1">
        <v>45528</v>
      </c>
      <c r="G635" s="34" t="str">
        <f t="shared" si="9"/>
        <v>Aug</v>
      </c>
      <c r="H635">
        <v>2</v>
      </c>
      <c r="I635" t="s">
        <v>14</v>
      </c>
      <c r="J635" t="s">
        <v>1233</v>
      </c>
      <c r="K635">
        <v>0.25</v>
      </c>
      <c r="L635">
        <v>172.25</v>
      </c>
      <c r="M635">
        <v>689</v>
      </c>
      <c r="N635">
        <v>516.75</v>
      </c>
      <c r="O635" t="s">
        <v>19</v>
      </c>
    </row>
    <row r="636" spans="1:15" x14ac:dyDescent="0.25">
      <c r="A636">
        <v>2023</v>
      </c>
      <c r="B636">
        <v>3791</v>
      </c>
      <c r="C636" t="s">
        <v>1031</v>
      </c>
      <c r="D636" t="s">
        <v>1032</v>
      </c>
      <c r="E636" t="s">
        <v>1203</v>
      </c>
      <c r="F636" s="1">
        <v>45528</v>
      </c>
      <c r="G636" s="34" t="str">
        <f t="shared" si="9"/>
        <v>Aug</v>
      </c>
      <c r="H636">
        <v>3</v>
      </c>
      <c r="I636" t="s">
        <v>1242</v>
      </c>
      <c r="J636" t="s">
        <v>1228</v>
      </c>
      <c r="K636">
        <v>0.3</v>
      </c>
      <c r="L636">
        <v>382.8</v>
      </c>
      <c r="M636">
        <v>1276</v>
      </c>
      <c r="N636">
        <v>893.2</v>
      </c>
      <c r="O636" t="s">
        <v>13</v>
      </c>
    </row>
    <row r="637" spans="1:15" x14ac:dyDescent="0.25">
      <c r="A637">
        <v>2180</v>
      </c>
      <c r="B637">
        <v>3949</v>
      </c>
      <c r="C637" t="s">
        <v>44</v>
      </c>
      <c r="D637" t="s">
        <v>777</v>
      </c>
      <c r="E637" t="s">
        <v>1203</v>
      </c>
      <c r="F637" s="1">
        <v>45528</v>
      </c>
      <c r="G637" s="34" t="str">
        <f t="shared" si="9"/>
        <v>Aug</v>
      </c>
      <c r="H637">
        <v>1</v>
      </c>
      <c r="I637" t="s">
        <v>14</v>
      </c>
      <c r="J637" t="s">
        <v>1222</v>
      </c>
      <c r="K637">
        <v>0.3</v>
      </c>
      <c r="L637">
        <v>414</v>
      </c>
      <c r="M637">
        <v>1380</v>
      </c>
      <c r="N637">
        <v>966</v>
      </c>
      <c r="O637" t="s">
        <v>15</v>
      </c>
    </row>
    <row r="638" spans="1:15" x14ac:dyDescent="0.25">
      <c r="A638">
        <v>1262</v>
      </c>
      <c r="B638">
        <v>3029</v>
      </c>
      <c r="C638" t="s">
        <v>81</v>
      </c>
      <c r="D638" t="s">
        <v>82</v>
      </c>
      <c r="E638" t="s">
        <v>1249</v>
      </c>
      <c r="F638" s="1">
        <v>45529</v>
      </c>
      <c r="G638" s="34" t="str">
        <f t="shared" si="9"/>
        <v>Aug</v>
      </c>
      <c r="H638">
        <v>3</v>
      </c>
      <c r="I638" t="s">
        <v>1242</v>
      </c>
      <c r="J638" t="s">
        <v>1218</v>
      </c>
      <c r="K638">
        <v>0.25</v>
      </c>
      <c r="L638">
        <v>90.75</v>
      </c>
      <c r="M638">
        <v>363</v>
      </c>
      <c r="N638">
        <v>272.25</v>
      </c>
      <c r="O638" t="s">
        <v>15</v>
      </c>
    </row>
    <row r="639" spans="1:15" x14ac:dyDescent="0.25">
      <c r="A639">
        <v>1571</v>
      </c>
      <c r="B639">
        <v>3338</v>
      </c>
      <c r="C639" t="s">
        <v>143</v>
      </c>
      <c r="D639" t="s">
        <v>569</v>
      </c>
      <c r="E639" t="s">
        <v>1249</v>
      </c>
      <c r="F639" s="1">
        <v>45529</v>
      </c>
      <c r="G639" s="34" t="str">
        <f t="shared" si="9"/>
        <v>Aug</v>
      </c>
      <c r="H639">
        <v>1</v>
      </c>
      <c r="I639" t="s">
        <v>1242</v>
      </c>
      <c r="J639" t="s">
        <v>1216</v>
      </c>
      <c r="K639">
        <v>0.25</v>
      </c>
      <c r="L639">
        <v>77.25</v>
      </c>
      <c r="M639">
        <v>309</v>
      </c>
      <c r="N639">
        <v>231.75</v>
      </c>
      <c r="O639" t="s">
        <v>1200</v>
      </c>
    </row>
    <row r="640" spans="1:15" x14ac:dyDescent="0.25">
      <c r="A640">
        <v>1635</v>
      </c>
      <c r="B640">
        <v>3403</v>
      </c>
      <c r="C640" t="s">
        <v>640</v>
      </c>
      <c r="D640" t="s">
        <v>243</v>
      </c>
      <c r="E640" t="s">
        <v>1249</v>
      </c>
      <c r="F640" s="1">
        <v>45529</v>
      </c>
      <c r="G640" s="34" t="str">
        <f t="shared" si="9"/>
        <v>Aug</v>
      </c>
      <c r="H640">
        <v>3</v>
      </c>
      <c r="I640" t="s">
        <v>14</v>
      </c>
      <c r="J640" t="s">
        <v>1220</v>
      </c>
      <c r="K640">
        <v>0.25</v>
      </c>
      <c r="L640">
        <v>141.5</v>
      </c>
      <c r="M640">
        <v>566</v>
      </c>
      <c r="N640">
        <v>424.5</v>
      </c>
      <c r="O640" t="s">
        <v>15</v>
      </c>
    </row>
    <row r="641" spans="1:15" x14ac:dyDescent="0.25">
      <c r="A641">
        <v>1809</v>
      </c>
      <c r="B641">
        <v>3577</v>
      </c>
      <c r="C641" t="s">
        <v>224</v>
      </c>
      <c r="D641" t="s">
        <v>808</v>
      </c>
      <c r="E641" t="s">
        <v>1248</v>
      </c>
      <c r="F641" s="1">
        <v>45529</v>
      </c>
      <c r="G641" s="34" t="str">
        <f t="shared" si="9"/>
        <v>Aug</v>
      </c>
      <c r="H641">
        <v>1</v>
      </c>
      <c r="I641" t="s">
        <v>14</v>
      </c>
      <c r="J641" t="s">
        <v>1233</v>
      </c>
      <c r="K641">
        <v>0.25</v>
      </c>
      <c r="L641">
        <v>61.25</v>
      </c>
      <c r="M641">
        <v>245</v>
      </c>
      <c r="N641">
        <v>183.75</v>
      </c>
      <c r="O641" t="s">
        <v>15</v>
      </c>
    </row>
    <row r="642" spans="1:15" x14ac:dyDescent="0.25">
      <c r="A642">
        <v>1979</v>
      </c>
      <c r="B642">
        <v>3747</v>
      </c>
      <c r="C642" t="s">
        <v>998</v>
      </c>
      <c r="D642" t="s">
        <v>634</v>
      </c>
      <c r="E642" t="s">
        <v>1205</v>
      </c>
      <c r="F642" s="1">
        <v>45529</v>
      </c>
      <c r="G642" s="34" t="str">
        <f t="shared" ref="G642:G705" si="10">TEXT(F642, "MMM")</f>
        <v>Aug</v>
      </c>
      <c r="H642">
        <v>2</v>
      </c>
      <c r="I642" t="s">
        <v>18</v>
      </c>
      <c r="J642" t="s">
        <v>1214</v>
      </c>
      <c r="K642">
        <v>0.1</v>
      </c>
      <c r="L642">
        <v>165.3</v>
      </c>
      <c r="M642">
        <v>1653</v>
      </c>
      <c r="N642">
        <v>1487.7</v>
      </c>
      <c r="O642" t="s">
        <v>1200</v>
      </c>
    </row>
    <row r="643" spans="1:15" x14ac:dyDescent="0.25">
      <c r="A643">
        <v>2071</v>
      </c>
      <c r="B643">
        <v>3839</v>
      </c>
      <c r="C643" t="s">
        <v>1075</v>
      </c>
      <c r="D643" t="s">
        <v>82</v>
      </c>
      <c r="E643" t="s">
        <v>1249</v>
      </c>
      <c r="F643" s="1">
        <v>45529</v>
      </c>
      <c r="G643" s="34" t="str">
        <f t="shared" si="10"/>
        <v>Aug</v>
      </c>
      <c r="H643">
        <v>1</v>
      </c>
      <c r="I643" t="s">
        <v>1242</v>
      </c>
      <c r="J643" t="s">
        <v>1214</v>
      </c>
      <c r="K643">
        <v>0.25</v>
      </c>
      <c r="L643">
        <v>47</v>
      </c>
      <c r="M643">
        <v>188</v>
      </c>
      <c r="N643">
        <v>141</v>
      </c>
      <c r="O643" t="s">
        <v>1200</v>
      </c>
    </row>
    <row r="644" spans="1:15" x14ac:dyDescent="0.25">
      <c r="A644">
        <v>2159</v>
      </c>
      <c r="B644">
        <v>3928</v>
      </c>
      <c r="C644" t="s">
        <v>717</v>
      </c>
      <c r="D644" t="s">
        <v>82</v>
      </c>
      <c r="E644" t="s">
        <v>1208</v>
      </c>
      <c r="F644" s="1">
        <v>45529</v>
      </c>
      <c r="G644" s="34" t="str">
        <f t="shared" si="10"/>
        <v>Aug</v>
      </c>
      <c r="H644">
        <v>3</v>
      </c>
      <c r="I644" t="s">
        <v>14</v>
      </c>
      <c r="J644" t="s">
        <v>1222</v>
      </c>
      <c r="K644">
        <v>0.3</v>
      </c>
      <c r="L644">
        <v>171.9</v>
      </c>
      <c r="M644">
        <v>573</v>
      </c>
      <c r="N644">
        <v>401.1</v>
      </c>
      <c r="O644" t="s">
        <v>15</v>
      </c>
    </row>
    <row r="645" spans="1:15" x14ac:dyDescent="0.25">
      <c r="A645">
        <v>1267</v>
      </c>
      <c r="B645">
        <v>3034</v>
      </c>
      <c r="C645" t="s">
        <v>91</v>
      </c>
      <c r="D645" t="s">
        <v>92</v>
      </c>
      <c r="E645" t="s">
        <v>1249</v>
      </c>
      <c r="F645" s="1">
        <v>45530</v>
      </c>
      <c r="G645" s="34" t="str">
        <f t="shared" si="10"/>
        <v>Aug</v>
      </c>
      <c r="H645">
        <v>3</v>
      </c>
      <c r="I645" t="s">
        <v>18</v>
      </c>
      <c r="J645" t="s">
        <v>1233</v>
      </c>
      <c r="K645">
        <v>0.25</v>
      </c>
      <c r="L645">
        <v>62.75</v>
      </c>
      <c r="M645">
        <v>251</v>
      </c>
      <c r="N645">
        <v>188.25</v>
      </c>
      <c r="O645" t="s">
        <v>13</v>
      </c>
    </row>
    <row r="646" spans="1:15" x14ac:dyDescent="0.25">
      <c r="A646">
        <v>1679</v>
      </c>
      <c r="B646">
        <v>3447</v>
      </c>
      <c r="C646" t="s">
        <v>697</v>
      </c>
      <c r="D646" t="s">
        <v>179</v>
      </c>
      <c r="E646" t="s">
        <v>1203</v>
      </c>
      <c r="F646" s="1">
        <v>45530</v>
      </c>
      <c r="G646" s="34" t="str">
        <f t="shared" si="10"/>
        <v>Aug</v>
      </c>
      <c r="H646">
        <v>1</v>
      </c>
      <c r="I646" t="s">
        <v>14</v>
      </c>
      <c r="J646" t="s">
        <v>1233</v>
      </c>
      <c r="K646">
        <v>0.3</v>
      </c>
      <c r="L646">
        <v>229.2</v>
      </c>
      <c r="M646">
        <v>764</v>
      </c>
      <c r="N646">
        <v>534.79999999999995</v>
      </c>
      <c r="O646" t="s">
        <v>13</v>
      </c>
    </row>
    <row r="647" spans="1:15" x14ac:dyDescent="0.25">
      <c r="A647">
        <v>1929</v>
      </c>
      <c r="B647">
        <v>3697</v>
      </c>
      <c r="C647" t="s">
        <v>960</v>
      </c>
      <c r="D647" t="s">
        <v>961</v>
      </c>
      <c r="E647" t="s">
        <v>1205</v>
      </c>
      <c r="F647" s="1">
        <v>45530</v>
      </c>
      <c r="G647" s="34" t="str">
        <f t="shared" si="10"/>
        <v>Aug</v>
      </c>
      <c r="H647">
        <v>2</v>
      </c>
      <c r="I647" t="s">
        <v>14</v>
      </c>
      <c r="J647" t="s">
        <v>1222</v>
      </c>
      <c r="K647">
        <v>0.1</v>
      </c>
      <c r="L647">
        <v>94.3</v>
      </c>
      <c r="M647">
        <v>943</v>
      </c>
      <c r="N647">
        <v>848.7</v>
      </c>
      <c r="O647" t="s">
        <v>19</v>
      </c>
    </row>
    <row r="648" spans="1:15" x14ac:dyDescent="0.25">
      <c r="A648">
        <v>2039</v>
      </c>
      <c r="B648">
        <v>3807</v>
      </c>
      <c r="C648" t="s">
        <v>984</v>
      </c>
      <c r="D648" t="s">
        <v>428</v>
      </c>
      <c r="E648" t="s">
        <v>1203</v>
      </c>
      <c r="F648" s="1">
        <v>45530</v>
      </c>
      <c r="G648" s="34" t="str">
        <f t="shared" si="10"/>
        <v>Aug</v>
      </c>
      <c r="H648">
        <v>1</v>
      </c>
      <c r="I648" t="s">
        <v>1242</v>
      </c>
      <c r="J648" t="s">
        <v>1222</v>
      </c>
      <c r="K648">
        <v>0.3</v>
      </c>
      <c r="L648">
        <v>26.4</v>
      </c>
      <c r="M648">
        <v>88</v>
      </c>
      <c r="N648">
        <v>61.6</v>
      </c>
      <c r="O648" t="s">
        <v>1200</v>
      </c>
    </row>
    <row r="649" spans="1:15" x14ac:dyDescent="0.25">
      <c r="A649">
        <v>2116</v>
      </c>
      <c r="B649">
        <v>3885</v>
      </c>
      <c r="C649" t="s">
        <v>1114</v>
      </c>
      <c r="D649" t="s">
        <v>1115</v>
      </c>
      <c r="E649" t="s">
        <v>1249</v>
      </c>
      <c r="F649" s="1">
        <v>45530</v>
      </c>
      <c r="G649" s="34" t="str">
        <f t="shared" si="10"/>
        <v>Aug</v>
      </c>
      <c r="H649">
        <v>1</v>
      </c>
      <c r="I649" t="s">
        <v>14</v>
      </c>
      <c r="J649" t="s">
        <v>1218</v>
      </c>
      <c r="K649">
        <v>0.25</v>
      </c>
      <c r="L649">
        <v>320.75</v>
      </c>
      <c r="M649">
        <v>1283</v>
      </c>
      <c r="N649">
        <v>962.25</v>
      </c>
      <c r="O649" t="s">
        <v>19</v>
      </c>
    </row>
    <row r="650" spans="1:15" x14ac:dyDescent="0.25">
      <c r="A650">
        <v>1287</v>
      </c>
      <c r="B650">
        <v>3054</v>
      </c>
      <c r="C650" t="s">
        <v>95</v>
      </c>
      <c r="D650" t="s">
        <v>130</v>
      </c>
      <c r="E650" t="s">
        <v>1208</v>
      </c>
      <c r="F650" s="1">
        <v>45531</v>
      </c>
      <c r="G650" s="34" t="str">
        <f t="shared" si="10"/>
        <v>Aug</v>
      </c>
      <c r="H650">
        <v>3</v>
      </c>
      <c r="I650" t="s">
        <v>1242</v>
      </c>
      <c r="J650" t="s">
        <v>1233</v>
      </c>
      <c r="K650">
        <v>0.3</v>
      </c>
      <c r="L650">
        <v>248.1</v>
      </c>
      <c r="M650">
        <v>827</v>
      </c>
      <c r="N650">
        <v>578.9</v>
      </c>
      <c r="O650" t="s">
        <v>13</v>
      </c>
    </row>
    <row r="651" spans="1:15" x14ac:dyDescent="0.25">
      <c r="A651">
        <v>1469</v>
      </c>
      <c r="B651">
        <v>3236</v>
      </c>
      <c r="C651" t="s">
        <v>321</v>
      </c>
      <c r="D651" t="s">
        <v>429</v>
      </c>
      <c r="E651" t="s">
        <v>1203</v>
      </c>
      <c r="F651" s="1">
        <v>45531</v>
      </c>
      <c r="G651" s="34" t="str">
        <f t="shared" si="10"/>
        <v>Aug</v>
      </c>
      <c r="H651">
        <v>2</v>
      </c>
      <c r="I651" t="s">
        <v>18</v>
      </c>
      <c r="J651" t="s">
        <v>1233</v>
      </c>
      <c r="K651">
        <v>0.3</v>
      </c>
      <c r="L651">
        <v>60.3</v>
      </c>
      <c r="M651">
        <v>201</v>
      </c>
      <c r="N651">
        <v>140.69999999999999</v>
      </c>
      <c r="O651" t="s">
        <v>13</v>
      </c>
    </row>
    <row r="652" spans="1:15" x14ac:dyDescent="0.25">
      <c r="A652">
        <v>1759</v>
      </c>
      <c r="B652">
        <v>3527</v>
      </c>
      <c r="C652" t="s">
        <v>786</v>
      </c>
      <c r="D652" t="s">
        <v>16</v>
      </c>
      <c r="E652" t="s">
        <v>1207</v>
      </c>
      <c r="F652" s="1">
        <v>45531</v>
      </c>
      <c r="G652" s="34" t="str">
        <f t="shared" si="10"/>
        <v>Aug</v>
      </c>
      <c r="H652">
        <v>1</v>
      </c>
      <c r="I652" t="s">
        <v>18</v>
      </c>
      <c r="J652" t="s">
        <v>1222</v>
      </c>
      <c r="K652">
        <v>0.2</v>
      </c>
      <c r="L652">
        <v>52.6</v>
      </c>
      <c r="M652">
        <v>263</v>
      </c>
      <c r="N652">
        <v>210.4</v>
      </c>
      <c r="O652" t="s">
        <v>19</v>
      </c>
    </row>
    <row r="653" spans="1:15" x14ac:dyDescent="0.25">
      <c r="A653">
        <v>2107</v>
      </c>
      <c r="B653">
        <v>3876</v>
      </c>
      <c r="C653" t="s">
        <v>715</v>
      </c>
      <c r="D653" t="s">
        <v>1104</v>
      </c>
      <c r="E653" t="s">
        <v>1205</v>
      </c>
      <c r="F653" s="1">
        <v>45531</v>
      </c>
      <c r="G653" s="34" t="str">
        <f t="shared" si="10"/>
        <v>Aug</v>
      </c>
      <c r="H653">
        <v>2</v>
      </c>
      <c r="I653" t="s">
        <v>1243</v>
      </c>
      <c r="J653" t="s">
        <v>1216</v>
      </c>
      <c r="K653">
        <v>0.1</v>
      </c>
      <c r="L653">
        <v>31</v>
      </c>
      <c r="M653">
        <v>310</v>
      </c>
      <c r="N653">
        <v>279</v>
      </c>
      <c r="O653" t="s">
        <v>13</v>
      </c>
    </row>
    <row r="654" spans="1:15" x14ac:dyDescent="0.25">
      <c r="A654">
        <v>2142</v>
      </c>
      <c r="B654">
        <v>3911</v>
      </c>
      <c r="C654" t="s">
        <v>1141</v>
      </c>
      <c r="D654" t="s">
        <v>491</v>
      </c>
      <c r="E654" t="s">
        <v>1207</v>
      </c>
      <c r="F654" s="1">
        <v>45531</v>
      </c>
      <c r="G654" s="34" t="str">
        <f t="shared" si="10"/>
        <v>Aug</v>
      </c>
      <c r="H654">
        <v>2</v>
      </c>
      <c r="I654" t="s">
        <v>14</v>
      </c>
      <c r="J654" t="s">
        <v>1224</v>
      </c>
      <c r="K654">
        <v>0.2</v>
      </c>
      <c r="L654">
        <v>109</v>
      </c>
      <c r="M654">
        <v>545</v>
      </c>
      <c r="N654">
        <v>436</v>
      </c>
      <c r="O654" t="s">
        <v>19</v>
      </c>
    </row>
    <row r="655" spans="1:15" x14ac:dyDescent="0.25">
      <c r="A655">
        <v>1357</v>
      </c>
      <c r="B655">
        <v>3124</v>
      </c>
      <c r="C655" t="s">
        <v>250</v>
      </c>
      <c r="D655" t="s">
        <v>251</v>
      </c>
      <c r="E655" t="s">
        <v>1205</v>
      </c>
      <c r="F655" s="1">
        <v>45532</v>
      </c>
      <c r="G655" s="34" t="str">
        <f t="shared" si="10"/>
        <v>Aug</v>
      </c>
      <c r="H655">
        <v>1</v>
      </c>
      <c r="I655" t="s">
        <v>14</v>
      </c>
      <c r="J655" t="s">
        <v>1214</v>
      </c>
      <c r="K655">
        <v>0.1</v>
      </c>
      <c r="L655">
        <v>162.9</v>
      </c>
      <c r="M655">
        <v>1629</v>
      </c>
      <c r="N655">
        <v>1466.1</v>
      </c>
      <c r="O655" t="s">
        <v>1200</v>
      </c>
    </row>
    <row r="656" spans="1:15" x14ac:dyDescent="0.25">
      <c r="A656">
        <v>1309</v>
      </c>
      <c r="B656">
        <v>3076</v>
      </c>
      <c r="C656" t="s">
        <v>169</v>
      </c>
      <c r="D656" t="s">
        <v>170</v>
      </c>
      <c r="E656" t="s">
        <v>1205</v>
      </c>
      <c r="F656" s="1">
        <v>45533</v>
      </c>
      <c r="G656" s="34" t="str">
        <f t="shared" si="10"/>
        <v>Aug</v>
      </c>
      <c r="H656">
        <v>2</v>
      </c>
      <c r="I656" t="s">
        <v>14</v>
      </c>
      <c r="J656" t="s">
        <v>1220</v>
      </c>
      <c r="K656">
        <v>0.1</v>
      </c>
      <c r="L656">
        <v>122.5</v>
      </c>
      <c r="M656">
        <v>1225</v>
      </c>
      <c r="N656">
        <v>1102.5</v>
      </c>
      <c r="O656" t="s">
        <v>15</v>
      </c>
    </row>
    <row r="657" spans="1:15" x14ac:dyDescent="0.25">
      <c r="A657">
        <v>2124</v>
      </c>
      <c r="B657">
        <v>3893</v>
      </c>
      <c r="C657" t="s">
        <v>146</v>
      </c>
      <c r="D657" t="s">
        <v>1123</v>
      </c>
      <c r="E657" t="s">
        <v>1205</v>
      </c>
      <c r="F657" s="1">
        <v>45533</v>
      </c>
      <c r="G657" s="34" t="str">
        <f t="shared" si="10"/>
        <v>Aug</v>
      </c>
      <c r="H657">
        <v>2</v>
      </c>
      <c r="I657" t="s">
        <v>1242</v>
      </c>
      <c r="J657" t="s">
        <v>1214</v>
      </c>
      <c r="K657">
        <v>0.1</v>
      </c>
      <c r="L657">
        <v>143.6</v>
      </c>
      <c r="M657">
        <v>1436</v>
      </c>
      <c r="N657">
        <v>1292.4000000000001</v>
      </c>
      <c r="O657" t="s">
        <v>15</v>
      </c>
    </row>
    <row r="658" spans="1:15" x14ac:dyDescent="0.25">
      <c r="A658">
        <v>1892</v>
      </c>
      <c r="B658">
        <v>3660</v>
      </c>
      <c r="C658" t="s">
        <v>923</v>
      </c>
      <c r="D658" t="s">
        <v>924</v>
      </c>
      <c r="E658" t="s">
        <v>1203</v>
      </c>
      <c r="F658" s="1">
        <v>45534</v>
      </c>
      <c r="G658" s="34" t="str">
        <f t="shared" si="10"/>
        <v>Aug</v>
      </c>
      <c r="H658">
        <v>3</v>
      </c>
      <c r="I658" t="s">
        <v>1242</v>
      </c>
      <c r="J658" t="s">
        <v>1218</v>
      </c>
      <c r="K658">
        <v>0.3</v>
      </c>
      <c r="L658">
        <v>301.8</v>
      </c>
      <c r="M658">
        <v>1006</v>
      </c>
      <c r="N658">
        <v>704.2</v>
      </c>
      <c r="O658" t="s">
        <v>15</v>
      </c>
    </row>
    <row r="659" spans="1:15" x14ac:dyDescent="0.25">
      <c r="A659">
        <v>1440</v>
      </c>
      <c r="B659">
        <v>3207</v>
      </c>
      <c r="C659" t="s">
        <v>384</v>
      </c>
      <c r="D659" t="s">
        <v>218</v>
      </c>
      <c r="E659" t="s">
        <v>1249</v>
      </c>
      <c r="F659" s="1">
        <v>45535</v>
      </c>
      <c r="G659" s="34" t="str">
        <f t="shared" si="10"/>
        <v>Aug</v>
      </c>
      <c r="H659">
        <v>2</v>
      </c>
      <c r="I659" t="s">
        <v>18</v>
      </c>
      <c r="J659" t="s">
        <v>1214</v>
      </c>
      <c r="K659">
        <v>0.25</v>
      </c>
      <c r="L659">
        <v>252.75</v>
      </c>
      <c r="M659">
        <v>1011</v>
      </c>
      <c r="N659">
        <v>758.25</v>
      </c>
      <c r="O659" t="s">
        <v>19</v>
      </c>
    </row>
    <row r="660" spans="1:15" x14ac:dyDescent="0.25">
      <c r="A660">
        <v>1542</v>
      </c>
      <c r="B660">
        <v>3309</v>
      </c>
      <c r="C660" t="s">
        <v>526</v>
      </c>
      <c r="D660" t="s">
        <v>527</v>
      </c>
      <c r="E660" t="s">
        <v>1208</v>
      </c>
      <c r="F660" s="1">
        <v>45535</v>
      </c>
      <c r="G660" s="34" t="str">
        <f t="shared" si="10"/>
        <v>Aug</v>
      </c>
      <c r="H660">
        <v>1</v>
      </c>
      <c r="I660" t="s">
        <v>14</v>
      </c>
      <c r="J660" t="s">
        <v>1233</v>
      </c>
      <c r="K660">
        <v>0.3</v>
      </c>
      <c r="L660">
        <v>536.1</v>
      </c>
      <c r="M660">
        <v>1787</v>
      </c>
      <c r="N660">
        <v>1250.9000000000001</v>
      </c>
      <c r="O660" t="s">
        <v>1200</v>
      </c>
    </row>
    <row r="661" spans="1:15" x14ac:dyDescent="0.25">
      <c r="A661">
        <v>1577</v>
      </c>
      <c r="B661">
        <v>3344</v>
      </c>
      <c r="C661" t="s">
        <v>575</v>
      </c>
      <c r="D661" t="s">
        <v>576</v>
      </c>
      <c r="E661" t="s">
        <v>1249</v>
      </c>
      <c r="F661" s="1">
        <v>45535</v>
      </c>
      <c r="G661" s="34" t="str">
        <f t="shared" si="10"/>
        <v>Aug</v>
      </c>
      <c r="H661">
        <v>2</v>
      </c>
      <c r="I661" t="s">
        <v>1242</v>
      </c>
      <c r="J661" t="s">
        <v>1220</v>
      </c>
      <c r="K661">
        <v>0.25</v>
      </c>
      <c r="L661">
        <v>400.5</v>
      </c>
      <c r="M661">
        <v>1602</v>
      </c>
      <c r="N661">
        <v>1201.5</v>
      </c>
      <c r="O661" t="s">
        <v>15</v>
      </c>
    </row>
    <row r="662" spans="1:15" x14ac:dyDescent="0.25">
      <c r="A662">
        <v>2066</v>
      </c>
      <c r="B662">
        <v>3834</v>
      </c>
      <c r="C662" t="s">
        <v>582</v>
      </c>
      <c r="D662" t="s">
        <v>172</v>
      </c>
      <c r="E662" t="s">
        <v>1249</v>
      </c>
      <c r="F662" s="1">
        <v>45535</v>
      </c>
      <c r="G662" s="34" t="str">
        <f t="shared" si="10"/>
        <v>Aug</v>
      </c>
      <c r="H662">
        <v>2</v>
      </c>
      <c r="I662" t="s">
        <v>1243</v>
      </c>
      <c r="J662" t="s">
        <v>1233</v>
      </c>
      <c r="K662">
        <v>0.25</v>
      </c>
      <c r="L662">
        <v>116</v>
      </c>
      <c r="M662">
        <v>464</v>
      </c>
      <c r="N662">
        <v>348</v>
      </c>
      <c r="O662" t="s">
        <v>19</v>
      </c>
    </row>
    <row r="663" spans="1:15" x14ac:dyDescent="0.25">
      <c r="A663">
        <v>1268</v>
      </c>
      <c r="B663">
        <v>3035</v>
      </c>
      <c r="C663" t="s">
        <v>93</v>
      </c>
      <c r="D663" t="s">
        <v>94</v>
      </c>
      <c r="E663" t="s">
        <v>1207</v>
      </c>
      <c r="F663" s="1">
        <v>45536</v>
      </c>
      <c r="G663" s="34" t="str">
        <f t="shared" si="10"/>
        <v>Sep</v>
      </c>
      <c r="H663">
        <v>1</v>
      </c>
      <c r="I663" t="s">
        <v>14</v>
      </c>
      <c r="J663" t="s">
        <v>1224</v>
      </c>
      <c r="K663">
        <v>0.2</v>
      </c>
      <c r="L663">
        <v>50</v>
      </c>
      <c r="M663">
        <v>250</v>
      </c>
      <c r="N663">
        <v>200</v>
      </c>
      <c r="O663" t="s">
        <v>13</v>
      </c>
    </row>
    <row r="664" spans="1:15" x14ac:dyDescent="0.25">
      <c r="A664">
        <v>1622</v>
      </c>
      <c r="B664">
        <v>3390</v>
      </c>
      <c r="C664" t="s">
        <v>626</v>
      </c>
      <c r="D664" t="s">
        <v>134</v>
      </c>
      <c r="E664" t="s">
        <v>1203</v>
      </c>
      <c r="F664" s="1">
        <v>45536</v>
      </c>
      <c r="G664" s="34" t="str">
        <f t="shared" si="10"/>
        <v>Sep</v>
      </c>
      <c r="H664">
        <v>1</v>
      </c>
      <c r="I664" t="s">
        <v>1242</v>
      </c>
      <c r="J664" t="s">
        <v>1224</v>
      </c>
      <c r="K664">
        <v>0.3</v>
      </c>
      <c r="L664">
        <v>279.3</v>
      </c>
      <c r="M664">
        <v>931</v>
      </c>
      <c r="N664">
        <v>651.70000000000005</v>
      </c>
      <c r="O664" t="s">
        <v>16</v>
      </c>
    </row>
    <row r="665" spans="1:15" x14ac:dyDescent="0.25">
      <c r="A665">
        <v>1487</v>
      </c>
      <c r="B665">
        <v>3254</v>
      </c>
      <c r="C665" t="s">
        <v>387</v>
      </c>
      <c r="D665" t="s">
        <v>458</v>
      </c>
      <c r="E665" t="s">
        <v>1248</v>
      </c>
      <c r="F665" s="1">
        <v>45537</v>
      </c>
      <c r="G665" s="34" t="str">
        <f t="shared" si="10"/>
        <v>Sep</v>
      </c>
      <c r="H665">
        <v>1</v>
      </c>
      <c r="I665" t="s">
        <v>14</v>
      </c>
      <c r="J665" t="s">
        <v>1220</v>
      </c>
      <c r="K665">
        <v>0.25</v>
      </c>
      <c r="L665">
        <v>326.25</v>
      </c>
      <c r="M665">
        <v>1305</v>
      </c>
      <c r="N665">
        <v>978.75</v>
      </c>
      <c r="O665" t="s">
        <v>15</v>
      </c>
    </row>
    <row r="666" spans="1:15" x14ac:dyDescent="0.25">
      <c r="A666">
        <v>1977</v>
      </c>
      <c r="B666">
        <v>3745</v>
      </c>
      <c r="C666" t="s">
        <v>868</v>
      </c>
      <c r="D666" t="s">
        <v>996</v>
      </c>
      <c r="E666" t="s">
        <v>1205</v>
      </c>
      <c r="F666" s="1">
        <v>45537</v>
      </c>
      <c r="G666" s="34" t="str">
        <f t="shared" si="10"/>
        <v>Sep</v>
      </c>
      <c r="H666">
        <v>1</v>
      </c>
      <c r="I666" t="s">
        <v>1242</v>
      </c>
      <c r="J666" t="s">
        <v>1216</v>
      </c>
      <c r="K666">
        <v>0.1</v>
      </c>
      <c r="L666">
        <v>55.5</v>
      </c>
      <c r="M666">
        <v>555</v>
      </c>
      <c r="N666">
        <v>499.5</v>
      </c>
      <c r="O666" t="s">
        <v>16</v>
      </c>
    </row>
    <row r="667" spans="1:15" x14ac:dyDescent="0.25">
      <c r="A667">
        <v>1630</v>
      </c>
      <c r="B667">
        <v>3398</v>
      </c>
      <c r="C667" t="s">
        <v>515</v>
      </c>
      <c r="D667" t="s">
        <v>635</v>
      </c>
      <c r="E667" t="s">
        <v>1203</v>
      </c>
      <c r="F667" s="1">
        <v>45538</v>
      </c>
      <c r="G667" s="34" t="str">
        <f t="shared" si="10"/>
        <v>Sep</v>
      </c>
      <c r="H667">
        <v>3</v>
      </c>
      <c r="I667" t="s">
        <v>1242</v>
      </c>
      <c r="J667" t="s">
        <v>1214</v>
      </c>
      <c r="K667">
        <v>0.3</v>
      </c>
      <c r="L667">
        <v>414</v>
      </c>
      <c r="M667">
        <v>1380</v>
      </c>
      <c r="N667">
        <v>966</v>
      </c>
      <c r="O667" t="s">
        <v>1200</v>
      </c>
    </row>
    <row r="668" spans="1:15" x14ac:dyDescent="0.25">
      <c r="A668">
        <v>1508</v>
      </c>
      <c r="B668">
        <v>3275</v>
      </c>
      <c r="C668" t="s">
        <v>101</v>
      </c>
      <c r="D668" t="s">
        <v>204</v>
      </c>
      <c r="E668" t="s">
        <v>1249</v>
      </c>
      <c r="F668" s="1">
        <v>45539</v>
      </c>
      <c r="G668" s="34" t="str">
        <f t="shared" si="10"/>
        <v>Sep</v>
      </c>
      <c r="H668">
        <v>3</v>
      </c>
      <c r="I668" t="s">
        <v>14</v>
      </c>
      <c r="J668" t="s">
        <v>1222</v>
      </c>
      <c r="K668">
        <v>0.25</v>
      </c>
      <c r="L668">
        <v>438.75</v>
      </c>
      <c r="M668">
        <v>1755</v>
      </c>
      <c r="N668">
        <v>1316.25</v>
      </c>
      <c r="O668" t="s">
        <v>19</v>
      </c>
    </row>
    <row r="669" spans="1:15" x14ac:dyDescent="0.25">
      <c r="A669">
        <v>1893</v>
      </c>
      <c r="B669">
        <v>3661</v>
      </c>
      <c r="C669" t="s">
        <v>154</v>
      </c>
      <c r="D669" t="s">
        <v>466</v>
      </c>
      <c r="E669" t="s">
        <v>1203</v>
      </c>
      <c r="F669" s="1">
        <v>45539</v>
      </c>
      <c r="G669" s="34" t="str">
        <f t="shared" si="10"/>
        <v>Sep</v>
      </c>
      <c r="H669">
        <v>1</v>
      </c>
      <c r="I669" t="s">
        <v>1243</v>
      </c>
      <c r="J669" t="s">
        <v>1222</v>
      </c>
      <c r="K669">
        <v>0.3</v>
      </c>
      <c r="L669">
        <v>42.3</v>
      </c>
      <c r="M669">
        <v>141</v>
      </c>
      <c r="N669">
        <v>98.7</v>
      </c>
      <c r="O669" t="s">
        <v>16</v>
      </c>
    </row>
    <row r="670" spans="1:15" x14ac:dyDescent="0.25">
      <c r="A670">
        <v>2029</v>
      </c>
      <c r="B670">
        <v>3797</v>
      </c>
      <c r="C670" t="s">
        <v>1037</v>
      </c>
      <c r="D670" t="s">
        <v>1038</v>
      </c>
      <c r="E670" t="s">
        <v>1205</v>
      </c>
      <c r="F670" s="1">
        <v>45539</v>
      </c>
      <c r="G670" s="34" t="str">
        <f t="shared" si="10"/>
        <v>Sep</v>
      </c>
      <c r="H670">
        <v>2</v>
      </c>
      <c r="I670" t="s">
        <v>1242</v>
      </c>
      <c r="J670" t="s">
        <v>1214</v>
      </c>
      <c r="K670">
        <v>0.1</v>
      </c>
      <c r="L670">
        <v>40.5</v>
      </c>
      <c r="M670">
        <v>405</v>
      </c>
      <c r="N670">
        <v>364.5</v>
      </c>
      <c r="O670" t="s">
        <v>19</v>
      </c>
    </row>
    <row r="671" spans="1:15" x14ac:dyDescent="0.25">
      <c r="A671">
        <v>1295</v>
      </c>
      <c r="B671">
        <v>3062</v>
      </c>
      <c r="C671" t="s">
        <v>143</v>
      </c>
      <c r="D671" t="s">
        <v>144</v>
      </c>
      <c r="E671" t="s">
        <v>1203</v>
      </c>
      <c r="F671" s="1">
        <v>45540</v>
      </c>
      <c r="G671" s="34" t="str">
        <f t="shared" si="10"/>
        <v>Sep</v>
      </c>
      <c r="H671">
        <v>2</v>
      </c>
      <c r="I671" t="s">
        <v>1242</v>
      </c>
      <c r="J671" t="s">
        <v>1218</v>
      </c>
      <c r="K671">
        <v>0.3</v>
      </c>
      <c r="L671">
        <v>16.5</v>
      </c>
      <c r="M671">
        <v>55</v>
      </c>
      <c r="N671">
        <v>38.5</v>
      </c>
      <c r="O671" t="s">
        <v>15</v>
      </c>
    </row>
    <row r="672" spans="1:15" x14ac:dyDescent="0.25">
      <c r="A672">
        <v>1296</v>
      </c>
      <c r="B672">
        <v>3063</v>
      </c>
      <c r="C672" t="s">
        <v>145</v>
      </c>
      <c r="D672" t="s">
        <v>146</v>
      </c>
      <c r="E672" t="s">
        <v>1207</v>
      </c>
      <c r="F672" s="1">
        <v>45540</v>
      </c>
      <c r="G672" s="34" t="str">
        <f t="shared" si="10"/>
        <v>Sep</v>
      </c>
      <c r="H672">
        <v>3</v>
      </c>
      <c r="I672" t="s">
        <v>14</v>
      </c>
      <c r="J672" t="s">
        <v>1222</v>
      </c>
      <c r="K672">
        <v>0.2</v>
      </c>
      <c r="L672">
        <v>206.4</v>
      </c>
      <c r="M672">
        <v>1032</v>
      </c>
      <c r="N672">
        <v>825.6</v>
      </c>
      <c r="O672" t="s">
        <v>13</v>
      </c>
    </row>
    <row r="673" spans="1:15" x14ac:dyDescent="0.25">
      <c r="A673">
        <v>1381</v>
      </c>
      <c r="B673">
        <v>3148</v>
      </c>
      <c r="C673" t="s">
        <v>293</v>
      </c>
      <c r="D673" t="s">
        <v>294</v>
      </c>
      <c r="E673" t="s">
        <v>1208</v>
      </c>
      <c r="F673" s="1">
        <v>45540</v>
      </c>
      <c r="G673" s="34" t="str">
        <f t="shared" si="10"/>
        <v>Sep</v>
      </c>
      <c r="H673">
        <v>2</v>
      </c>
      <c r="I673" t="s">
        <v>1242</v>
      </c>
      <c r="J673" t="s">
        <v>1218</v>
      </c>
      <c r="K673">
        <v>0.3</v>
      </c>
      <c r="L673">
        <v>291.60000000000002</v>
      </c>
      <c r="M673">
        <v>972</v>
      </c>
      <c r="N673">
        <v>680.4</v>
      </c>
      <c r="O673" t="s">
        <v>16</v>
      </c>
    </row>
    <row r="674" spans="1:15" x14ac:dyDescent="0.25">
      <c r="A674">
        <v>1445</v>
      </c>
      <c r="B674">
        <v>3212</v>
      </c>
      <c r="C674" t="s">
        <v>392</v>
      </c>
      <c r="D674" t="s">
        <v>393</v>
      </c>
      <c r="E674" t="s">
        <v>1203</v>
      </c>
      <c r="F674" s="1">
        <v>45540</v>
      </c>
      <c r="G674" s="34" t="str">
        <f t="shared" si="10"/>
        <v>Sep</v>
      </c>
      <c r="H674">
        <v>3</v>
      </c>
      <c r="I674" t="s">
        <v>1242</v>
      </c>
      <c r="J674" t="s">
        <v>1233</v>
      </c>
      <c r="K674">
        <v>0.3</v>
      </c>
      <c r="L674">
        <v>17.100000000000001</v>
      </c>
      <c r="M674">
        <v>57</v>
      </c>
      <c r="N674">
        <v>39.9</v>
      </c>
      <c r="O674" t="s">
        <v>15</v>
      </c>
    </row>
    <row r="675" spans="1:15" x14ac:dyDescent="0.25">
      <c r="A675">
        <v>1465</v>
      </c>
      <c r="B675">
        <v>3232</v>
      </c>
      <c r="C675" t="s">
        <v>425</v>
      </c>
      <c r="D675" t="s">
        <v>350</v>
      </c>
      <c r="E675" t="s">
        <v>1249</v>
      </c>
      <c r="F675" s="1">
        <v>45541</v>
      </c>
      <c r="G675" s="34" t="str">
        <f t="shared" si="10"/>
        <v>Sep</v>
      </c>
      <c r="H675">
        <v>1</v>
      </c>
      <c r="I675" t="s">
        <v>1242</v>
      </c>
      <c r="J675" t="s">
        <v>1228</v>
      </c>
      <c r="K675">
        <v>0.25</v>
      </c>
      <c r="L675">
        <v>296.75</v>
      </c>
      <c r="M675">
        <v>1187</v>
      </c>
      <c r="N675">
        <v>890.25</v>
      </c>
      <c r="O675" t="s">
        <v>19</v>
      </c>
    </row>
    <row r="676" spans="1:15" x14ac:dyDescent="0.25">
      <c r="A676">
        <v>1644</v>
      </c>
      <c r="B676">
        <v>3412</v>
      </c>
      <c r="C676" t="s">
        <v>533</v>
      </c>
      <c r="D676" t="s">
        <v>92</v>
      </c>
      <c r="E676" t="s">
        <v>1203</v>
      </c>
      <c r="F676" s="1">
        <v>45541</v>
      </c>
      <c r="G676" s="34" t="str">
        <f t="shared" si="10"/>
        <v>Sep</v>
      </c>
      <c r="H676">
        <v>2</v>
      </c>
      <c r="I676" t="s">
        <v>1242</v>
      </c>
      <c r="J676" t="s">
        <v>1218</v>
      </c>
      <c r="K676">
        <v>0.3</v>
      </c>
      <c r="L676">
        <v>340.2</v>
      </c>
      <c r="M676">
        <v>1134</v>
      </c>
      <c r="N676">
        <v>793.8</v>
      </c>
      <c r="O676" t="s">
        <v>15</v>
      </c>
    </row>
    <row r="677" spans="1:15" x14ac:dyDescent="0.25">
      <c r="A677">
        <v>1849</v>
      </c>
      <c r="B677">
        <v>3617</v>
      </c>
      <c r="C677" t="s">
        <v>877</v>
      </c>
      <c r="D677" t="s">
        <v>477</v>
      </c>
      <c r="E677" t="s">
        <v>1207</v>
      </c>
      <c r="F677" s="1">
        <v>45541</v>
      </c>
      <c r="G677" s="34" t="str">
        <f t="shared" si="10"/>
        <v>Sep</v>
      </c>
      <c r="H677">
        <v>1</v>
      </c>
      <c r="I677" t="s">
        <v>1243</v>
      </c>
      <c r="J677" t="s">
        <v>1224</v>
      </c>
      <c r="K677">
        <v>0.2</v>
      </c>
      <c r="L677">
        <v>33</v>
      </c>
      <c r="M677">
        <v>165</v>
      </c>
      <c r="N677">
        <v>132</v>
      </c>
      <c r="O677" t="s">
        <v>13</v>
      </c>
    </row>
    <row r="678" spans="1:15" x14ac:dyDescent="0.25">
      <c r="A678">
        <v>2201</v>
      </c>
      <c r="B678">
        <v>3970</v>
      </c>
      <c r="C678" t="s">
        <v>629</v>
      </c>
      <c r="D678" t="s">
        <v>1179</v>
      </c>
      <c r="E678" t="s">
        <v>1205</v>
      </c>
      <c r="F678" s="1">
        <v>45541</v>
      </c>
      <c r="G678" s="34" t="str">
        <f t="shared" si="10"/>
        <v>Sep</v>
      </c>
      <c r="H678">
        <v>3</v>
      </c>
      <c r="I678" t="s">
        <v>14</v>
      </c>
      <c r="J678" t="s">
        <v>1222</v>
      </c>
      <c r="K678">
        <v>0.1</v>
      </c>
      <c r="L678">
        <v>126.9</v>
      </c>
      <c r="M678">
        <v>1269</v>
      </c>
      <c r="N678">
        <v>1142.0999999999999</v>
      </c>
      <c r="O678" t="s">
        <v>15</v>
      </c>
    </row>
    <row r="679" spans="1:15" x14ac:dyDescent="0.25">
      <c r="A679">
        <v>1306</v>
      </c>
      <c r="B679">
        <v>3073</v>
      </c>
      <c r="C679" t="s">
        <v>163</v>
      </c>
      <c r="D679" t="s">
        <v>164</v>
      </c>
      <c r="E679" t="s">
        <v>1249</v>
      </c>
      <c r="F679" s="1">
        <v>45542</v>
      </c>
      <c r="G679" s="34" t="str">
        <f t="shared" si="10"/>
        <v>Sep</v>
      </c>
      <c r="H679">
        <v>3</v>
      </c>
      <c r="I679" t="s">
        <v>14</v>
      </c>
      <c r="J679" t="s">
        <v>1228</v>
      </c>
      <c r="K679">
        <v>0.25</v>
      </c>
      <c r="L679">
        <v>448.5</v>
      </c>
      <c r="M679">
        <v>1794</v>
      </c>
      <c r="N679">
        <v>1345.5</v>
      </c>
      <c r="O679" t="s">
        <v>16</v>
      </c>
    </row>
    <row r="680" spans="1:15" x14ac:dyDescent="0.25">
      <c r="A680">
        <v>1383</v>
      </c>
      <c r="B680">
        <v>3150</v>
      </c>
      <c r="C680" t="s">
        <v>248</v>
      </c>
      <c r="D680" t="s">
        <v>297</v>
      </c>
      <c r="E680" t="s">
        <v>1248</v>
      </c>
      <c r="F680" s="1">
        <v>45543</v>
      </c>
      <c r="G680" s="34" t="str">
        <f t="shared" si="10"/>
        <v>Sep</v>
      </c>
      <c r="H680">
        <v>3</v>
      </c>
      <c r="I680" t="s">
        <v>1242</v>
      </c>
      <c r="J680" t="s">
        <v>1218</v>
      </c>
      <c r="K680">
        <v>0.25</v>
      </c>
      <c r="L680">
        <v>27.25</v>
      </c>
      <c r="M680">
        <v>109</v>
      </c>
      <c r="N680">
        <v>81.75</v>
      </c>
      <c r="O680" t="s">
        <v>19</v>
      </c>
    </row>
    <row r="681" spans="1:15" x14ac:dyDescent="0.25">
      <c r="A681">
        <v>1905</v>
      </c>
      <c r="B681">
        <v>3673</v>
      </c>
      <c r="C681" t="s">
        <v>815</v>
      </c>
      <c r="D681" t="s">
        <v>936</v>
      </c>
      <c r="E681" t="s">
        <v>1249</v>
      </c>
      <c r="F681" s="1">
        <v>45543</v>
      </c>
      <c r="G681" s="34" t="str">
        <f t="shared" si="10"/>
        <v>Sep</v>
      </c>
      <c r="H681">
        <v>1</v>
      </c>
      <c r="I681" t="s">
        <v>1242</v>
      </c>
      <c r="J681" t="s">
        <v>1216</v>
      </c>
      <c r="K681">
        <v>0.25</v>
      </c>
      <c r="L681">
        <v>429.25</v>
      </c>
      <c r="M681">
        <v>1717</v>
      </c>
      <c r="N681">
        <v>1287.75</v>
      </c>
      <c r="O681" t="s">
        <v>13</v>
      </c>
    </row>
    <row r="682" spans="1:15" x14ac:dyDescent="0.25">
      <c r="A682">
        <v>2043</v>
      </c>
      <c r="B682">
        <v>3811</v>
      </c>
      <c r="C682" t="s">
        <v>1047</v>
      </c>
      <c r="D682" t="s">
        <v>1048</v>
      </c>
      <c r="E682" t="s">
        <v>1207</v>
      </c>
      <c r="F682" s="1">
        <v>45543</v>
      </c>
      <c r="G682" s="34" t="str">
        <f t="shared" si="10"/>
        <v>Sep</v>
      </c>
      <c r="H682">
        <v>2</v>
      </c>
      <c r="I682" t="s">
        <v>1243</v>
      </c>
      <c r="J682" t="s">
        <v>1218</v>
      </c>
      <c r="K682">
        <v>0.2</v>
      </c>
      <c r="L682">
        <v>129</v>
      </c>
      <c r="M682">
        <v>645</v>
      </c>
      <c r="N682">
        <v>516</v>
      </c>
      <c r="O682" t="s">
        <v>13</v>
      </c>
    </row>
    <row r="683" spans="1:15" x14ac:dyDescent="0.25">
      <c r="A683">
        <v>2076</v>
      </c>
      <c r="B683">
        <v>3844</v>
      </c>
      <c r="C683" t="s">
        <v>1078</v>
      </c>
      <c r="D683" t="s">
        <v>892</v>
      </c>
      <c r="E683" t="s">
        <v>1203</v>
      </c>
      <c r="F683" s="1">
        <v>45543</v>
      </c>
      <c r="G683" s="34" t="str">
        <f t="shared" si="10"/>
        <v>Sep</v>
      </c>
      <c r="H683">
        <v>3</v>
      </c>
      <c r="I683" t="s">
        <v>1242</v>
      </c>
      <c r="J683" t="s">
        <v>1218</v>
      </c>
      <c r="K683">
        <v>0.3</v>
      </c>
      <c r="L683">
        <v>425.1</v>
      </c>
      <c r="M683">
        <v>1417</v>
      </c>
      <c r="N683">
        <v>991.9</v>
      </c>
      <c r="O683" t="s">
        <v>13</v>
      </c>
    </row>
    <row r="684" spans="1:15" x14ac:dyDescent="0.25">
      <c r="A684">
        <v>2075</v>
      </c>
      <c r="B684">
        <v>3843</v>
      </c>
      <c r="C684" t="s">
        <v>627</v>
      </c>
      <c r="D684" t="s">
        <v>1077</v>
      </c>
      <c r="E684" t="s">
        <v>1203</v>
      </c>
      <c r="F684" s="1">
        <v>45544</v>
      </c>
      <c r="G684" s="34" t="str">
        <f t="shared" si="10"/>
        <v>Sep</v>
      </c>
      <c r="H684">
        <v>2</v>
      </c>
      <c r="I684" t="s">
        <v>18</v>
      </c>
      <c r="J684" t="s">
        <v>1233</v>
      </c>
      <c r="K684">
        <v>0.3</v>
      </c>
      <c r="L684">
        <v>64.2</v>
      </c>
      <c r="M684">
        <v>214</v>
      </c>
      <c r="N684">
        <v>149.80000000000001</v>
      </c>
      <c r="O684" t="s">
        <v>16</v>
      </c>
    </row>
    <row r="685" spans="1:15" x14ac:dyDescent="0.25">
      <c r="A685">
        <v>1429</v>
      </c>
      <c r="B685">
        <v>3196</v>
      </c>
      <c r="C685" t="s">
        <v>66</v>
      </c>
      <c r="D685" t="s">
        <v>367</v>
      </c>
      <c r="E685" t="s">
        <v>1249</v>
      </c>
      <c r="F685" s="1">
        <v>45545</v>
      </c>
      <c r="G685" s="34" t="str">
        <f t="shared" si="10"/>
        <v>Sep</v>
      </c>
      <c r="H685">
        <v>2</v>
      </c>
      <c r="I685" t="s">
        <v>14</v>
      </c>
      <c r="J685" t="s">
        <v>1224</v>
      </c>
      <c r="K685">
        <v>0.25</v>
      </c>
      <c r="L685">
        <v>412</v>
      </c>
      <c r="M685">
        <v>1648</v>
      </c>
      <c r="N685">
        <v>1236</v>
      </c>
      <c r="O685" t="s">
        <v>13</v>
      </c>
    </row>
    <row r="686" spans="1:15" x14ac:dyDescent="0.25">
      <c r="A686">
        <v>1811</v>
      </c>
      <c r="B686">
        <v>3579</v>
      </c>
      <c r="C686" t="s">
        <v>837</v>
      </c>
      <c r="D686" t="s">
        <v>98</v>
      </c>
      <c r="E686" t="s">
        <v>1205</v>
      </c>
      <c r="F686" s="1">
        <v>45545</v>
      </c>
      <c r="G686" s="34" t="str">
        <f t="shared" si="10"/>
        <v>Sep</v>
      </c>
      <c r="H686">
        <v>3</v>
      </c>
      <c r="I686" t="s">
        <v>1242</v>
      </c>
      <c r="J686" t="s">
        <v>1222</v>
      </c>
      <c r="K686">
        <v>0.1</v>
      </c>
      <c r="L686">
        <v>172.6</v>
      </c>
      <c r="M686">
        <v>1726</v>
      </c>
      <c r="N686">
        <v>1553.4</v>
      </c>
      <c r="O686" t="s">
        <v>15</v>
      </c>
    </row>
    <row r="687" spans="1:15" x14ac:dyDescent="0.25">
      <c r="A687">
        <v>1931</v>
      </c>
      <c r="B687">
        <v>3699</v>
      </c>
      <c r="C687" t="s">
        <v>519</v>
      </c>
      <c r="D687" t="s">
        <v>963</v>
      </c>
      <c r="E687" t="s">
        <v>1208</v>
      </c>
      <c r="F687" s="1">
        <v>45545</v>
      </c>
      <c r="G687" s="34" t="str">
        <f t="shared" si="10"/>
        <v>Sep</v>
      </c>
      <c r="H687">
        <v>1</v>
      </c>
      <c r="I687" t="s">
        <v>1242</v>
      </c>
      <c r="J687" t="s">
        <v>1220</v>
      </c>
      <c r="K687">
        <v>0.3</v>
      </c>
      <c r="L687">
        <v>490.8</v>
      </c>
      <c r="M687">
        <v>1636</v>
      </c>
      <c r="N687">
        <v>1145.2</v>
      </c>
      <c r="O687" t="s">
        <v>13</v>
      </c>
    </row>
    <row r="688" spans="1:15" x14ac:dyDescent="0.25">
      <c r="A688">
        <v>1369</v>
      </c>
      <c r="B688">
        <v>3136</v>
      </c>
      <c r="C688" t="s">
        <v>272</v>
      </c>
      <c r="D688" t="s">
        <v>126</v>
      </c>
      <c r="E688" t="s">
        <v>1249</v>
      </c>
      <c r="F688" s="1">
        <v>45546</v>
      </c>
      <c r="G688" s="34" t="str">
        <f t="shared" si="10"/>
        <v>Sep</v>
      </c>
      <c r="H688">
        <v>2</v>
      </c>
      <c r="I688" t="s">
        <v>1242</v>
      </c>
      <c r="J688" t="s">
        <v>1222</v>
      </c>
      <c r="K688">
        <v>0.25</v>
      </c>
      <c r="L688">
        <v>248.5</v>
      </c>
      <c r="M688">
        <v>994</v>
      </c>
      <c r="N688">
        <v>745.5</v>
      </c>
      <c r="O688" t="s">
        <v>16</v>
      </c>
    </row>
    <row r="689" spans="1:15" x14ac:dyDescent="0.25">
      <c r="A689">
        <v>1802</v>
      </c>
      <c r="B689">
        <v>3570</v>
      </c>
      <c r="C689" t="s">
        <v>583</v>
      </c>
      <c r="D689" t="s">
        <v>423</v>
      </c>
      <c r="E689" t="s">
        <v>1207</v>
      </c>
      <c r="F689" s="1">
        <v>45546</v>
      </c>
      <c r="G689" s="34" t="str">
        <f t="shared" si="10"/>
        <v>Sep</v>
      </c>
      <c r="H689">
        <v>2</v>
      </c>
      <c r="I689" t="s">
        <v>14</v>
      </c>
      <c r="J689" t="s">
        <v>1233</v>
      </c>
      <c r="K689">
        <v>0.2</v>
      </c>
      <c r="L689">
        <v>98</v>
      </c>
      <c r="M689">
        <v>490</v>
      </c>
      <c r="N689">
        <v>392</v>
      </c>
      <c r="O689" t="s">
        <v>16</v>
      </c>
    </row>
    <row r="690" spans="1:15" x14ac:dyDescent="0.25">
      <c r="A690">
        <v>2030</v>
      </c>
      <c r="B690">
        <v>3798</v>
      </c>
      <c r="C690" t="s">
        <v>679</v>
      </c>
      <c r="D690" t="s">
        <v>696</v>
      </c>
      <c r="E690" t="s">
        <v>1249</v>
      </c>
      <c r="F690" s="1">
        <v>45546</v>
      </c>
      <c r="G690" s="34" t="str">
        <f t="shared" si="10"/>
        <v>Sep</v>
      </c>
      <c r="H690">
        <v>1</v>
      </c>
      <c r="I690" t="s">
        <v>1242</v>
      </c>
      <c r="J690" t="s">
        <v>1220</v>
      </c>
      <c r="K690">
        <v>0.25</v>
      </c>
      <c r="L690">
        <v>300.75</v>
      </c>
      <c r="M690">
        <v>1203</v>
      </c>
      <c r="N690">
        <v>902.25</v>
      </c>
      <c r="O690" t="s">
        <v>1200</v>
      </c>
    </row>
    <row r="691" spans="1:15" x14ac:dyDescent="0.25">
      <c r="A691">
        <v>2070</v>
      </c>
      <c r="B691">
        <v>3838</v>
      </c>
      <c r="C691" t="s">
        <v>1074</v>
      </c>
      <c r="D691" t="s">
        <v>47</v>
      </c>
      <c r="E691" t="s">
        <v>1208</v>
      </c>
      <c r="F691" s="1">
        <v>45546</v>
      </c>
      <c r="G691" s="34" t="str">
        <f t="shared" si="10"/>
        <v>Sep</v>
      </c>
      <c r="H691">
        <v>3</v>
      </c>
      <c r="I691" t="s">
        <v>1242</v>
      </c>
      <c r="J691" t="s">
        <v>1214</v>
      </c>
      <c r="K691">
        <v>0.3</v>
      </c>
      <c r="L691">
        <v>292.8</v>
      </c>
      <c r="M691">
        <v>976</v>
      </c>
      <c r="N691">
        <v>683.2</v>
      </c>
      <c r="O691" t="s">
        <v>15</v>
      </c>
    </row>
    <row r="692" spans="1:15" x14ac:dyDescent="0.25">
      <c r="A692">
        <v>1961</v>
      </c>
      <c r="B692">
        <v>3729</v>
      </c>
      <c r="C692" t="s">
        <v>986</v>
      </c>
      <c r="D692" t="s">
        <v>621</v>
      </c>
      <c r="E692" t="s">
        <v>1205</v>
      </c>
      <c r="F692" s="1">
        <v>45547</v>
      </c>
      <c r="G692" s="34" t="str">
        <f t="shared" si="10"/>
        <v>Sep</v>
      </c>
      <c r="H692">
        <v>3</v>
      </c>
      <c r="I692" t="s">
        <v>1242</v>
      </c>
      <c r="J692" t="s">
        <v>1220</v>
      </c>
      <c r="K692">
        <v>0.1</v>
      </c>
      <c r="L692">
        <v>123.3</v>
      </c>
      <c r="M692">
        <v>1233</v>
      </c>
      <c r="N692">
        <v>1109.7</v>
      </c>
      <c r="O692" t="s">
        <v>19</v>
      </c>
    </row>
    <row r="693" spans="1:15" x14ac:dyDescent="0.25">
      <c r="A693">
        <v>1735</v>
      </c>
      <c r="B693">
        <v>3503</v>
      </c>
      <c r="C693" t="s">
        <v>252</v>
      </c>
      <c r="D693" t="s">
        <v>369</v>
      </c>
      <c r="E693" t="s">
        <v>1248</v>
      </c>
      <c r="F693" s="1">
        <v>45548</v>
      </c>
      <c r="G693" s="34" t="str">
        <f t="shared" si="10"/>
        <v>Sep</v>
      </c>
      <c r="H693">
        <v>3</v>
      </c>
      <c r="I693" t="s">
        <v>1242</v>
      </c>
      <c r="J693" t="s">
        <v>1218</v>
      </c>
      <c r="K693">
        <v>0.25</v>
      </c>
      <c r="L693">
        <v>340.25</v>
      </c>
      <c r="M693">
        <v>1361</v>
      </c>
      <c r="N693">
        <v>1020.75</v>
      </c>
      <c r="O693" t="s">
        <v>15</v>
      </c>
    </row>
    <row r="694" spans="1:15" x14ac:dyDescent="0.25">
      <c r="A694">
        <v>2019</v>
      </c>
      <c r="B694">
        <v>3787</v>
      </c>
      <c r="C694" t="s">
        <v>545</v>
      </c>
      <c r="D694" t="s">
        <v>861</v>
      </c>
      <c r="E694" t="s">
        <v>1249</v>
      </c>
      <c r="F694" s="1">
        <v>45548</v>
      </c>
      <c r="G694" s="34" t="str">
        <f t="shared" si="10"/>
        <v>Sep</v>
      </c>
      <c r="H694">
        <v>1</v>
      </c>
      <c r="I694" t="s">
        <v>14</v>
      </c>
      <c r="J694" t="s">
        <v>1218</v>
      </c>
      <c r="K694">
        <v>0.25</v>
      </c>
      <c r="L694">
        <v>205.75</v>
      </c>
      <c r="M694">
        <v>823</v>
      </c>
      <c r="N694">
        <v>617.25</v>
      </c>
      <c r="O694" t="s">
        <v>19</v>
      </c>
    </row>
    <row r="695" spans="1:15" x14ac:dyDescent="0.25">
      <c r="A695">
        <v>1722</v>
      </c>
      <c r="B695">
        <v>3490</v>
      </c>
      <c r="C695" t="s">
        <v>746</v>
      </c>
      <c r="D695" t="s">
        <v>51</v>
      </c>
      <c r="E695" t="s">
        <v>1249</v>
      </c>
      <c r="F695" s="1">
        <v>45549</v>
      </c>
      <c r="G695" s="34" t="str">
        <f t="shared" si="10"/>
        <v>Sep</v>
      </c>
      <c r="H695">
        <v>2</v>
      </c>
      <c r="I695" t="s">
        <v>1242</v>
      </c>
      <c r="J695" t="s">
        <v>1233</v>
      </c>
      <c r="K695">
        <v>0.25</v>
      </c>
      <c r="L695">
        <v>366.5</v>
      </c>
      <c r="M695">
        <v>1466</v>
      </c>
      <c r="N695">
        <v>1099.5</v>
      </c>
      <c r="O695" t="s">
        <v>1200</v>
      </c>
    </row>
    <row r="696" spans="1:15" x14ac:dyDescent="0.25">
      <c r="A696">
        <v>1798</v>
      </c>
      <c r="B696">
        <v>3566</v>
      </c>
      <c r="C696" t="s">
        <v>117</v>
      </c>
      <c r="D696" t="s">
        <v>827</v>
      </c>
      <c r="E696" t="s">
        <v>1208</v>
      </c>
      <c r="F696" s="1">
        <v>45549</v>
      </c>
      <c r="G696" s="34" t="str">
        <f t="shared" si="10"/>
        <v>Sep</v>
      </c>
      <c r="H696">
        <v>3</v>
      </c>
      <c r="I696" t="s">
        <v>14</v>
      </c>
      <c r="J696" t="s">
        <v>1214</v>
      </c>
      <c r="K696">
        <v>0.3</v>
      </c>
      <c r="L696">
        <v>558.6</v>
      </c>
      <c r="M696">
        <v>1862</v>
      </c>
      <c r="N696">
        <v>1303.4000000000001</v>
      </c>
      <c r="O696" t="s">
        <v>13</v>
      </c>
    </row>
    <row r="697" spans="1:15" x14ac:dyDescent="0.25">
      <c r="A697">
        <v>1275</v>
      </c>
      <c r="B697">
        <v>3042</v>
      </c>
      <c r="C697" t="s">
        <v>107</v>
      </c>
      <c r="D697" t="s">
        <v>108</v>
      </c>
      <c r="E697" t="s">
        <v>1248</v>
      </c>
      <c r="F697" s="1">
        <v>45550</v>
      </c>
      <c r="G697" s="34" t="str">
        <f t="shared" si="10"/>
        <v>Sep</v>
      </c>
      <c r="H697">
        <v>3</v>
      </c>
      <c r="I697" t="s">
        <v>1242</v>
      </c>
      <c r="J697" t="s">
        <v>1228</v>
      </c>
      <c r="K697">
        <v>0.25</v>
      </c>
      <c r="L697">
        <v>248.75</v>
      </c>
      <c r="M697">
        <v>995</v>
      </c>
      <c r="N697">
        <v>746.25</v>
      </c>
      <c r="O697" t="s">
        <v>13</v>
      </c>
    </row>
    <row r="698" spans="1:15" x14ac:dyDescent="0.25">
      <c r="A698">
        <v>1478</v>
      </c>
      <c r="B698">
        <v>3245</v>
      </c>
      <c r="C698" t="s">
        <v>445</v>
      </c>
      <c r="D698" t="s">
        <v>446</v>
      </c>
      <c r="E698" t="s">
        <v>1249</v>
      </c>
      <c r="F698" s="1">
        <v>45550</v>
      </c>
      <c r="G698" s="34" t="str">
        <f t="shared" si="10"/>
        <v>Sep</v>
      </c>
      <c r="H698">
        <v>1</v>
      </c>
      <c r="I698" t="s">
        <v>1243</v>
      </c>
      <c r="J698" t="s">
        <v>1214</v>
      </c>
      <c r="K698">
        <v>0.25</v>
      </c>
      <c r="L698">
        <v>368.5</v>
      </c>
      <c r="M698">
        <v>1474</v>
      </c>
      <c r="N698">
        <v>1105.5</v>
      </c>
      <c r="O698" t="s">
        <v>16</v>
      </c>
    </row>
    <row r="699" spans="1:15" x14ac:dyDescent="0.25">
      <c r="A699">
        <v>1507</v>
      </c>
      <c r="B699">
        <v>3274</v>
      </c>
      <c r="C699" t="s">
        <v>486</v>
      </c>
      <c r="D699" t="s">
        <v>239</v>
      </c>
      <c r="E699" t="s">
        <v>1249</v>
      </c>
      <c r="F699" s="1">
        <v>45550</v>
      </c>
      <c r="G699" s="34" t="str">
        <f t="shared" si="10"/>
        <v>Sep</v>
      </c>
      <c r="H699">
        <v>3</v>
      </c>
      <c r="I699" t="s">
        <v>14</v>
      </c>
      <c r="J699" t="s">
        <v>1220</v>
      </c>
      <c r="K699">
        <v>0.25</v>
      </c>
      <c r="L699">
        <v>325.75</v>
      </c>
      <c r="M699">
        <v>1303</v>
      </c>
      <c r="N699">
        <v>977.25</v>
      </c>
      <c r="O699" t="s">
        <v>19</v>
      </c>
    </row>
    <row r="700" spans="1:15" x14ac:dyDescent="0.25">
      <c r="A700">
        <v>1658</v>
      </c>
      <c r="B700">
        <v>3426</v>
      </c>
      <c r="C700" t="s">
        <v>99</v>
      </c>
      <c r="D700" t="s">
        <v>39</v>
      </c>
      <c r="E700" t="s">
        <v>1208</v>
      </c>
      <c r="F700" s="1">
        <v>45550</v>
      </c>
      <c r="G700" s="34" t="str">
        <f t="shared" si="10"/>
        <v>Sep</v>
      </c>
      <c r="H700">
        <v>3</v>
      </c>
      <c r="I700" t="s">
        <v>18</v>
      </c>
      <c r="J700" t="s">
        <v>1228</v>
      </c>
      <c r="K700">
        <v>0.3</v>
      </c>
      <c r="L700">
        <v>71.099999999999994</v>
      </c>
      <c r="M700">
        <v>237</v>
      </c>
      <c r="N700">
        <v>165.9</v>
      </c>
      <c r="O700" t="s">
        <v>15</v>
      </c>
    </row>
    <row r="701" spans="1:15" x14ac:dyDescent="0.25">
      <c r="A701">
        <v>1668</v>
      </c>
      <c r="B701">
        <v>3436</v>
      </c>
      <c r="C701" t="s">
        <v>683</v>
      </c>
      <c r="D701" t="s">
        <v>464</v>
      </c>
      <c r="E701" t="s">
        <v>1207</v>
      </c>
      <c r="F701" s="1">
        <v>45550</v>
      </c>
      <c r="G701" s="34" t="str">
        <f t="shared" si="10"/>
        <v>Sep</v>
      </c>
      <c r="H701">
        <v>3</v>
      </c>
      <c r="I701" t="s">
        <v>1242</v>
      </c>
      <c r="J701" t="s">
        <v>1214</v>
      </c>
      <c r="K701">
        <v>0.2</v>
      </c>
      <c r="L701">
        <v>293</v>
      </c>
      <c r="M701">
        <v>1465</v>
      </c>
      <c r="N701">
        <v>1172</v>
      </c>
      <c r="O701" t="s">
        <v>19</v>
      </c>
    </row>
    <row r="702" spans="1:15" x14ac:dyDescent="0.25">
      <c r="A702">
        <v>1740</v>
      </c>
      <c r="B702">
        <v>3508</v>
      </c>
      <c r="C702" t="s">
        <v>741</v>
      </c>
      <c r="D702" t="s">
        <v>767</v>
      </c>
      <c r="E702" t="s">
        <v>1248</v>
      </c>
      <c r="F702" s="1">
        <v>45551</v>
      </c>
      <c r="G702" s="34" t="str">
        <f t="shared" si="10"/>
        <v>Sep</v>
      </c>
      <c r="H702">
        <v>2</v>
      </c>
      <c r="I702" t="s">
        <v>1243</v>
      </c>
      <c r="J702" t="s">
        <v>1214</v>
      </c>
      <c r="K702">
        <v>0.25</v>
      </c>
      <c r="L702">
        <v>128.75</v>
      </c>
      <c r="M702">
        <v>515</v>
      </c>
      <c r="N702">
        <v>386.25</v>
      </c>
      <c r="O702" t="s">
        <v>15</v>
      </c>
    </row>
    <row r="703" spans="1:15" x14ac:dyDescent="0.25">
      <c r="A703">
        <v>1846</v>
      </c>
      <c r="B703">
        <v>3614</v>
      </c>
      <c r="C703" t="s">
        <v>279</v>
      </c>
      <c r="D703" t="s">
        <v>223</v>
      </c>
      <c r="E703" t="s">
        <v>1249</v>
      </c>
      <c r="F703" s="1">
        <v>45551</v>
      </c>
      <c r="G703" s="34" t="str">
        <f t="shared" si="10"/>
        <v>Sep</v>
      </c>
      <c r="H703">
        <v>3</v>
      </c>
      <c r="I703" t="s">
        <v>14</v>
      </c>
      <c r="J703" t="s">
        <v>1216</v>
      </c>
      <c r="K703">
        <v>0.25</v>
      </c>
      <c r="L703">
        <v>408</v>
      </c>
      <c r="M703">
        <v>1632</v>
      </c>
      <c r="N703">
        <v>1224</v>
      </c>
      <c r="O703" t="s">
        <v>13</v>
      </c>
    </row>
    <row r="704" spans="1:15" x14ac:dyDescent="0.25">
      <c r="A704">
        <v>1872</v>
      </c>
      <c r="B704">
        <v>3640</v>
      </c>
      <c r="C704" t="s">
        <v>903</v>
      </c>
      <c r="D704" t="s">
        <v>904</v>
      </c>
      <c r="E704" t="s">
        <v>1248</v>
      </c>
      <c r="F704" s="1">
        <v>45551</v>
      </c>
      <c r="G704" s="34" t="str">
        <f t="shared" si="10"/>
        <v>Sep</v>
      </c>
      <c r="H704">
        <v>2</v>
      </c>
      <c r="I704" t="s">
        <v>1242</v>
      </c>
      <c r="J704" t="s">
        <v>1220</v>
      </c>
      <c r="K704">
        <v>0.25</v>
      </c>
      <c r="L704">
        <v>258.5</v>
      </c>
      <c r="M704">
        <v>1034</v>
      </c>
      <c r="N704">
        <v>775.5</v>
      </c>
      <c r="O704" t="s">
        <v>16</v>
      </c>
    </row>
    <row r="705" spans="1:15" x14ac:dyDescent="0.25">
      <c r="A705">
        <v>2162</v>
      </c>
      <c r="B705">
        <v>3931</v>
      </c>
      <c r="C705" t="s">
        <v>1155</v>
      </c>
      <c r="D705" t="s">
        <v>721</v>
      </c>
      <c r="E705" t="s">
        <v>1207</v>
      </c>
      <c r="F705" s="1">
        <v>45551</v>
      </c>
      <c r="G705" s="34" t="str">
        <f t="shared" si="10"/>
        <v>Sep</v>
      </c>
      <c r="H705">
        <v>2</v>
      </c>
      <c r="I705" t="s">
        <v>1242</v>
      </c>
      <c r="J705" t="s">
        <v>1222</v>
      </c>
      <c r="K705">
        <v>0.2</v>
      </c>
      <c r="L705">
        <v>151.80000000000001</v>
      </c>
      <c r="M705">
        <v>759</v>
      </c>
      <c r="N705">
        <v>607.20000000000005</v>
      </c>
      <c r="O705" t="s">
        <v>1200</v>
      </c>
    </row>
    <row r="706" spans="1:15" x14ac:dyDescent="0.25">
      <c r="A706">
        <v>2218</v>
      </c>
      <c r="B706">
        <v>3987</v>
      </c>
      <c r="C706" t="s">
        <v>772</v>
      </c>
      <c r="D706" t="s">
        <v>655</v>
      </c>
      <c r="E706" t="s">
        <v>1249</v>
      </c>
      <c r="F706" s="1">
        <v>45551</v>
      </c>
      <c r="G706" s="34" t="str">
        <f t="shared" ref="G706:G769" si="11">TEXT(F706, "MMM")</f>
        <v>Sep</v>
      </c>
      <c r="H706">
        <v>3</v>
      </c>
      <c r="I706" t="s">
        <v>14</v>
      </c>
      <c r="J706" t="s">
        <v>1216</v>
      </c>
      <c r="K706">
        <v>0.25</v>
      </c>
      <c r="L706">
        <v>217.75</v>
      </c>
      <c r="M706">
        <v>871</v>
      </c>
      <c r="N706">
        <v>653.25</v>
      </c>
      <c r="O706" t="s">
        <v>19</v>
      </c>
    </row>
    <row r="707" spans="1:15" x14ac:dyDescent="0.25">
      <c r="A707">
        <v>1398</v>
      </c>
      <c r="B707">
        <v>3165</v>
      </c>
      <c r="C707" t="s">
        <v>317</v>
      </c>
      <c r="D707" t="s">
        <v>223</v>
      </c>
      <c r="E707" t="s">
        <v>1203</v>
      </c>
      <c r="F707" s="1">
        <v>45552</v>
      </c>
      <c r="G707" s="34" t="str">
        <f t="shared" si="11"/>
        <v>Sep</v>
      </c>
      <c r="H707">
        <v>3</v>
      </c>
      <c r="I707" t="s">
        <v>1242</v>
      </c>
      <c r="J707" t="s">
        <v>1222</v>
      </c>
      <c r="K707">
        <v>0.3</v>
      </c>
      <c r="L707">
        <v>498.9</v>
      </c>
      <c r="M707">
        <v>1663</v>
      </c>
      <c r="N707">
        <v>1164.0999999999999</v>
      </c>
      <c r="O707" t="s">
        <v>15</v>
      </c>
    </row>
    <row r="708" spans="1:15" x14ac:dyDescent="0.25">
      <c r="A708">
        <v>1588</v>
      </c>
      <c r="B708">
        <v>3355</v>
      </c>
      <c r="C708" t="s">
        <v>587</v>
      </c>
      <c r="D708" t="s">
        <v>588</v>
      </c>
      <c r="E708" t="s">
        <v>1203</v>
      </c>
      <c r="F708" s="1">
        <v>45552</v>
      </c>
      <c r="G708" s="34" t="str">
        <f t="shared" si="11"/>
        <v>Sep</v>
      </c>
      <c r="H708">
        <v>2</v>
      </c>
      <c r="I708" t="s">
        <v>14</v>
      </c>
      <c r="J708" t="s">
        <v>1216</v>
      </c>
      <c r="K708">
        <v>0.3</v>
      </c>
      <c r="L708">
        <v>98.7</v>
      </c>
      <c r="M708">
        <v>329</v>
      </c>
      <c r="N708">
        <v>230.3</v>
      </c>
      <c r="O708" t="s">
        <v>19</v>
      </c>
    </row>
    <row r="709" spans="1:15" x14ac:dyDescent="0.25">
      <c r="A709">
        <v>1801</v>
      </c>
      <c r="B709">
        <v>3569</v>
      </c>
      <c r="C709" t="s">
        <v>828</v>
      </c>
      <c r="D709" t="s">
        <v>472</v>
      </c>
      <c r="E709" t="s">
        <v>1248</v>
      </c>
      <c r="F709" s="1">
        <v>45552</v>
      </c>
      <c r="G709" s="34" t="str">
        <f t="shared" si="11"/>
        <v>Sep</v>
      </c>
      <c r="H709">
        <v>1</v>
      </c>
      <c r="I709" t="s">
        <v>14</v>
      </c>
      <c r="J709" t="s">
        <v>1220</v>
      </c>
      <c r="K709">
        <v>0.25</v>
      </c>
      <c r="L709">
        <v>396.5</v>
      </c>
      <c r="M709">
        <v>1586</v>
      </c>
      <c r="N709">
        <v>1189.5</v>
      </c>
      <c r="O709" t="s">
        <v>16</v>
      </c>
    </row>
    <row r="710" spans="1:15" x14ac:dyDescent="0.25">
      <c r="A710">
        <v>2002</v>
      </c>
      <c r="B710">
        <v>3770</v>
      </c>
      <c r="C710" t="s">
        <v>368</v>
      </c>
      <c r="D710" t="s">
        <v>749</v>
      </c>
      <c r="E710" t="s">
        <v>1249</v>
      </c>
      <c r="F710" s="1">
        <v>45552</v>
      </c>
      <c r="G710" s="34" t="str">
        <f t="shared" si="11"/>
        <v>Sep</v>
      </c>
      <c r="H710">
        <v>2</v>
      </c>
      <c r="I710" t="s">
        <v>1242</v>
      </c>
      <c r="J710" t="s">
        <v>1220</v>
      </c>
      <c r="K710">
        <v>0.25</v>
      </c>
      <c r="L710">
        <v>14</v>
      </c>
      <c r="M710">
        <v>56</v>
      </c>
      <c r="N710">
        <v>42</v>
      </c>
      <c r="O710" t="s">
        <v>1200</v>
      </c>
    </row>
    <row r="711" spans="1:15" x14ac:dyDescent="0.25">
      <c r="A711">
        <v>1444</v>
      </c>
      <c r="B711">
        <v>3211</v>
      </c>
      <c r="C711" t="s">
        <v>391</v>
      </c>
      <c r="D711" t="s">
        <v>183</v>
      </c>
      <c r="E711" t="s">
        <v>1248</v>
      </c>
      <c r="F711" s="1">
        <v>45553</v>
      </c>
      <c r="G711" s="34" t="str">
        <f t="shared" si="11"/>
        <v>Sep</v>
      </c>
      <c r="H711">
        <v>2</v>
      </c>
      <c r="I711" t="s">
        <v>14</v>
      </c>
      <c r="J711" t="s">
        <v>1214</v>
      </c>
      <c r="K711">
        <v>0.25</v>
      </c>
      <c r="L711">
        <v>79.75</v>
      </c>
      <c r="M711">
        <v>319</v>
      </c>
      <c r="N711">
        <v>239.25</v>
      </c>
      <c r="O711" t="s">
        <v>16</v>
      </c>
    </row>
    <row r="712" spans="1:15" x14ac:dyDescent="0.25">
      <c r="A712">
        <v>1451</v>
      </c>
      <c r="B712">
        <v>3218</v>
      </c>
      <c r="C712" t="s">
        <v>307</v>
      </c>
      <c r="D712" t="s">
        <v>403</v>
      </c>
      <c r="E712" t="s">
        <v>1249</v>
      </c>
      <c r="F712" s="1">
        <v>45554</v>
      </c>
      <c r="G712" s="34" t="str">
        <f t="shared" si="11"/>
        <v>Sep</v>
      </c>
      <c r="H712">
        <v>2</v>
      </c>
      <c r="I712" t="s">
        <v>1242</v>
      </c>
      <c r="J712" t="s">
        <v>1224</v>
      </c>
      <c r="K712">
        <v>0.25</v>
      </c>
      <c r="L712">
        <v>404.5</v>
      </c>
      <c r="M712">
        <v>1618</v>
      </c>
      <c r="N712">
        <v>1213.5</v>
      </c>
      <c r="O712" t="s">
        <v>19</v>
      </c>
    </row>
    <row r="713" spans="1:15" x14ac:dyDescent="0.25">
      <c r="A713">
        <v>1464</v>
      </c>
      <c r="B713">
        <v>3231</v>
      </c>
      <c r="C713" t="s">
        <v>291</v>
      </c>
      <c r="D713" t="s">
        <v>424</v>
      </c>
      <c r="E713" t="s">
        <v>1248</v>
      </c>
      <c r="F713" s="1">
        <v>45554</v>
      </c>
      <c r="G713" s="34" t="str">
        <f t="shared" si="11"/>
        <v>Sep</v>
      </c>
      <c r="H713">
        <v>3</v>
      </c>
      <c r="I713" t="s">
        <v>1242</v>
      </c>
      <c r="J713" t="s">
        <v>1216</v>
      </c>
      <c r="K713">
        <v>0.25</v>
      </c>
      <c r="L713">
        <v>56.75</v>
      </c>
      <c r="M713">
        <v>227</v>
      </c>
      <c r="N713">
        <v>170.25</v>
      </c>
      <c r="O713" t="s">
        <v>1200</v>
      </c>
    </row>
    <row r="714" spans="1:15" x14ac:dyDescent="0.25">
      <c r="A714">
        <v>1488</v>
      </c>
      <c r="B714">
        <v>3255</v>
      </c>
      <c r="C714" t="s">
        <v>459</v>
      </c>
      <c r="D714" t="s">
        <v>460</v>
      </c>
      <c r="E714" t="s">
        <v>1205</v>
      </c>
      <c r="F714" s="1">
        <v>45554</v>
      </c>
      <c r="G714" s="34" t="str">
        <f t="shared" si="11"/>
        <v>Sep</v>
      </c>
      <c r="H714">
        <v>2</v>
      </c>
      <c r="I714" t="s">
        <v>1242</v>
      </c>
      <c r="J714" t="s">
        <v>1220</v>
      </c>
      <c r="K714">
        <v>0.1</v>
      </c>
      <c r="L714">
        <v>9.6999999999999993</v>
      </c>
      <c r="M714">
        <v>97</v>
      </c>
      <c r="N714">
        <v>87.3</v>
      </c>
      <c r="O714" t="s">
        <v>15</v>
      </c>
    </row>
    <row r="715" spans="1:15" x14ac:dyDescent="0.25">
      <c r="A715">
        <v>1786</v>
      </c>
      <c r="B715">
        <v>3554</v>
      </c>
      <c r="C715" t="s">
        <v>810</v>
      </c>
      <c r="D715" t="s">
        <v>811</v>
      </c>
      <c r="E715" t="s">
        <v>1208</v>
      </c>
      <c r="F715" s="1">
        <v>45554</v>
      </c>
      <c r="G715" s="34" t="str">
        <f t="shared" si="11"/>
        <v>Sep</v>
      </c>
      <c r="H715">
        <v>2</v>
      </c>
      <c r="I715" t="s">
        <v>1242</v>
      </c>
      <c r="J715" t="s">
        <v>1228</v>
      </c>
      <c r="K715">
        <v>0.3</v>
      </c>
      <c r="L715">
        <v>440.7</v>
      </c>
      <c r="M715">
        <v>1469</v>
      </c>
      <c r="N715">
        <v>1028.3</v>
      </c>
      <c r="O715" t="s">
        <v>1200</v>
      </c>
    </row>
    <row r="716" spans="1:15" x14ac:dyDescent="0.25">
      <c r="A716">
        <v>1272</v>
      </c>
      <c r="B716">
        <v>3039</v>
      </c>
      <c r="C716" t="s">
        <v>101</v>
      </c>
      <c r="D716" t="s">
        <v>102</v>
      </c>
      <c r="E716" t="s">
        <v>1205</v>
      </c>
      <c r="F716" s="1">
        <v>45555</v>
      </c>
      <c r="G716" s="34" t="str">
        <f t="shared" si="11"/>
        <v>Sep</v>
      </c>
      <c r="H716">
        <v>2</v>
      </c>
      <c r="I716" t="s">
        <v>1242</v>
      </c>
      <c r="J716" t="s">
        <v>1220</v>
      </c>
      <c r="K716">
        <v>0.1</v>
      </c>
      <c r="L716">
        <v>63.8</v>
      </c>
      <c r="M716">
        <v>638</v>
      </c>
      <c r="N716">
        <v>574.20000000000005</v>
      </c>
      <c r="O716" t="s">
        <v>16</v>
      </c>
    </row>
    <row r="717" spans="1:15" x14ac:dyDescent="0.25">
      <c r="A717">
        <v>1294</v>
      </c>
      <c r="B717">
        <v>3061</v>
      </c>
      <c r="C717" t="s">
        <v>142</v>
      </c>
      <c r="D717" t="s">
        <v>34</v>
      </c>
      <c r="E717" t="s">
        <v>1249</v>
      </c>
      <c r="F717" s="1">
        <v>45556</v>
      </c>
      <c r="G717" s="34" t="str">
        <f t="shared" si="11"/>
        <v>Sep</v>
      </c>
      <c r="H717">
        <v>2</v>
      </c>
      <c r="I717" t="s">
        <v>1242</v>
      </c>
      <c r="J717" t="s">
        <v>1214</v>
      </c>
      <c r="K717">
        <v>0.25</v>
      </c>
      <c r="L717">
        <v>281</v>
      </c>
      <c r="M717">
        <v>1124</v>
      </c>
      <c r="N717">
        <v>843</v>
      </c>
      <c r="O717" t="s">
        <v>15</v>
      </c>
    </row>
    <row r="718" spans="1:15" x14ac:dyDescent="0.25">
      <c r="A718">
        <v>1526</v>
      </c>
      <c r="B718">
        <v>3293</v>
      </c>
      <c r="C718" t="s">
        <v>128</v>
      </c>
      <c r="D718" t="s">
        <v>198</v>
      </c>
      <c r="E718" t="s">
        <v>1207</v>
      </c>
      <c r="F718" s="1">
        <v>45556</v>
      </c>
      <c r="G718" s="34" t="str">
        <f t="shared" si="11"/>
        <v>Sep</v>
      </c>
      <c r="H718">
        <v>2</v>
      </c>
      <c r="I718" t="s">
        <v>14</v>
      </c>
      <c r="J718" t="s">
        <v>1216</v>
      </c>
      <c r="K718">
        <v>0.2</v>
      </c>
      <c r="L718">
        <v>92.6</v>
      </c>
      <c r="M718">
        <v>463</v>
      </c>
      <c r="N718">
        <v>370.4</v>
      </c>
      <c r="O718" t="s">
        <v>15</v>
      </c>
    </row>
    <row r="719" spans="1:15" x14ac:dyDescent="0.25">
      <c r="A719">
        <v>1824</v>
      </c>
      <c r="B719">
        <v>3592</v>
      </c>
      <c r="C719" t="s">
        <v>850</v>
      </c>
      <c r="D719" t="s">
        <v>630</v>
      </c>
      <c r="E719" t="s">
        <v>1249</v>
      </c>
      <c r="F719" s="1">
        <v>45556</v>
      </c>
      <c r="G719" s="34" t="str">
        <f t="shared" si="11"/>
        <v>Sep</v>
      </c>
      <c r="H719">
        <v>1</v>
      </c>
      <c r="I719" t="s">
        <v>14</v>
      </c>
      <c r="J719" t="s">
        <v>1214</v>
      </c>
      <c r="K719">
        <v>0.25</v>
      </c>
      <c r="L719">
        <v>228.75</v>
      </c>
      <c r="M719">
        <v>915</v>
      </c>
      <c r="N719">
        <v>686.25</v>
      </c>
      <c r="O719" t="s">
        <v>15</v>
      </c>
    </row>
    <row r="720" spans="1:15" x14ac:dyDescent="0.25">
      <c r="A720">
        <v>1870</v>
      </c>
      <c r="B720">
        <v>3638</v>
      </c>
      <c r="C720" t="s">
        <v>900</v>
      </c>
      <c r="D720" t="s">
        <v>901</v>
      </c>
      <c r="E720" t="s">
        <v>1248</v>
      </c>
      <c r="F720" s="1">
        <v>45556</v>
      </c>
      <c r="G720" s="34" t="str">
        <f t="shared" si="11"/>
        <v>Sep</v>
      </c>
      <c r="H720">
        <v>1</v>
      </c>
      <c r="I720" t="s">
        <v>14</v>
      </c>
      <c r="J720" t="s">
        <v>1214</v>
      </c>
      <c r="K720">
        <v>0.25</v>
      </c>
      <c r="L720">
        <v>384.75</v>
      </c>
      <c r="M720">
        <v>1539</v>
      </c>
      <c r="N720">
        <v>1154.25</v>
      </c>
      <c r="O720" t="s">
        <v>1200</v>
      </c>
    </row>
    <row r="721" spans="1:15" x14ac:dyDescent="0.25">
      <c r="A721">
        <v>1873</v>
      </c>
      <c r="B721">
        <v>3641</v>
      </c>
      <c r="C721" t="s">
        <v>214</v>
      </c>
      <c r="D721" t="s">
        <v>194</v>
      </c>
      <c r="E721" t="s">
        <v>1207</v>
      </c>
      <c r="F721" s="1">
        <v>45556</v>
      </c>
      <c r="G721" s="34" t="str">
        <f t="shared" si="11"/>
        <v>Sep</v>
      </c>
      <c r="H721">
        <v>1</v>
      </c>
      <c r="I721" t="s">
        <v>1243</v>
      </c>
      <c r="J721" t="s">
        <v>1220</v>
      </c>
      <c r="K721">
        <v>0.2</v>
      </c>
      <c r="L721">
        <v>211.4</v>
      </c>
      <c r="M721">
        <v>1057</v>
      </c>
      <c r="N721">
        <v>845.6</v>
      </c>
      <c r="O721" t="s">
        <v>13</v>
      </c>
    </row>
    <row r="722" spans="1:15" x14ac:dyDescent="0.25">
      <c r="A722">
        <v>2022</v>
      </c>
      <c r="B722">
        <v>3790</v>
      </c>
      <c r="C722" t="s">
        <v>1030</v>
      </c>
      <c r="D722" t="s">
        <v>209</v>
      </c>
      <c r="E722" t="s">
        <v>1208</v>
      </c>
      <c r="F722" s="1">
        <v>45556</v>
      </c>
      <c r="G722" s="34" t="str">
        <f t="shared" si="11"/>
        <v>Sep</v>
      </c>
      <c r="H722">
        <v>3</v>
      </c>
      <c r="I722" t="s">
        <v>1242</v>
      </c>
      <c r="J722" t="s">
        <v>1216</v>
      </c>
      <c r="K722">
        <v>0.3</v>
      </c>
      <c r="L722">
        <v>195.9</v>
      </c>
      <c r="M722">
        <v>653</v>
      </c>
      <c r="N722">
        <v>457.1</v>
      </c>
      <c r="O722" t="s">
        <v>1200</v>
      </c>
    </row>
    <row r="723" spans="1:15" x14ac:dyDescent="0.25">
      <c r="A723">
        <v>1726</v>
      </c>
      <c r="B723">
        <v>3494</v>
      </c>
      <c r="C723" t="s">
        <v>751</v>
      </c>
      <c r="D723" t="s">
        <v>752</v>
      </c>
      <c r="E723" t="s">
        <v>1208</v>
      </c>
      <c r="F723" s="1">
        <v>45557</v>
      </c>
      <c r="G723" s="34" t="str">
        <f t="shared" si="11"/>
        <v>Sep</v>
      </c>
      <c r="H723">
        <v>2</v>
      </c>
      <c r="I723" t="s">
        <v>18</v>
      </c>
      <c r="J723" t="s">
        <v>1233</v>
      </c>
      <c r="K723">
        <v>0.3</v>
      </c>
      <c r="L723">
        <v>119.4</v>
      </c>
      <c r="M723">
        <v>398</v>
      </c>
      <c r="N723">
        <v>278.60000000000002</v>
      </c>
      <c r="O723" t="s">
        <v>13</v>
      </c>
    </row>
    <row r="724" spans="1:15" x14ac:dyDescent="0.25">
      <c r="A724">
        <v>2011</v>
      </c>
      <c r="B724">
        <v>3779</v>
      </c>
      <c r="C724" t="s">
        <v>962</v>
      </c>
      <c r="D724" t="s">
        <v>1021</v>
      </c>
      <c r="E724" t="s">
        <v>1203</v>
      </c>
      <c r="F724" s="1">
        <v>45557</v>
      </c>
      <c r="G724" s="34" t="str">
        <f t="shared" si="11"/>
        <v>Sep</v>
      </c>
      <c r="H724">
        <v>1</v>
      </c>
      <c r="I724" t="s">
        <v>14</v>
      </c>
      <c r="J724" t="s">
        <v>1220</v>
      </c>
      <c r="K724">
        <v>0.3</v>
      </c>
      <c r="L724">
        <v>354.6</v>
      </c>
      <c r="M724">
        <v>1182</v>
      </c>
      <c r="N724">
        <v>827.4</v>
      </c>
      <c r="O724" t="s">
        <v>15</v>
      </c>
    </row>
    <row r="725" spans="1:15" x14ac:dyDescent="0.25">
      <c r="A725">
        <v>1258</v>
      </c>
      <c r="B725">
        <v>3025</v>
      </c>
      <c r="C725" t="s">
        <v>74</v>
      </c>
      <c r="D725" t="s">
        <v>75</v>
      </c>
      <c r="E725" t="s">
        <v>1205</v>
      </c>
      <c r="F725" s="1">
        <v>45558</v>
      </c>
      <c r="G725" s="34" t="str">
        <f t="shared" si="11"/>
        <v>Sep</v>
      </c>
      <c r="H725">
        <v>2</v>
      </c>
      <c r="I725" t="s">
        <v>1243</v>
      </c>
      <c r="J725" t="s">
        <v>1218</v>
      </c>
      <c r="K725">
        <v>0.1</v>
      </c>
      <c r="L725">
        <v>72.7</v>
      </c>
      <c r="M725">
        <v>727</v>
      </c>
      <c r="N725">
        <v>654.29999999999995</v>
      </c>
      <c r="O725" t="s">
        <v>13</v>
      </c>
    </row>
    <row r="726" spans="1:15" x14ac:dyDescent="0.25">
      <c r="A726">
        <v>1678</v>
      </c>
      <c r="B726">
        <v>3446</v>
      </c>
      <c r="C726" t="s">
        <v>459</v>
      </c>
      <c r="D726" t="s">
        <v>696</v>
      </c>
      <c r="E726" t="s">
        <v>1205</v>
      </c>
      <c r="F726" s="1">
        <v>45558</v>
      </c>
      <c r="G726" s="34" t="str">
        <f t="shared" si="11"/>
        <v>Sep</v>
      </c>
      <c r="H726">
        <v>3</v>
      </c>
      <c r="I726" t="s">
        <v>1242</v>
      </c>
      <c r="J726" t="s">
        <v>1224</v>
      </c>
      <c r="K726">
        <v>0.1</v>
      </c>
      <c r="L726">
        <v>172.7</v>
      </c>
      <c r="M726">
        <v>1727</v>
      </c>
      <c r="N726">
        <v>1554.3</v>
      </c>
      <c r="O726" t="s">
        <v>13</v>
      </c>
    </row>
    <row r="727" spans="1:15" x14ac:dyDescent="0.25">
      <c r="A727">
        <v>2155</v>
      </c>
      <c r="B727">
        <v>3924</v>
      </c>
      <c r="C727" t="s">
        <v>188</v>
      </c>
      <c r="D727" t="s">
        <v>1053</v>
      </c>
      <c r="E727" t="s">
        <v>1203</v>
      </c>
      <c r="F727" s="1">
        <v>45558</v>
      </c>
      <c r="G727" s="34" t="str">
        <f t="shared" si="11"/>
        <v>Sep</v>
      </c>
      <c r="H727">
        <v>2</v>
      </c>
      <c r="I727" t="s">
        <v>14</v>
      </c>
      <c r="J727" t="s">
        <v>1228</v>
      </c>
      <c r="K727">
        <v>0.3</v>
      </c>
      <c r="L727">
        <v>531</v>
      </c>
      <c r="M727">
        <v>1770</v>
      </c>
      <c r="N727">
        <v>1239</v>
      </c>
      <c r="O727" t="s">
        <v>19</v>
      </c>
    </row>
    <row r="728" spans="1:15" x14ac:dyDescent="0.25">
      <c r="A728">
        <v>1323</v>
      </c>
      <c r="B728">
        <v>3090</v>
      </c>
      <c r="C728" t="s">
        <v>193</v>
      </c>
      <c r="D728" t="s">
        <v>194</v>
      </c>
      <c r="E728" t="s">
        <v>1203</v>
      </c>
      <c r="F728" s="1">
        <v>45560</v>
      </c>
      <c r="G728" s="34" t="str">
        <f t="shared" si="11"/>
        <v>Sep</v>
      </c>
      <c r="H728">
        <v>1</v>
      </c>
      <c r="I728" t="s">
        <v>14</v>
      </c>
      <c r="J728" t="s">
        <v>1224</v>
      </c>
      <c r="K728">
        <v>0.3</v>
      </c>
      <c r="L728">
        <v>306.89999999999998</v>
      </c>
      <c r="M728">
        <v>1023</v>
      </c>
      <c r="N728">
        <v>716.1</v>
      </c>
      <c r="O728" t="s">
        <v>16</v>
      </c>
    </row>
    <row r="729" spans="1:15" x14ac:dyDescent="0.25">
      <c r="A729">
        <v>1449</v>
      </c>
      <c r="B729">
        <v>3216</v>
      </c>
      <c r="C729" t="s">
        <v>400</v>
      </c>
      <c r="D729" t="s">
        <v>401</v>
      </c>
      <c r="E729" t="s">
        <v>1249</v>
      </c>
      <c r="F729" s="1">
        <v>45560</v>
      </c>
      <c r="G729" s="34" t="str">
        <f t="shared" si="11"/>
        <v>Sep</v>
      </c>
      <c r="H729">
        <v>1</v>
      </c>
      <c r="I729" t="s">
        <v>1242</v>
      </c>
      <c r="J729" t="s">
        <v>1233</v>
      </c>
      <c r="K729">
        <v>0.25</v>
      </c>
      <c r="L729">
        <v>83.75</v>
      </c>
      <c r="M729">
        <v>335</v>
      </c>
      <c r="N729">
        <v>251.25</v>
      </c>
      <c r="O729" t="s">
        <v>15</v>
      </c>
    </row>
    <row r="730" spans="1:15" x14ac:dyDescent="0.25">
      <c r="A730">
        <v>1541</v>
      </c>
      <c r="B730">
        <v>3308</v>
      </c>
      <c r="C730" t="s">
        <v>333</v>
      </c>
      <c r="D730" t="s">
        <v>268</v>
      </c>
      <c r="E730" t="s">
        <v>1248</v>
      </c>
      <c r="F730" s="1">
        <v>45560</v>
      </c>
      <c r="G730" s="34" t="str">
        <f t="shared" si="11"/>
        <v>Sep</v>
      </c>
      <c r="H730">
        <v>2</v>
      </c>
      <c r="I730" t="s">
        <v>14</v>
      </c>
      <c r="J730" t="s">
        <v>1233</v>
      </c>
      <c r="K730">
        <v>0.25</v>
      </c>
      <c r="L730">
        <v>257.75</v>
      </c>
      <c r="M730">
        <v>1031</v>
      </c>
      <c r="N730">
        <v>773.25</v>
      </c>
      <c r="O730" t="s">
        <v>13</v>
      </c>
    </row>
    <row r="731" spans="1:15" x14ac:dyDescent="0.25">
      <c r="A731">
        <v>1729</v>
      </c>
      <c r="B731">
        <v>3497</v>
      </c>
      <c r="C731" t="s">
        <v>394</v>
      </c>
      <c r="D731" t="s">
        <v>696</v>
      </c>
      <c r="E731" t="s">
        <v>1249</v>
      </c>
      <c r="F731" s="1">
        <v>45560</v>
      </c>
      <c r="G731" s="34" t="str">
        <f t="shared" si="11"/>
        <v>Sep</v>
      </c>
      <c r="H731">
        <v>2</v>
      </c>
      <c r="I731" t="s">
        <v>1242</v>
      </c>
      <c r="J731" t="s">
        <v>1216</v>
      </c>
      <c r="K731">
        <v>0.25</v>
      </c>
      <c r="L731">
        <v>94.5</v>
      </c>
      <c r="M731">
        <v>378</v>
      </c>
      <c r="N731">
        <v>283.5</v>
      </c>
      <c r="O731" t="s">
        <v>15</v>
      </c>
    </row>
    <row r="732" spans="1:15" x14ac:dyDescent="0.25">
      <c r="A732">
        <v>1311</v>
      </c>
      <c r="B732">
        <v>3078</v>
      </c>
      <c r="C732" t="s">
        <v>17</v>
      </c>
      <c r="D732" t="s">
        <v>172</v>
      </c>
      <c r="E732" t="s">
        <v>1249</v>
      </c>
      <c r="F732" s="1">
        <v>45561</v>
      </c>
      <c r="G732" s="34" t="str">
        <f t="shared" si="11"/>
        <v>Sep</v>
      </c>
      <c r="H732">
        <v>2</v>
      </c>
      <c r="I732" t="s">
        <v>14</v>
      </c>
      <c r="J732" t="s">
        <v>1233</v>
      </c>
      <c r="K732">
        <v>0.25</v>
      </c>
      <c r="L732">
        <v>163.5</v>
      </c>
      <c r="M732">
        <v>654</v>
      </c>
      <c r="N732">
        <v>490.5</v>
      </c>
      <c r="O732" t="s">
        <v>13</v>
      </c>
    </row>
    <row r="733" spans="1:15" x14ac:dyDescent="0.25">
      <c r="A733">
        <v>1672</v>
      </c>
      <c r="B733">
        <v>3440</v>
      </c>
      <c r="C733" t="s">
        <v>87</v>
      </c>
      <c r="D733" t="s">
        <v>687</v>
      </c>
      <c r="E733" t="s">
        <v>1248</v>
      </c>
      <c r="F733" s="1">
        <v>45561</v>
      </c>
      <c r="G733" s="34" t="str">
        <f t="shared" si="11"/>
        <v>Sep</v>
      </c>
      <c r="H733">
        <v>3</v>
      </c>
      <c r="I733" t="s">
        <v>1242</v>
      </c>
      <c r="J733" t="s">
        <v>1216</v>
      </c>
      <c r="K733">
        <v>0.25</v>
      </c>
      <c r="L733">
        <v>140.5</v>
      </c>
      <c r="M733">
        <v>562</v>
      </c>
      <c r="N733">
        <v>421.5</v>
      </c>
      <c r="O733" t="s">
        <v>1200</v>
      </c>
    </row>
    <row r="734" spans="1:15" x14ac:dyDescent="0.25">
      <c r="A734">
        <v>1711</v>
      </c>
      <c r="B734">
        <v>3479</v>
      </c>
      <c r="C734" t="s">
        <v>536</v>
      </c>
      <c r="D734" t="s">
        <v>737</v>
      </c>
      <c r="E734" t="s">
        <v>1208</v>
      </c>
      <c r="F734" s="1">
        <v>45561</v>
      </c>
      <c r="G734" s="34" t="str">
        <f t="shared" si="11"/>
        <v>Sep</v>
      </c>
      <c r="H734">
        <v>1</v>
      </c>
      <c r="I734" t="s">
        <v>1242</v>
      </c>
      <c r="J734" t="s">
        <v>1222</v>
      </c>
      <c r="K734">
        <v>0.3</v>
      </c>
      <c r="L734">
        <v>46.2</v>
      </c>
      <c r="M734">
        <v>154</v>
      </c>
      <c r="N734">
        <v>107.8</v>
      </c>
      <c r="O734" t="s">
        <v>15</v>
      </c>
    </row>
    <row r="735" spans="1:15" x14ac:dyDescent="0.25">
      <c r="A735">
        <v>1750</v>
      </c>
      <c r="B735">
        <v>3518</v>
      </c>
      <c r="C735" t="s">
        <v>113</v>
      </c>
      <c r="D735" t="s">
        <v>777</v>
      </c>
      <c r="E735" t="s">
        <v>1207</v>
      </c>
      <c r="F735" s="1">
        <v>45561</v>
      </c>
      <c r="G735" s="34" t="str">
        <f t="shared" si="11"/>
        <v>Sep</v>
      </c>
      <c r="H735">
        <v>3</v>
      </c>
      <c r="I735" t="s">
        <v>14</v>
      </c>
      <c r="J735" t="s">
        <v>1218</v>
      </c>
      <c r="K735">
        <v>0.2</v>
      </c>
      <c r="L735">
        <v>74.2</v>
      </c>
      <c r="M735">
        <v>371</v>
      </c>
      <c r="N735">
        <v>296.8</v>
      </c>
      <c r="O735" t="s">
        <v>15</v>
      </c>
    </row>
    <row r="736" spans="1:15" x14ac:dyDescent="0.25">
      <c r="A736">
        <v>2211</v>
      </c>
      <c r="B736">
        <v>3980</v>
      </c>
      <c r="C736" t="s">
        <v>265</v>
      </c>
      <c r="D736" t="s">
        <v>94</v>
      </c>
      <c r="E736" t="s">
        <v>1203</v>
      </c>
      <c r="F736" s="1">
        <v>45561</v>
      </c>
      <c r="G736" s="34" t="str">
        <f t="shared" si="11"/>
        <v>Sep</v>
      </c>
      <c r="H736">
        <v>2</v>
      </c>
      <c r="I736" t="s">
        <v>1242</v>
      </c>
      <c r="J736" t="s">
        <v>1228</v>
      </c>
      <c r="K736">
        <v>0.3</v>
      </c>
      <c r="L736">
        <v>350.1</v>
      </c>
      <c r="M736">
        <v>1167</v>
      </c>
      <c r="N736">
        <v>816.9</v>
      </c>
      <c r="O736" t="s">
        <v>19</v>
      </c>
    </row>
    <row r="737" spans="1:15" x14ac:dyDescent="0.25">
      <c r="A737">
        <v>1544</v>
      </c>
      <c r="B737">
        <v>3311</v>
      </c>
      <c r="C737" t="s">
        <v>89</v>
      </c>
      <c r="D737" t="s">
        <v>529</v>
      </c>
      <c r="E737" t="s">
        <v>1203</v>
      </c>
      <c r="F737" s="1">
        <v>45562</v>
      </c>
      <c r="G737" s="34" t="str">
        <f t="shared" si="11"/>
        <v>Sep</v>
      </c>
      <c r="H737">
        <v>2</v>
      </c>
      <c r="I737" t="s">
        <v>1242</v>
      </c>
      <c r="J737" t="s">
        <v>1218</v>
      </c>
      <c r="K737">
        <v>0.3</v>
      </c>
      <c r="L737">
        <v>504.6</v>
      </c>
      <c r="M737">
        <v>1682</v>
      </c>
      <c r="N737">
        <v>1177.4000000000001</v>
      </c>
      <c r="O737" t="s">
        <v>19</v>
      </c>
    </row>
    <row r="738" spans="1:15" x14ac:dyDescent="0.25">
      <c r="A738">
        <v>1751</v>
      </c>
      <c r="B738">
        <v>3519</v>
      </c>
      <c r="C738" t="s">
        <v>478</v>
      </c>
      <c r="D738" t="s">
        <v>352</v>
      </c>
      <c r="E738" t="s">
        <v>1208</v>
      </c>
      <c r="F738" s="1">
        <v>45562</v>
      </c>
      <c r="G738" s="34" t="str">
        <f t="shared" si="11"/>
        <v>Sep</v>
      </c>
      <c r="H738">
        <v>3</v>
      </c>
      <c r="I738" t="s">
        <v>1242</v>
      </c>
      <c r="J738" t="s">
        <v>1233</v>
      </c>
      <c r="K738">
        <v>0.3</v>
      </c>
      <c r="L738">
        <v>400.2</v>
      </c>
      <c r="M738">
        <v>1334</v>
      </c>
      <c r="N738">
        <v>933.8</v>
      </c>
      <c r="O738" t="s">
        <v>19</v>
      </c>
    </row>
    <row r="739" spans="1:15" x14ac:dyDescent="0.25">
      <c r="A739">
        <v>1278</v>
      </c>
      <c r="B739">
        <v>3045</v>
      </c>
      <c r="C739" t="s">
        <v>113</v>
      </c>
      <c r="D739" t="s">
        <v>114</v>
      </c>
      <c r="E739" t="s">
        <v>1249</v>
      </c>
      <c r="F739" s="1">
        <v>45563</v>
      </c>
      <c r="G739" s="34" t="str">
        <f t="shared" si="11"/>
        <v>Sep</v>
      </c>
      <c r="H739">
        <v>2</v>
      </c>
      <c r="I739" t="s">
        <v>14</v>
      </c>
      <c r="J739" t="s">
        <v>1218</v>
      </c>
      <c r="K739">
        <v>0.25</v>
      </c>
      <c r="L739">
        <v>34.75</v>
      </c>
      <c r="M739">
        <v>139</v>
      </c>
      <c r="N739">
        <v>104.25</v>
      </c>
      <c r="O739" t="s">
        <v>19</v>
      </c>
    </row>
    <row r="740" spans="1:15" x14ac:dyDescent="0.25">
      <c r="A740">
        <v>1534</v>
      </c>
      <c r="B740">
        <v>3301</v>
      </c>
      <c r="C740" t="s">
        <v>517</v>
      </c>
      <c r="D740" t="s">
        <v>518</v>
      </c>
      <c r="E740" t="s">
        <v>1208</v>
      </c>
      <c r="F740" s="1">
        <v>45563</v>
      </c>
      <c r="G740" s="34" t="str">
        <f t="shared" si="11"/>
        <v>Sep</v>
      </c>
      <c r="H740">
        <v>3</v>
      </c>
      <c r="I740" t="s">
        <v>14</v>
      </c>
      <c r="J740" t="s">
        <v>1222</v>
      </c>
      <c r="K740">
        <v>0.3</v>
      </c>
      <c r="L740">
        <v>451.2</v>
      </c>
      <c r="M740">
        <v>1504</v>
      </c>
      <c r="N740">
        <v>1052.8</v>
      </c>
      <c r="O740" t="s">
        <v>15</v>
      </c>
    </row>
    <row r="741" spans="1:15" x14ac:dyDescent="0.25">
      <c r="A741">
        <v>1599</v>
      </c>
      <c r="B741">
        <v>3366</v>
      </c>
      <c r="C741" t="s">
        <v>599</v>
      </c>
      <c r="D741" t="s">
        <v>179</v>
      </c>
      <c r="E741" t="s">
        <v>1205</v>
      </c>
      <c r="F741" s="1">
        <v>45563</v>
      </c>
      <c r="G741" s="34" t="str">
        <f t="shared" si="11"/>
        <v>Sep</v>
      </c>
      <c r="H741">
        <v>1</v>
      </c>
      <c r="I741" t="s">
        <v>14</v>
      </c>
      <c r="J741" t="s">
        <v>1214</v>
      </c>
      <c r="K741">
        <v>0.1</v>
      </c>
      <c r="L741">
        <v>100.9</v>
      </c>
      <c r="M741">
        <v>1009</v>
      </c>
      <c r="N741">
        <v>908.1</v>
      </c>
      <c r="O741" t="s">
        <v>19</v>
      </c>
    </row>
    <row r="742" spans="1:15" x14ac:dyDescent="0.25">
      <c r="A742">
        <v>2133</v>
      </c>
      <c r="B742">
        <v>3902</v>
      </c>
      <c r="C742" t="s">
        <v>810</v>
      </c>
      <c r="D742" t="s">
        <v>82</v>
      </c>
      <c r="E742" t="s">
        <v>1249</v>
      </c>
      <c r="F742" s="1">
        <v>45563</v>
      </c>
      <c r="G742" s="34" t="str">
        <f t="shared" si="11"/>
        <v>Sep</v>
      </c>
      <c r="H742">
        <v>3</v>
      </c>
      <c r="I742" t="s">
        <v>14</v>
      </c>
      <c r="J742" t="s">
        <v>1233</v>
      </c>
      <c r="K742">
        <v>0.25</v>
      </c>
      <c r="L742">
        <v>458</v>
      </c>
      <c r="M742">
        <v>1832</v>
      </c>
      <c r="N742">
        <v>1374</v>
      </c>
      <c r="O742" t="s">
        <v>15</v>
      </c>
    </row>
    <row r="743" spans="1:15" x14ac:dyDescent="0.25">
      <c r="A743">
        <v>1582</v>
      </c>
      <c r="B743">
        <v>3349</v>
      </c>
      <c r="C743" t="s">
        <v>118</v>
      </c>
      <c r="D743" t="s">
        <v>581</v>
      </c>
      <c r="E743" t="s">
        <v>1249</v>
      </c>
      <c r="F743" s="1">
        <v>45564</v>
      </c>
      <c r="G743" s="34" t="str">
        <f t="shared" si="11"/>
        <v>Sep</v>
      </c>
      <c r="H743">
        <v>1</v>
      </c>
      <c r="I743" t="s">
        <v>1242</v>
      </c>
      <c r="J743" t="s">
        <v>1228</v>
      </c>
      <c r="K743">
        <v>0.25</v>
      </c>
      <c r="L743">
        <v>176</v>
      </c>
      <c r="M743">
        <v>704</v>
      </c>
      <c r="N743">
        <v>528</v>
      </c>
      <c r="O743" t="s">
        <v>13</v>
      </c>
    </row>
    <row r="744" spans="1:15" x14ac:dyDescent="0.25">
      <c r="A744">
        <v>1754</v>
      </c>
      <c r="B744">
        <v>3522</v>
      </c>
      <c r="C744" t="s">
        <v>531</v>
      </c>
      <c r="D744" t="s">
        <v>780</v>
      </c>
      <c r="E744" t="s">
        <v>1208</v>
      </c>
      <c r="F744" s="1">
        <v>45564</v>
      </c>
      <c r="G744" s="34" t="str">
        <f t="shared" si="11"/>
        <v>Sep</v>
      </c>
      <c r="H744">
        <v>1</v>
      </c>
      <c r="I744" t="s">
        <v>1243</v>
      </c>
      <c r="J744" t="s">
        <v>1228</v>
      </c>
      <c r="K744">
        <v>0.3</v>
      </c>
      <c r="L744">
        <v>58.2</v>
      </c>
      <c r="M744">
        <v>194</v>
      </c>
      <c r="N744">
        <v>135.80000000000001</v>
      </c>
      <c r="O744" t="s">
        <v>19</v>
      </c>
    </row>
    <row r="745" spans="1:15" x14ac:dyDescent="0.25">
      <c r="A745">
        <v>1838</v>
      </c>
      <c r="B745">
        <v>3606</v>
      </c>
      <c r="C745" t="s">
        <v>868</v>
      </c>
      <c r="D745" t="s">
        <v>300</v>
      </c>
      <c r="E745" t="s">
        <v>1249</v>
      </c>
      <c r="F745" s="1">
        <v>45564</v>
      </c>
      <c r="G745" s="34" t="str">
        <f t="shared" si="11"/>
        <v>Sep</v>
      </c>
      <c r="H745">
        <v>2</v>
      </c>
      <c r="I745" t="s">
        <v>14</v>
      </c>
      <c r="J745" t="s">
        <v>1233</v>
      </c>
      <c r="K745">
        <v>0.25</v>
      </c>
      <c r="L745">
        <v>173.75</v>
      </c>
      <c r="M745">
        <v>695</v>
      </c>
      <c r="N745">
        <v>521.25</v>
      </c>
      <c r="O745" t="s">
        <v>1200</v>
      </c>
    </row>
    <row r="746" spans="1:15" x14ac:dyDescent="0.25">
      <c r="A746">
        <v>1610</v>
      </c>
      <c r="B746">
        <v>3377</v>
      </c>
      <c r="C746" t="s">
        <v>612</v>
      </c>
      <c r="D746" t="s">
        <v>539</v>
      </c>
      <c r="E746" t="s">
        <v>1248</v>
      </c>
      <c r="F746" s="1">
        <v>45566</v>
      </c>
      <c r="G746" s="34" t="str">
        <f t="shared" si="11"/>
        <v>Oct</v>
      </c>
      <c r="H746">
        <v>1</v>
      </c>
      <c r="I746" t="s">
        <v>1243</v>
      </c>
      <c r="J746" t="s">
        <v>1224</v>
      </c>
      <c r="K746">
        <v>0.25</v>
      </c>
      <c r="L746">
        <v>266.25</v>
      </c>
      <c r="M746">
        <v>1065</v>
      </c>
      <c r="N746">
        <v>798.75</v>
      </c>
      <c r="O746" t="s">
        <v>16</v>
      </c>
    </row>
    <row r="747" spans="1:15" x14ac:dyDescent="0.25">
      <c r="A747">
        <v>1724</v>
      </c>
      <c r="B747">
        <v>3492</v>
      </c>
      <c r="C747" t="s">
        <v>318</v>
      </c>
      <c r="D747" t="s">
        <v>749</v>
      </c>
      <c r="E747" t="s">
        <v>1208</v>
      </c>
      <c r="F747" s="1">
        <v>45567</v>
      </c>
      <c r="G747" s="34" t="str">
        <f t="shared" si="11"/>
        <v>Oct</v>
      </c>
      <c r="H747">
        <v>2</v>
      </c>
      <c r="I747" t="s">
        <v>18</v>
      </c>
      <c r="J747" t="s">
        <v>1224</v>
      </c>
      <c r="K747">
        <v>0.3</v>
      </c>
      <c r="L747">
        <v>512.4</v>
      </c>
      <c r="M747">
        <v>1708</v>
      </c>
      <c r="N747">
        <v>1195.5999999999999</v>
      </c>
      <c r="O747" t="s">
        <v>19</v>
      </c>
    </row>
    <row r="748" spans="1:15" x14ac:dyDescent="0.25">
      <c r="A748">
        <v>2083</v>
      </c>
      <c r="B748">
        <v>3851</v>
      </c>
      <c r="C748" t="s">
        <v>1085</v>
      </c>
      <c r="D748" t="s">
        <v>288</v>
      </c>
      <c r="E748" t="s">
        <v>1249</v>
      </c>
      <c r="F748" s="1">
        <v>45567</v>
      </c>
      <c r="G748" s="34" t="str">
        <f t="shared" si="11"/>
        <v>Oct</v>
      </c>
      <c r="H748">
        <v>2</v>
      </c>
      <c r="I748" t="s">
        <v>18</v>
      </c>
      <c r="J748" t="s">
        <v>1228</v>
      </c>
      <c r="K748">
        <v>0.25</v>
      </c>
      <c r="L748">
        <v>125.5</v>
      </c>
      <c r="M748">
        <v>502</v>
      </c>
      <c r="N748">
        <v>376.5</v>
      </c>
      <c r="O748" t="s">
        <v>1200</v>
      </c>
    </row>
    <row r="749" spans="1:15" x14ac:dyDescent="0.25">
      <c r="A749">
        <v>1370</v>
      </c>
      <c r="B749">
        <v>3137</v>
      </c>
      <c r="C749" t="s">
        <v>273</v>
      </c>
      <c r="D749" t="s">
        <v>274</v>
      </c>
      <c r="E749" t="s">
        <v>1249</v>
      </c>
      <c r="F749" s="1">
        <v>45568</v>
      </c>
      <c r="G749" s="34" t="str">
        <f t="shared" si="11"/>
        <v>Oct</v>
      </c>
      <c r="H749">
        <v>3</v>
      </c>
      <c r="I749" t="s">
        <v>1243</v>
      </c>
      <c r="J749" t="s">
        <v>1233</v>
      </c>
      <c r="K749">
        <v>0.25</v>
      </c>
      <c r="L749">
        <v>264.75</v>
      </c>
      <c r="M749">
        <v>1059</v>
      </c>
      <c r="N749">
        <v>794.25</v>
      </c>
      <c r="O749" t="s">
        <v>15</v>
      </c>
    </row>
    <row r="750" spans="1:15" x14ac:dyDescent="0.25">
      <c r="A750">
        <v>1567</v>
      </c>
      <c r="B750">
        <v>3334</v>
      </c>
      <c r="C750" t="s">
        <v>563</v>
      </c>
      <c r="D750" t="s">
        <v>564</v>
      </c>
      <c r="E750" t="s">
        <v>1207</v>
      </c>
      <c r="F750" s="1">
        <v>45568</v>
      </c>
      <c r="G750" s="34" t="str">
        <f t="shared" si="11"/>
        <v>Oct</v>
      </c>
      <c r="H750">
        <v>1</v>
      </c>
      <c r="I750" t="s">
        <v>1243</v>
      </c>
      <c r="J750" t="s">
        <v>1233</v>
      </c>
      <c r="K750">
        <v>0.2</v>
      </c>
      <c r="L750">
        <v>134.80000000000001</v>
      </c>
      <c r="M750">
        <v>674</v>
      </c>
      <c r="N750">
        <v>539.20000000000005</v>
      </c>
      <c r="O750" t="s">
        <v>15</v>
      </c>
    </row>
    <row r="751" spans="1:15" x14ac:dyDescent="0.25">
      <c r="A751">
        <v>1720</v>
      </c>
      <c r="B751">
        <v>3488</v>
      </c>
      <c r="C751" t="s">
        <v>353</v>
      </c>
      <c r="D751" t="s">
        <v>745</v>
      </c>
      <c r="E751" t="s">
        <v>1248</v>
      </c>
      <c r="F751" s="1">
        <v>45569</v>
      </c>
      <c r="G751" s="34" t="str">
        <f t="shared" si="11"/>
        <v>Oct</v>
      </c>
      <c r="H751">
        <v>2</v>
      </c>
      <c r="I751" t="s">
        <v>14</v>
      </c>
      <c r="J751" t="s">
        <v>1218</v>
      </c>
      <c r="K751">
        <v>0.25</v>
      </c>
      <c r="L751">
        <v>213</v>
      </c>
      <c r="M751">
        <v>852</v>
      </c>
      <c r="N751">
        <v>639</v>
      </c>
      <c r="O751" t="s">
        <v>13</v>
      </c>
    </row>
    <row r="752" spans="1:15" x14ac:dyDescent="0.25">
      <c r="A752">
        <v>1804</v>
      </c>
      <c r="B752">
        <v>3572</v>
      </c>
      <c r="C752" t="s">
        <v>805</v>
      </c>
      <c r="D752" t="s">
        <v>831</v>
      </c>
      <c r="E752" t="s">
        <v>1249</v>
      </c>
      <c r="F752" s="1">
        <v>45569</v>
      </c>
      <c r="G752" s="34" t="str">
        <f t="shared" si="11"/>
        <v>Oct</v>
      </c>
      <c r="H752">
        <v>2</v>
      </c>
      <c r="I752" t="s">
        <v>1242</v>
      </c>
      <c r="J752" t="s">
        <v>1214</v>
      </c>
      <c r="K752">
        <v>0.25</v>
      </c>
      <c r="L752">
        <v>120</v>
      </c>
      <c r="M752">
        <v>480</v>
      </c>
      <c r="N752">
        <v>360</v>
      </c>
      <c r="O752" t="s">
        <v>19</v>
      </c>
    </row>
    <row r="753" spans="1:15" x14ac:dyDescent="0.25">
      <c r="A753">
        <v>1392</v>
      </c>
      <c r="B753">
        <v>3159</v>
      </c>
      <c r="C753" t="s">
        <v>128</v>
      </c>
      <c r="D753" t="s">
        <v>125</v>
      </c>
      <c r="E753" t="s">
        <v>1205</v>
      </c>
      <c r="F753" s="1">
        <v>45570</v>
      </c>
      <c r="G753" s="34" t="str">
        <f t="shared" si="11"/>
        <v>Oct</v>
      </c>
      <c r="H753">
        <v>2</v>
      </c>
      <c r="I753" t="s">
        <v>1242</v>
      </c>
      <c r="J753" t="s">
        <v>1222</v>
      </c>
      <c r="K753">
        <v>0.1</v>
      </c>
      <c r="L753">
        <v>95.5</v>
      </c>
      <c r="M753">
        <v>955</v>
      </c>
      <c r="N753">
        <v>859.5</v>
      </c>
      <c r="O753" t="s">
        <v>15</v>
      </c>
    </row>
    <row r="754" spans="1:15" x14ac:dyDescent="0.25">
      <c r="A754">
        <v>1612</v>
      </c>
      <c r="B754">
        <v>3379</v>
      </c>
      <c r="C754" t="s">
        <v>614</v>
      </c>
      <c r="D754" t="s">
        <v>615</v>
      </c>
      <c r="E754" t="s">
        <v>1249</v>
      </c>
      <c r="F754" s="1">
        <v>45570</v>
      </c>
      <c r="G754" s="34" t="str">
        <f t="shared" si="11"/>
        <v>Oct</v>
      </c>
      <c r="H754">
        <v>3</v>
      </c>
      <c r="I754" t="s">
        <v>14</v>
      </c>
      <c r="J754" t="s">
        <v>1224</v>
      </c>
      <c r="K754">
        <v>0.25</v>
      </c>
      <c r="L754">
        <v>79.25</v>
      </c>
      <c r="M754">
        <v>317</v>
      </c>
      <c r="N754">
        <v>237.75</v>
      </c>
      <c r="O754" t="s">
        <v>19</v>
      </c>
    </row>
    <row r="755" spans="1:15" x14ac:dyDescent="0.25">
      <c r="A755">
        <v>1401</v>
      </c>
      <c r="B755">
        <v>3168</v>
      </c>
      <c r="C755" t="s">
        <v>322</v>
      </c>
      <c r="D755" t="s">
        <v>323</v>
      </c>
      <c r="E755" t="s">
        <v>1249</v>
      </c>
      <c r="F755" s="1">
        <v>45571</v>
      </c>
      <c r="G755" s="34" t="str">
        <f t="shared" si="11"/>
        <v>Oct</v>
      </c>
      <c r="H755">
        <v>2</v>
      </c>
      <c r="I755" t="s">
        <v>14</v>
      </c>
      <c r="J755" t="s">
        <v>1233</v>
      </c>
      <c r="K755">
        <v>0.25</v>
      </c>
      <c r="L755">
        <v>229</v>
      </c>
      <c r="M755">
        <v>916</v>
      </c>
      <c r="N755">
        <v>687</v>
      </c>
      <c r="O755" t="s">
        <v>1200</v>
      </c>
    </row>
    <row r="756" spans="1:15" x14ac:dyDescent="0.25">
      <c r="A756">
        <v>1689</v>
      </c>
      <c r="B756">
        <v>3457</v>
      </c>
      <c r="C756" t="s">
        <v>709</v>
      </c>
      <c r="D756" t="s">
        <v>710</v>
      </c>
      <c r="E756" t="s">
        <v>1208</v>
      </c>
      <c r="F756" s="1">
        <v>45571</v>
      </c>
      <c r="G756" s="34" t="str">
        <f t="shared" si="11"/>
        <v>Oct</v>
      </c>
      <c r="H756">
        <v>3</v>
      </c>
      <c r="I756" t="s">
        <v>14</v>
      </c>
      <c r="J756" t="s">
        <v>1228</v>
      </c>
      <c r="K756">
        <v>0.3</v>
      </c>
      <c r="L756">
        <v>204.3</v>
      </c>
      <c r="M756">
        <v>681</v>
      </c>
      <c r="N756">
        <v>476.7</v>
      </c>
      <c r="O756" t="s">
        <v>15</v>
      </c>
    </row>
    <row r="757" spans="1:15" x14ac:dyDescent="0.25">
      <c r="A757">
        <v>1820</v>
      </c>
      <c r="B757">
        <v>3588</v>
      </c>
      <c r="C757" t="s">
        <v>847</v>
      </c>
      <c r="D757" t="s">
        <v>63</v>
      </c>
      <c r="E757" t="s">
        <v>1249</v>
      </c>
      <c r="F757" s="1">
        <v>45571</v>
      </c>
      <c r="G757" s="34" t="str">
        <f t="shared" si="11"/>
        <v>Oct</v>
      </c>
      <c r="H757">
        <v>1</v>
      </c>
      <c r="I757" t="s">
        <v>14</v>
      </c>
      <c r="J757" t="s">
        <v>1220</v>
      </c>
      <c r="K757">
        <v>0.25</v>
      </c>
      <c r="L757">
        <v>449.75</v>
      </c>
      <c r="M757">
        <v>1799</v>
      </c>
      <c r="N757">
        <v>1349.25</v>
      </c>
      <c r="O757" t="s">
        <v>13</v>
      </c>
    </row>
    <row r="758" spans="1:15" x14ac:dyDescent="0.25">
      <c r="A758">
        <v>1944</v>
      </c>
      <c r="B758">
        <v>3712</v>
      </c>
      <c r="C758" t="s">
        <v>493</v>
      </c>
      <c r="D758" t="s">
        <v>771</v>
      </c>
      <c r="E758" t="s">
        <v>1205</v>
      </c>
      <c r="F758" s="1">
        <v>45571</v>
      </c>
      <c r="G758" s="34" t="str">
        <f t="shared" si="11"/>
        <v>Oct</v>
      </c>
      <c r="H758">
        <v>1</v>
      </c>
      <c r="I758" t="s">
        <v>14</v>
      </c>
      <c r="J758" t="s">
        <v>1228</v>
      </c>
      <c r="K758">
        <v>0.1</v>
      </c>
      <c r="L758">
        <v>26.7</v>
      </c>
      <c r="M758">
        <v>267</v>
      </c>
      <c r="N758">
        <v>240.3</v>
      </c>
      <c r="O758" t="s">
        <v>13</v>
      </c>
    </row>
    <row r="759" spans="1:15" x14ac:dyDescent="0.25">
      <c r="A759">
        <v>1274</v>
      </c>
      <c r="B759">
        <v>3041</v>
      </c>
      <c r="C759" t="s">
        <v>105</v>
      </c>
      <c r="D759" t="s">
        <v>106</v>
      </c>
      <c r="E759" t="s">
        <v>1249</v>
      </c>
      <c r="F759" s="1">
        <v>45572</v>
      </c>
      <c r="G759" s="34" t="str">
        <f t="shared" si="11"/>
        <v>Oct</v>
      </c>
      <c r="H759">
        <v>3</v>
      </c>
      <c r="I759" t="s">
        <v>1242</v>
      </c>
      <c r="J759" t="s">
        <v>1222</v>
      </c>
      <c r="K759">
        <v>0.25</v>
      </c>
      <c r="L759">
        <v>38.25</v>
      </c>
      <c r="M759">
        <v>153</v>
      </c>
      <c r="N759">
        <v>114.75</v>
      </c>
      <c r="O759" t="s">
        <v>13</v>
      </c>
    </row>
    <row r="760" spans="1:15" x14ac:dyDescent="0.25">
      <c r="A760">
        <v>1361</v>
      </c>
      <c r="B760">
        <v>3128</v>
      </c>
      <c r="C760" t="s">
        <v>257</v>
      </c>
      <c r="D760" t="s">
        <v>258</v>
      </c>
      <c r="E760" t="s">
        <v>1207</v>
      </c>
      <c r="F760" s="1">
        <v>45572</v>
      </c>
      <c r="G760" s="34" t="str">
        <f t="shared" si="11"/>
        <v>Oct</v>
      </c>
      <c r="H760">
        <v>1</v>
      </c>
      <c r="I760" t="s">
        <v>1243</v>
      </c>
      <c r="J760" t="s">
        <v>1216</v>
      </c>
      <c r="K760">
        <v>0.2</v>
      </c>
      <c r="L760">
        <v>3.8</v>
      </c>
      <c r="M760">
        <v>19</v>
      </c>
      <c r="N760">
        <v>15.2</v>
      </c>
      <c r="O760" t="s">
        <v>19</v>
      </c>
    </row>
    <row r="761" spans="1:15" x14ac:dyDescent="0.25">
      <c r="A761">
        <v>1519</v>
      </c>
      <c r="B761">
        <v>3286</v>
      </c>
      <c r="C761" t="s">
        <v>500</v>
      </c>
      <c r="D761" t="s">
        <v>501</v>
      </c>
      <c r="E761" t="s">
        <v>1203</v>
      </c>
      <c r="F761" s="1">
        <v>45572</v>
      </c>
      <c r="G761" s="34" t="str">
        <f t="shared" si="11"/>
        <v>Oct</v>
      </c>
      <c r="H761">
        <v>1</v>
      </c>
      <c r="I761" t="s">
        <v>14</v>
      </c>
      <c r="J761" t="s">
        <v>1224</v>
      </c>
      <c r="K761">
        <v>0.3</v>
      </c>
      <c r="L761">
        <v>421.5</v>
      </c>
      <c r="M761">
        <v>1405</v>
      </c>
      <c r="N761">
        <v>983.5</v>
      </c>
      <c r="O761" t="s">
        <v>1200</v>
      </c>
    </row>
    <row r="762" spans="1:15" x14ac:dyDescent="0.25">
      <c r="A762">
        <v>2176</v>
      </c>
      <c r="B762">
        <v>3945</v>
      </c>
      <c r="C762" t="s">
        <v>206</v>
      </c>
      <c r="D762" t="s">
        <v>1015</v>
      </c>
      <c r="E762" t="s">
        <v>1203</v>
      </c>
      <c r="F762" s="1">
        <v>45572</v>
      </c>
      <c r="G762" s="34" t="str">
        <f t="shared" si="11"/>
        <v>Oct</v>
      </c>
      <c r="H762">
        <v>2</v>
      </c>
      <c r="I762" t="s">
        <v>14</v>
      </c>
      <c r="J762" t="s">
        <v>1233</v>
      </c>
      <c r="K762">
        <v>0.3</v>
      </c>
      <c r="L762">
        <v>374.4</v>
      </c>
      <c r="M762">
        <v>1248</v>
      </c>
      <c r="N762">
        <v>873.6</v>
      </c>
      <c r="O762" t="s">
        <v>15</v>
      </c>
    </row>
    <row r="763" spans="1:15" x14ac:dyDescent="0.25">
      <c r="A763">
        <v>1619</v>
      </c>
      <c r="B763">
        <v>3387</v>
      </c>
      <c r="C763" t="s">
        <v>623</v>
      </c>
      <c r="D763" t="s">
        <v>453</v>
      </c>
      <c r="E763" t="s">
        <v>1249</v>
      </c>
      <c r="F763" s="1">
        <v>45573</v>
      </c>
      <c r="G763" s="34" t="str">
        <f t="shared" si="11"/>
        <v>Oct</v>
      </c>
      <c r="H763">
        <v>1</v>
      </c>
      <c r="I763" t="s">
        <v>14</v>
      </c>
      <c r="J763" t="s">
        <v>1222</v>
      </c>
      <c r="K763">
        <v>0.25</v>
      </c>
      <c r="L763">
        <v>385.5</v>
      </c>
      <c r="M763">
        <v>1542</v>
      </c>
      <c r="N763">
        <v>1156.5</v>
      </c>
      <c r="O763" t="s">
        <v>13</v>
      </c>
    </row>
    <row r="764" spans="1:15" x14ac:dyDescent="0.25">
      <c r="A764">
        <v>1433</v>
      </c>
      <c r="B764">
        <v>3200</v>
      </c>
      <c r="C764" t="s">
        <v>373</v>
      </c>
      <c r="D764" t="s">
        <v>374</v>
      </c>
      <c r="E764" t="s">
        <v>1203</v>
      </c>
      <c r="F764" s="1">
        <v>45574</v>
      </c>
      <c r="G764" s="34" t="str">
        <f t="shared" si="11"/>
        <v>Oct</v>
      </c>
      <c r="H764">
        <v>2</v>
      </c>
      <c r="I764" t="s">
        <v>1242</v>
      </c>
      <c r="J764" t="s">
        <v>1218</v>
      </c>
      <c r="K764">
        <v>0.3</v>
      </c>
      <c r="L764">
        <v>465.6</v>
      </c>
      <c r="M764">
        <v>1552</v>
      </c>
      <c r="N764">
        <v>1086.4000000000001</v>
      </c>
      <c r="O764" t="s">
        <v>15</v>
      </c>
    </row>
    <row r="765" spans="1:15" x14ac:dyDescent="0.25">
      <c r="A765">
        <v>1753</v>
      </c>
      <c r="B765">
        <v>3521</v>
      </c>
      <c r="C765" t="s">
        <v>779</v>
      </c>
      <c r="D765" t="s">
        <v>69</v>
      </c>
      <c r="E765" t="s">
        <v>1249</v>
      </c>
      <c r="F765" s="1">
        <v>45574</v>
      </c>
      <c r="G765" s="34" t="str">
        <f t="shared" si="11"/>
        <v>Oct</v>
      </c>
      <c r="H765">
        <v>1</v>
      </c>
      <c r="I765" t="s">
        <v>1242</v>
      </c>
      <c r="J765" t="s">
        <v>1218</v>
      </c>
      <c r="K765">
        <v>0.25</v>
      </c>
      <c r="L765">
        <v>263.25</v>
      </c>
      <c r="M765">
        <v>1053</v>
      </c>
      <c r="N765">
        <v>789.75</v>
      </c>
      <c r="O765" t="s">
        <v>16</v>
      </c>
    </row>
    <row r="766" spans="1:15" x14ac:dyDescent="0.25">
      <c r="A766">
        <v>1973</v>
      </c>
      <c r="B766">
        <v>3741</v>
      </c>
      <c r="C766" t="s">
        <v>156</v>
      </c>
      <c r="D766" t="s">
        <v>88</v>
      </c>
      <c r="E766" t="s">
        <v>1249</v>
      </c>
      <c r="F766" s="1">
        <v>45574</v>
      </c>
      <c r="G766" s="34" t="str">
        <f t="shared" si="11"/>
        <v>Oct</v>
      </c>
      <c r="H766">
        <v>3</v>
      </c>
      <c r="I766" t="s">
        <v>1242</v>
      </c>
      <c r="J766" t="s">
        <v>1216</v>
      </c>
      <c r="K766">
        <v>0.25</v>
      </c>
      <c r="L766">
        <v>30.5</v>
      </c>
      <c r="M766">
        <v>122</v>
      </c>
      <c r="N766">
        <v>91.5</v>
      </c>
      <c r="O766" t="s">
        <v>19</v>
      </c>
    </row>
    <row r="767" spans="1:15" x14ac:dyDescent="0.25">
      <c r="A767">
        <v>1978</v>
      </c>
      <c r="B767">
        <v>3746</v>
      </c>
      <c r="C767" t="s">
        <v>498</v>
      </c>
      <c r="D767" t="s">
        <v>997</v>
      </c>
      <c r="E767" t="s">
        <v>1207</v>
      </c>
      <c r="F767" s="1">
        <v>45574</v>
      </c>
      <c r="G767" s="34" t="str">
        <f t="shared" si="11"/>
        <v>Oct</v>
      </c>
      <c r="H767">
        <v>3</v>
      </c>
      <c r="I767" t="s">
        <v>18</v>
      </c>
      <c r="J767" t="s">
        <v>1233</v>
      </c>
      <c r="K767">
        <v>0.2</v>
      </c>
      <c r="L767">
        <v>45.4</v>
      </c>
      <c r="M767">
        <v>227</v>
      </c>
      <c r="N767">
        <v>181.6</v>
      </c>
      <c r="O767" t="s">
        <v>19</v>
      </c>
    </row>
    <row r="768" spans="1:15" x14ac:dyDescent="0.25">
      <c r="A768">
        <v>1438</v>
      </c>
      <c r="B768">
        <v>3205</v>
      </c>
      <c r="C768" t="s">
        <v>381</v>
      </c>
      <c r="D768" t="s">
        <v>382</v>
      </c>
      <c r="E768" t="s">
        <v>1205</v>
      </c>
      <c r="F768" s="1">
        <v>45575</v>
      </c>
      <c r="G768" s="34" t="str">
        <f t="shared" si="11"/>
        <v>Oct</v>
      </c>
      <c r="H768">
        <v>3</v>
      </c>
      <c r="I768" t="s">
        <v>1242</v>
      </c>
      <c r="J768" t="s">
        <v>1222</v>
      </c>
      <c r="K768">
        <v>0.1</v>
      </c>
      <c r="L768">
        <v>143.6</v>
      </c>
      <c r="M768">
        <v>1436</v>
      </c>
      <c r="N768">
        <v>1292.4000000000001</v>
      </c>
      <c r="O768" t="s">
        <v>15</v>
      </c>
    </row>
    <row r="769" spans="1:15" x14ac:dyDescent="0.25">
      <c r="A769">
        <v>1470</v>
      </c>
      <c r="B769">
        <v>3237</v>
      </c>
      <c r="C769" t="s">
        <v>430</v>
      </c>
      <c r="D769" t="s">
        <v>431</v>
      </c>
      <c r="E769" t="s">
        <v>1248</v>
      </c>
      <c r="F769" s="1">
        <v>45575</v>
      </c>
      <c r="G769" s="34" t="str">
        <f t="shared" si="11"/>
        <v>Oct</v>
      </c>
      <c r="H769">
        <v>1</v>
      </c>
      <c r="I769" t="s">
        <v>14</v>
      </c>
      <c r="J769" t="s">
        <v>1228</v>
      </c>
      <c r="K769">
        <v>0.25</v>
      </c>
      <c r="L769">
        <v>111.25</v>
      </c>
      <c r="M769">
        <v>445</v>
      </c>
      <c r="N769">
        <v>333.75</v>
      </c>
      <c r="O769" t="s">
        <v>15</v>
      </c>
    </row>
    <row r="770" spans="1:15" x14ac:dyDescent="0.25">
      <c r="A770">
        <v>1946</v>
      </c>
      <c r="B770">
        <v>3714</v>
      </c>
      <c r="C770" t="s">
        <v>975</v>
      </c>
      <c r="D770" t="s">
        <v>976</v>
      </c>
      <c r="E770" t="s">
        <v>1248</v>
      </c>
      <c r="F770" s="1">
        <v>45575</v>
      </c>
      <c r="G770" s="34" t="str">
        <f t="shared" ref="G770:G833" si="12">TEXT(F770, "MMM")</f>
        <v>Oct</v>
      </c>
      <c r="H770">
        <v>2</v>
      </c>
      <c r="I770" t="s">
        <v>14</v>
      </c>
      <c r="J770" t="s">
        <v>1233</v>
      </c>
      <c r="K770">
        <v>0.25</v>
      </c>
      <c r="L770">
        <v>67</v>
      </c>
      <c r="M770">
        <v>268</v>
      </c>
      <c r="N770">
        <v>201</v>
      </c>
      <c r="O770" t="s">
        <v>16</v>
      </c>
    </row>
    <row r="771" spans="1:15" x14ac:dyDescent="0.25">
      <c r="A771">
        <v>1528</v>
      </c>
      <c r="B771">
        <v>3295</v>
      </c>
      <c r="C771" t="s">
        <v>234</v>
      </c>
      <c r="D771" t="s">
        <v>151</v>
      </c>
      <c r="E771" t="s">
        <v>1249</v>
      </c>
      <c r="F771" s="1">
        <v>45576</v>
      </c>
      <c r="G771" s="34" t="str">
        <f t="shared" si="12"/>
        <v>Oct</v>
      </c>
      <c r="H771">
        <v>1</v>
      </c>
      <c r="I771" t="s">
        <v>14</v>
      </c>
      <c r="J771" t="s">
        <v>1222</v>
      </c>
      <c r="K771">
        <v>0.25</v>
      </c>
      <c r="L771">
        <v>152</v>
      </c>
      <c r="M771">
        <v>608</v>
      </c>
      <c r="N771">
        <v>456</v>
      </c>
      <c r="O771" t="s">
        <v>13</v>
      </c>
    </row>
    <row r="772" spans="1:15" x14ac:dyDescent="0.25">
      <c r="A772">
        <v>1594</v>
      </c>
      <c r="B772">
        <v>3361</v>
      </c>
      <c r="C772" t="s">
        <v>594</v>
      </c>
      <c r="D772" t="s">
        <v>215</v>
      </c>
      <c r="E772" t="s">
        <v>1249</v>
      </c>
      <c r="F772" s="1">
        <v>45576</v>
      </c>
      <c r="G772" s="34" t="str">
        <f t="shared" si="12"/>
        <v>Oct</v>
      </c>
      <c r="H772">
        <v>1</v>
      </c>
      <c r="I772" t="s">
        <v>1242</v>
      </c>
      <c r="J772" t="s">
        <v>1214</v>
      </c>
      <c r="K772">
        <v>0.25</v>
      </c>
      <c r="L772">
        <v>359.25</v>
      </c>
      <c r="M772">
        <v>1437</v>
      </c>
      <c r="N772">
        <v>1077.75</v>
      </c>
      <c r="O772" t="s">
        <v>13</v>
      </c>
    </row>
    <row r="773" spans="1:15" x14ac:dyDescent="0.25">
      <c r="A773">
        <v>1603</v>
      </c>
      <c r="B773">
        <v>3370</v>
      </c>
      <c r="C773" t="s">
        <v>603</v>
      </c>
      <c r="D773" t="s">
        <v>604</v>
      </c>
      <c r="E773" t="s">
        <v>1203</v>
      </c>
      <c r="F773" s="1">
        <v>45576</v>
      </c>
      <c r="G773" s="34" t="str">
        <f t="shared" si="12"/>
        <v>Oct</v>
      </c>
      <c r="H773">
        <v>2</v>
      </c>
      <c r="I773" t="s">
        <v>14</v>
      </c>
      <c r="J773" t="s">
        <v>1228</v>
      </c>
      <c r="K773">
        <v>0.3</v>
      </c>
      <c r="L773">
        <v>354</v>
      </c>
      <c r="M773">
        <v>1180</v>
      </c>
      <c r="N773">
        <v>826</v>
      </c>
      <c r="O773" t="s">
        <v>13</v>
      </c>
    </row>
    <row r="774" spans="1:15" x14ac:dyDescent="0.25">
      <c r="A774">
        <v>1732</v>
      </c>
      <c r="B774">
        <v>3500</v>
      </c>
      <c r="C774" t="s">
        <v>336</v>
      </c>
      <c r="D774" t="s">
        <v>759</v>
      </c>
      <c r="E774" t="s">
        <v>1208</v>
      </c>
      <c r="F774" s="1">
        <v>45576</v>
      </c>
      <c r="G774" s="34" t="str">
        <f t="shared" si="12"/>
        <v>Oct</v>
      </c>
      <c r="H774">
        <v>2</v>
      </c>
      <c r="I774" t="s">
        <v>18</v>
      </c>
      <c r="J774" t="s">
        <v>1214</v>
      </c>
      <c r="K774">
        <v>0.3</v>
      </c>
      <c r="L774">
        <v>414.9</v>
      </c>
      <c r="M774">
        <v>1383</v>
      </c>
      <c r="N774">
        <v>968.1</v>
      </c>
      <c r="O774" t="s">
        <v>19</v>
      </c>
    </row>
    <row r="775" spans="1:15" x14ac:dyDescent="0.25">
      <c r="A775">
        <v>1747</v>
      </c>
      <c r="B775">
        <v>3515</v>
      </c>
      <c r="C775" t="s">
        <v>775</v>
      </c>
      <c r="D775" t="s">
        <v>285</v>
      </c>
      <c r="E775" t="s">
        <v>1205</v>
      </c>
      <c r="F775" s="1">
        <v>45576</v>
      </c>
      <c r="G775" s="34" t="str">
        <f t="shared" si="12"/>
        <v>Oct</v>
      </c>
      <c r="H775">
        <v>3</v>
      </c>
      <c r="I775" t="s">
        <v>1242</v>
      </c>
      <c r="J775" t="s">
        <v>1233</v>
      </c>
      <c r="K775">
        <v>0.1</v>
      </c>
      <c r="L775">
        <v>138.19999999999999</v>
      </c>
      <c r="M775">
        <v>1382</v>
      </c>
      <c r="N775">
        <v>1243.8</v>
      </c>
      <c r="O775" t="s">
        <v>1200</v>
      </c>
    </row>
    <row r="776" spans="1:15" x14ac:dyDescent="0.25">
      <c r="A776">
        <v>1390</v>
      </c>
      <c r="B776">
        <v>3157</v>
      </c>
      <c r="C776" t="s">
        <v>143</v>
      </c>
      <c r="D776" t="s">
        <v>218</v>
      </c>
      <c r="E776" t="s">
        <v>1248</v>
      </c>
      <c r="F776" s="1">
        <v>45577</v>
      </c>
      <c r="G776" s="34" t="str">
        <f t="shared" si="12"/>
        <v>Oct</v>
      </c>
      <c r="H776">
        <v>2</v>
      </c>
      <c r="I776" t="s">
        <v>14</v>
      </c>
      <c r="J776" t="s">
        <v>1228</v>
      </c>
      <c r="K776">
        <v>0.25</v>
      </c>
      <c r="L776">
        <v>112.75</v>
      </c>
      <c r="M776">
        <v>451</v>
      </c>
      <c r="N776">
        <v>338.25</v>
      </c>
      <c r="O776" t="s">
        <v>1200</v>
      </c>
    </row>
    <row r="777" spans="1:15" x14ac:dyDescent="0.25">
      <c r="A777">
        <v>1403</v>
      </c>
      <c r="B777">
        <v>3170</v>
      </c>
      <c r="C777" t="s">
        <v>325</v>
      </c>
      <c r="D777" t="s">
        <v>12</v>
      </c>
      <c r="E777" t="s">
        <v>1207</v>
      </c>
      <c r="F777" s="1">
        <v>45577</v>
      </c>
      <c r="G777" s="34" t="str">
        <f t="shared" si="12"/>
        <v>Oct</v>
      </c>
      <c r="H777">
        <v>1</v>
      </c>
      <c r="I777" t="s">
        <v>1242</v>
      </c>
      <c r="J777" t="s">
        <v>1233</v>
      </c>
      <c r="K777">
        <v>0.2</v>
      </c>
      <c r="L777">
        <v>325.39999999999998</v>
      </c>
      <c r="M777">
        <v>1627</v>
      </c>
      <c r="N777">
        <v>1301.5999999999999</v>
      </c>
      <c r="O777" t="s">
        <v>16</v>
      </c>
    </row>
    <row r="778" spans="1:15" x14ac:dyDescent="0.25">
      <c r="A778">
        <v>1921</v>
      </c>
      <c r="B778">
        <v>3689</v>
      </c>
      <c r="C778" t="s">
        <v>343</v>
      </c>
      <c r="D778" t="s">
        <v>951</v>
      </c>
      <c r="E778" t="s">
        <v>1207</v>
      </c>
      <c r="F778" s="1">
        <v>45577</v>
      </c>
      <c r="G778" s="34" t="str">
        <f t="shared" si="12"/>
        <v>Oct</v>
      </c>
      <c r="H778">
        <v>2</v>
      </c>
      <c r="I778" t="s">
        <v>1243</v>
      </c>
      <c r="J778" t="s">
        <v>1214</v>
      </c>
      <c r="K778">
        <v>0.2</v>
      </c>
      <c r="L778">
        <v>151.6</v>
      </c>
      <c r="M778">
        <v>758</v>
      </c>
      <c r="N778">
        <v>606.4</v>
      </c>
      <c r="O778" t="s">
        <v>13</v>
      </c>
    </row>
    <row r="779" spans="1:15" x14ac:dyDescent="0.25">
      <c r="A779">
        <v>2137</v>
      </c>
      <c r="B779">
        <v>3906</v>
      </c>
      <c r="C779" t="s">
        <v>1137</v>
      </c>
      <c r="D779" t="s">
        <v>797</v>
      </c>
      <c r="E779" t="s">
        <v>1207</v>
      </c>
      <c r="F779" s="1">
        <v>45578</v>
      </c>
      <c r="G779" s="34" t="str">
        <f t="shared" si="12"/>
        <v>Oct</v>
      </c>
      <c r="H779">
        <v>3</v>
      </c>
      <c r="I779" t="s">
        <v>14</v>
      </c>
      <c r="J779" t="s">
        <v>1222</v>
      </c>
      <c r="K779">
        <v>0.2</v>
      </c>
      <c r="L779">
        <v>201</v>
      </c>
      <c r="M779">
        <v>1005</v>
      </c>
      <c r="N779">
        <v>804</v>
      </c>
      <c r="O779" t="s">
        <v>15</v>
      </c>
    </row>
    <row r="780" spans="1:15" x14ac:dyDescent="0.25">
      <c r="A780">
        <v>1716</v>
      </c>
      <c r="B780">
        <v>3484</v>
      </c>
      <c r="C780" t="s">
        <v>422</v>
      </c>
      <c r="D780" t="s">
        <v>268</v>
      </c>
      <c r="E780" t="s">
        <v>1248</v>
      </c>
      <c r="F780" s="1">
        <v>45579</v>
      </c>
      <c r="G780" s="34" t="str">
        <f t="shared" si="12"/>
        <v>Oct</v>
      </c>
      <c r="H780">
        <v>2</v>
      </c>
      <c r="I780" t="s">
        <v>1242</v>
      </c>
      <c r="J780" t="s">
        <v>1222</v>
      </c>
      <c r="K780">
        <v>0.25</v>
      </c>
      <c r="L780">
        <v>141.75</v>
      </c>
      <c r="M780">
        <v>567</v>
      </c>
      <c r="N780">
        <v>425.25</v>
      </c>
      <c r="O780" t="s">
        <v>19</v>
      </c>
    </row>
    <row r="781" spans="1:15" x14ac:dyDescent="0.25">
      <c r="A781">
        <v>1845</v>
      </c>
      <c r="B781">
        <v>3613</v>
      </c>
      <c r="C781" t="s">
        <v>873</v>
      </c>
      <c r="D781" t="s">
        <v>874</v>
      </c>
      <c r="E781" t="s">
        <v>1248</v>
      </c>
      <c r="F781" s="1">
        <v>45580</v>
      </c>
      <c r="G781" s="34" t="str">
        <f t="shared" si="12"/>
        <v>Oct</v>
      </c>
      <c r="H781">
        <v>1</v>
      </c>
      <c r="I781" t="s">
        <v>1242</v>
      </c>
      <c r="J781" t="s">
        <v>1216</v>
      </c>
      <c r="K781">
        <v>0.25</v>
      </c>
      <c r="L781">
        <v>386.25</v>
      </c>
      <c r="M781">
        <v>1545</v>
      </c>
      <c r="N781">
        <v>1158.75</v>
      </c>
      <c r="O781" t="s">
        <v>15</v>
      </c>
    </row>
    <row r="782" spans="1:15" x14ac:dyDescent="0.25">
      <c r="A782">
        <v>1341</v>
      </c>
      <c r="B782">
        <v>3108</v>
      </c>
      <c r="C782" t="s">
        <v>226</v>
      </c>
      <c r="D782" t="s">
        <v>57</v>
      </c>
      <c r="E782" t="s">
        <v>1208</v>
      </c>
      <c r="F782" s="1">
        <v>45581</v>
      </c>
      <c r="G782" s="34" t="str">
        <f t="shared" si="12"/>
        <v>Oct</v>
      </c>
      <c r="H782">
        <v>2</v>
      </c>
      <c r="I782" t="s">
        <v>1242</v>
      </c>
      <c r="J782" t="s">
        <v>1218</v>
      </c>
      <c r="K782">
        <v>0.3</v>
      </c>
      <c r="L782">
        <v>259.5</v>
      </c>
      <c r="M782">
        <v>865</v>
      </c>
      <c r="N782">
        <v>605.5</v>
      </c>
      <c r="O782" t="s">
        <v>1200</v>
      </c>
    </row>
    <row r="783" spans="1:15" x14ac:dyDescent="0.25">
      <c r="A783">
        <v>1667</v>
      </c>
      <c r="B783">
        <v>3435</v>
      </c>
      <c r="C783" t="s">
        <v>681</v>
      </c>
      <c r="D783" t="s">
        <v>682</v>
      </c>
      <c r="E783" t="s">
        <v>1208</v>
      </c>
      <c r="F783" s="1">
        <v>45581</v>
      </c>
      <c r="G783" s="34" t="str">
        <f t="shared" si="12"/>
        <v>Oct</v>
      </c>
      <c r="H783">
        <v>1</v>
      </c>
      <c r="I783" t="s">
        <v>14</v>
      </c>
      <c r="J783" t="s">
        <v>1218</v>
      </c>
      <c r="K783">
        <v>0.3</v>
      </c>
      <c r="L783">
        <v>54.9</v>
      </c>
      <c r="M783">
        <v>183</v>
      </c>
      <c r="N783">
        <v>128.1</v>
      </c>
      <c r="O783" t="s">
        <v>13</v>
      </c>
    </row>
    <row r="784" spans="1:15" x14ac:dyDescent="0.25">
      <c r="A784">
        <v>2195</v>
      </c>
      <c r="B784">
        <v>3964</v>
      </c>
      <c r="C784" t="s">
        <v>1079</v>
      </c>
      <c r="D784" t="s">
        <v>159</v>
      </c>
      <c r="E784" t="s">
        <v>1203</v>
      </c>
      <c r="F784" s="1">
        <v>45581</v>
      </c>
      <c r="G784" s="34" t="str">
        <f t="shared" si="12"/>
        <v>Oct</v>
      </c>
      <c r="H784">
        <v>1</v>
      </c>
      <c r="I784" t="s">
        <v>1242</v>
      </c>
      <c r="J784" t="s">
        <v>1214</v>
      </c>
      <c r="K784">
        <v>0.3</v>
      </c>
      <c r="L784">
        <v>446.4</v>
      </c>
      <c r="M784">
        <v>1488</v>
      </c>
      <c r="N784">
        <v>1041.5999999999999</v>
      </c>
      <c r="O784" t="s">
        <v>1200</v>
      </c>
    </row>
    <row r="785" spans="1:15" x14ac:dyDescent="0.25">
      <c r="A785">
        <v>1598</v>
      </c>
      <c r="B785">
        <v>3365</v>
      </c>
      <c r="C785" t="s">
        <v>598</v>
      </c>
      <c r="D785" t="s">
        <v>371</v>
      </c>
      <c r="E785" t="s">
        <v>1249</v>
      </c>
      <c r="F785" s="1">
        <v>45582</v>
      </c>
      <c r="G785" s="34" t="str">
        <f t="shared" si="12"/>
        <v>Oct</v>
      </c>
      <c r="H785">
        <v>3</v>
      </c>
      <c r="I785" t="s">
        <v>1242</v>
      </c>
      <c r="J785" t="s">
        <v>1224</v>
      </c>
      <c r="K785">
        <v>0.25</v>
      </c>
      <c r="L785">
        <v>199.5</v>
      </c>
      <c r="M785">
        <v>798</v>
      </c>
      <c r="N785">
        <v>598.5</v>
      </c>
      <c r="O785" t="s">
        <v>16</v>
      </c>
    </row>
    <row r="786" spans="1:15" x14ac:dyDescent="0.25">
      <c r="A786">
        <v>1832</v>
      </c>
      <c r="B786">
        <v>3600</v>
      </c>
      <c r="C786" t="s">
        <v>860</v>
      </c>
      <c r="D786" t="s">
        <v>861</v>
      </c>
      <c r="E786" t="s">
        <v>1207</v>
      </c>
      <c r="F786" s="1">
        <v>45582</v>
      </c>
      <c r="G786" s="34" t="str">
        <f t="shared" si="12"/>
        <v>Oct</v>
      </c>
      <c r="H786">
        <v>3</v>
      </c>
      <c r="I786" t="s">
        <v>14</v>
      </c>
      <c r="J786" t="s">
        <v>1214</v>
      </c>
      <c r="K786">
        <v>0.2</v>
      </c>
      <c r="L786">
        <v>270.8</v>
      </c>
      <c r="M786">
        <v>1354</v>
      </c>
      <c r="N786">
        <v>1083.2</v>
      </c>
      <c r="O786" t="s">
        <v>13</v>
      </c>
    </row>
    <row r="787" spans="1:15" x14ac:dyDescent="0.25">
      <c r="A787">
        <v>2179</v>
      </c>
      <c r="B787">
        <v>3948</v>
      </c>
      <c r="C787" t="s">
        <v>52</v>
      </c>
      <c r="D787" t="s">
        <v>1166</v>
      </c>
      <c r="E787" t="s">
        <v>1249</v>
      </c>
      <c r="F787" s="1">
        <v>45583</v>
      </c>
      <c r="G787" s="34" t="str">
        <f t="shared" si="12"/>
        <v>Oct</v>
      </c>
      <c r="H787">
        <v>2</v>
      </c>
      <c r="I787" t="s">
        <v>1242</v>
      </c>
      <c r="J787" t="s">
        <v>1224</v>
      </c>
      <c r="K787">
        <v>0.25</v>
      </c>
      <c r="L787">
        <v>251</v>
      </c>
      <c r="M787">
        <v>1004</v>
      </c>
      <c r="N787">
        <v>753</v>
      </c>
      <c r="O787" t="s">
        <v>15</v>
      </c>
    </row>
    <row r="788" spans="1:15" x14ac:dyDescent="0.25">
      <c r="A788">
        <v>1890</v>
      </c>
      <c r="B788">
        <v>3658</v>
      </c>
      <c r="C788" t="s">
        <v>56</v>
      </c>
      <c r="D788" t="s">
        <v>921</v>
      </c>
      <c r="E788" t="s">
        <v>1249</v>
      </c>
      <c r="F788" s="1">
        <v>45584</v>
      </c>
      <c r="G788" s="34" t="str">
        <f t="shared" si="12"/>
        <v>Oct</v>
      </c>
      <c r="H788">
        <v>1</v>
      </c>
      <c r="I788" t="s">
        <v>1242</v>
      </c>
      <c r="J788" t="s">
        <v>1222</v>
      </c>
      <c r="K788">
        <v>0.25</v>
      </c>
      <c r="L788">
        <v>275.25</v>
      </c>
      <c r="M788">
        <v>1101</v>
      </c>
      <c r="N788">
        <v>825.75</v>
      </c>
      <c r="O788" t="s">
        <v>15</v>
      </c>
    </row>
    <row r="789" spans="1:15" x14ac:dyDescent="0.25">
      <c r="A789">
        <v>1510</v>
      </c>
      <c r="B789">
        <v>3277</v>
      </c>
      <c r="C789" t="s">
        <v>488</v>
      </c>
      <c r="D789" t="s">
        <v>84</v>
      </c>
      <c r="E789" t="s">
        <v>1207</v>
      </c>
      <c r="F789" s="1">
        <v>45585</v>
      </c>
      <c r="G789" s="34" t="str">
        <f t="shared" si="12"/>
        <v>Oct</v>
      </c>
      <c r="H789">
        <v>1</v>
      </c>
      <c r="I789" t="s">
        <v>1243</v>
      </c>
      <c r="J789" t="s">
        <v>1216</v>
      </c>
      <c r="K789">
        <v>0.2</v>
      </c>
      <c r="L789">
        <v>200.4</v>
      </c>
      <c r="M789">
        <v>1002</v>
      </c>
      <c r="N789">
        <v>801.6</v>
      </c>
      <c r="O789" t="s">
        <v>19</v>
      </c>
    </row>
    <row r="790" spans="1:15" x14ac:dyDescent="0.25">
      <c r="A790">
        <v>1728</v>
      </c>
      <c r="B790">
        <v>3496</v>
      </c>
      <c r="C790" t="s">
        <v>755</v>
      </c>
      <c r="D790" t="s">
        <v>756</v>
      </c>
      <c r="E790" t="s">
        <v>1203</v>
      </c>
      <c r="F790" s="1">
        <v>45585</v>
      </c>
      <c r="G790" s="34" t="str">
        <f t="shared" si="12"/>
        <v>Oct</v>
      </c>
      <c r="H790">
        <v>1</v>
      </c>
      <c r="I790" t="s">
        <v>14</v>
      </c>
      <c r="J790" t="s">
        <v>1220</v>
      </c>
      <c r="K790">
        <v>0.3</v>
      </c>
      <c r="L790">
        <v>530.70000000000005</v>
      </c>
      <c r="M790">
        <v>1769</v>
      </c>
      <c r="N790">
        <v>1238.3</v>
      </c>
      <c r="O790" t="s">
        <v>13</v>
      </c>
    </row>
    <row r="791" spans="1:15" x14ac:dyDescent="0.25">
      <c r="A791">
        <v>1987</v>
      </c>
      <c r="B791">
        <v>3755</v>
      </c>
      <c r="C791" t="s">
        <v>1006</v>
      </c>
      <c r="D791" t="s">
        <v>1007</v>
      </c>
      <c r="E791" t="s">
        <v>1208</v>
      </c>
      <c r="F791" s="1">
        <v>45585</v>
      </c>
      <c r="G791" s="34" t="str">
        <f t="shared" si="12"/>
        <v>Oct</v>
      </c>
      <c r="H791">
        <v>2</v>
      </c>
      <c r="I791" t="s">
        <v>14</v>
      </c>
      <c r="J791" t="s">
        <v>1216</v>
      </c>
      <c r="K791">
        <v>0.3</v>
      </c>
      <c r="L791">
        <v>114.9</v>
      </c>
      <c r="M791">
        <v>383</v>
      </c>
      <c r="N791">
        <v>268.10000000000002</v>
      </c>
      <c r="O791" t="s">
        <v>1200</v>
      </c>
    </row>
    <row r="792" spans="1:15" x14ac:dyDescent="0.25">
      <c r="A792">
        <v>2013</v>
      </c>
      <c r="B792">
        <v>3781</v>
      </c>
      <c r="C792" t="s">
        <v>667</v>
      </c>
      <c r="D792" t="s">
        <v>1022</v>
      </c>
      <c r="E792" t="s">
        <v>1249</v>
      </c>
      <c r="F792" s="1">
        <v>45585</v>
      </c>
      <c r="G792" s="34" t="str">
        <f t="shared" si="12"/>
        <v>Oct</v>
      </c>
      <c r="H792">
        <v>3</v>
      </c>
      <c r="I792" t="s">
        <v>14</v>
      </c>
      <c r="J792" t="s">
        <v>1220</v>
      </c>
      <c r="K792">
        <v>0.25</v>
      </c>
      <c r="L792">
        <v>63.25</v>
      </c>
      <c r="M792">
        <v>253</v>
      </c>
      <c r="N792">
        <v>189.75</v>
      </c>
      <c r="O792" t="s">
        <v>15</v>
      </c>
    </row>
    <row r="793" spans="1:15" x14ac:dyDescent="0.25">
      <c r="A793">
        <v>1746</v>
      </c>
      <c r="B793">
        <v>3514</v>
      </c>
      <c r="C793" t="s">
        <v>167</v>
      </c>
      <c r="D793" t="s">
        <v>774</v>
      </c>
      <c r="E793" t="s">
        <v>1248</v>
      </c>
      <c r="F793" s="1">
        <v>45586</v>
      </c>
      <c r="G793" s="34" t="str">
        <f t="shared" si="12"/>
        <v>Oct</v>
      </c>
      <c r="H793">
        <v>1</v>
      </c>
      <c r="I793" t="s">
        <v>14</v>
      </c>
      <c r="J793" t="s">
        <v>1218</v>
      </c>
      <c r="K793">
        <v>0.25</v>
      </c>
      <c r="L793">
        <v>461</v>
      </c>
      <c r="M793">
        <v>1844</v>
      </c>
      <c r="N793">
        <v>1383</v>
      </c>
      <c r="O793" t="s">
        <v>19</v>
      </c>
    </row>
    <row r="794" spans="1:15" x14ac:dyDescent="0.25">
      <c r="A794">
        <v>2097</v>
      </c>
      <c r="B794">
        <v>3866</v>
      </c>
      <c r="C794" t="s">
        <v>62</v>
      </c>
      <c r="D794" t="s">
        <v>519</v>
      </c>
      <c r="E794" t="s">
        <v>1248</v>
      </c>
      <c r="F794" s="1">
        <v>45586</v>
      </c>
      <c r="G794" s="34" t="str">
        <f t="shared" si="12"/>
        <v>Oct</v>
      </c>
      <c r="H794">
        <v>3</v>
      </c>
      <c r="I794" t="s">
        <v>18</v>
      </c>
      <c r="J794" t="s">
        <v>1228</v>
      </c>
      <c r="K794">
        <v>0.25</v>
      </c>
      <c r="L794">
        <v>204.5</v>
      </c>
      <c r="M794">
        <v>818</v>
      </c>
      <c r="N794">
        <v>613.5</v>
      </c>
      <c r="O794" t="s">
        <v>15</v>
      </c>
    </row>
    <row r="795" spans="1:15" x14ac:dyDescent="0.25">
      <c r="A795">
        <v>1265</v>
      </c>
      <c r="B795">
        <v>3032</v>
      </c>
      <c r="C795" t="s">
        <v>87</v>
      </c>
      <c r="D795" t="s">
        <v>88</v>
      </c>
      <c r="E795" t="s">
        <v>1248</v>
      </c>
      <c r="F795" s="1">
        <v>45588</v>
      </c>
      <c r="G795" s="34" t="str">
        <f t="shared" si="12"/>
        <v>Oct</v>
      </c>
      <c r="H795">
        <v>1</v>
      </c>
      <c r="I795" t="s">
        <v>1242</v>
      </c>
      <c r="J795" t="s">
        <v>1228</v>
      </c>
      <c r="K795">
        <v>0.25</v>
      </c>
      <c r="L795">
        <v>116.75</v>
      </c>
      <c r="M795">
        <v>467</v>
      </c>
      <c r="N795">
        <v>350.25</v>
      </c>
      <c r="O795" t="s">
        <v>1200</v>
      </c>
    </row>
    <row r="796" spans="1:15" x14ac:dyDescent="0.25">
      <c r="A796">
        <v>1584</v>
      </c>
      <c r="B796">
        <v>3351</v>
      </c>
      <c r="C796" t="s">
        <v>176</v>
      </c>
      <c r="D796" t="s">
        <v>584</v>
      </c>
      <c r="E796" t="s">
        <v>1248</v>
      </c>
      <c r="F796" s="1">
        <v>45588</v>
      </c>
      <c r="G796" s="34" t="str">
        <f t="shared" si="12"/>
        <v>Oct</v>
      </c>
      <c r="H796">
        <v>3</v>
      </c>
      <c r="I796" t="s">
        <v>14</v>
      </c>
      <c r="J796" t="s">
        <v>1224</v>
      </c>
      <c r="K796">
        <v>0.25</v>
      </c>
      <c r="L796">
        <v>264.5</v>
      </c>
      <c r="M796">
        <v>1058</v>
      </c>
      <c r="N796">
        <v>793.5</v>
      </c>
      <c r="O796" t="s">
        <v>1200</v>
      </c>
    </row>
    <row r="797" spans="1:15" x14ac:dyDescent="0.25">
      <c r="A797">
        <v>2144</v>
      </c>
      <c r="B797">
        <v>3913</v>
      </c>
      <c r="C797" t="s">
        <v>81</v>
      </c>
      <c r="D797" t="s">
        <v>347</v>
      </c>
      <c r="E797" t="s">
        <v>1203</v>
      </c>
      <c r="F797" s="1">
        <v>45588</v>
      </c>
      <c r="G797" s="34" t="str">
        <f t="shared" si="12"/>
        <v>Oct</v>
      </c>
      <c r="H797">
        <v>1</v>
      </c>
      <c r="I797" t="s">
        <v>1242</v>
      </c>
      <c r="J797" t="s">
        <v>1214</v>
      </c>
      <c r="K797">
        <v>0.3</v>
      </c>
      <c r="L797">
        <v>4.8</v>
      </c>
      <c r="M797">
        <v>16</v>
      </c>
      <c r="N797">
        <v>11.2</v>
      </c>
      <c r="O797" t="s">
        <v>16</v>
      </c>
    </row>
    <row r="798" spans="1:15" x14ac:dyDescent="0.25">
      <c r="A798">
        <v>1288</v>
      </c>
      <c r="B798">
        <v>3055</v>
      </c>
      <c r="C798" t="s">
        <v>131</v>
      </c>
      <c r="D798" t="s">
        <v>132</v>
      </c>
      <c r="E798" t="s">
        <v>1205</v>
      </c>
      <c r="F798" s="1">
        <v>45589</v>
      </c>
      <c r="G798" s="34" t="str">
        <f t="shared" si="12"/>
        <v>Oct</v>
      </c>
      <c r="H798">
        <v>2</v>
      </c>
      <c r="I798" t="s">
        <v>1242</v>
      </c>
      <c r="J798" t="s">
        <v>1220</v>
      </c>
      <c r="K798">
        <v>0.1</v>
      </c>
      <c r="L798">
        <v>32.299999999999997</v>
      </c>
      <c r="M798">
        <v>323</v>
      </c>
      <c r="N798">
        <v>290.7</v>
      </c>
      <c r="O798" t="s">
        <v>13</v>
      </c>
    </row>
    <row r="799" spans="1:15" x14ac:dyDescent="0.25">
      <c r="A799">
        <v>1431</v>
      </c>
      <c r="B799">
        <v>3198</v>
      </c>
      <c r="C799" t="s">
        <v>370</v>
      </c>
      <c r="D799" t="s">
        <v>371</v>
      </c>
      <c r="E799" t="s">
        <v>1249</v>
      </c>
      <c r="F799" s="1">
        <v>45589</v>
      </c>
      <c r="G799" s="34" t="str">
        <f t="shared" si="12"/>
        <v>Oct</v>
      </c>
      <c r="H799">
        <v>2</v>
      </c>
      <c r="I799" t="s">
        <v>1242</v>
      </c>
      <c r="J799" t="s">
        <v>1233</v>
      </c>
      <c r="K799">
        <v>0.25</v>
      </c>
      <c r="L799">
        <v>303.5</v>
      </c>
      <c r="M799">
        <v>1214</v>
      </c>
      <c r="N799">
        <v>910.5</v>
      </c>
      <c r="O799" t="s">
        <v>19</v>
      </c>
    </row>
    <row r="800" spans="1:15" x14ac:dyDescent="0.25">
      <c r="A800">
        <v>1776</v>
      </c>
      <c r="B800">
        <v>3544</v>
      </c>
      <c r="C800" t="s">
        <v>799</v>
      </c>
      <c r="D800" t="s">
        <v>800</v>
      </c>
      <c r="E800" t="s">
        <v>1208</v>
      </c>
      <c r="F800" s="1">
        <v>45589</v>
      </c>
      <c r="G800" s="34" t="str">
        <f t="shared" si="12"/>
        <v>Oct</v>
      </c>
      <c r="H800">
        <v>1</v>
      </c>
      <c r="I800" t="s">
        <v>1243</v>
      </c>
      <c r="J800" t="s">
        <v>1216</v>
      </c>
      <c r="K800">
        <v>0.3</v>
      </c>
      <c r="L800">
        <v>345.3</v>
      </c>
      <c r="M800">
        <v>1151</v>
      </c>
      <c r="N800">
        <v>805.7</v>
      </c>
      <c r="O800" t="s">
        <v>13</v>
      </c>
    </row>
    <row r="801" spans="1:15" x14ac:dyDescent="0.25">
      <c r="A801">
        <v>2120</v>
      </c>
      <c r="B801">
        <v>3889</v>
      </c>
      <c r="C801" t="s">
        <v>186</v>
      </c>
      <c r="D801" t="s">
        <v>1118</v>
      </c>
      <c r="E801" t="s">
        <v>1249</v>
      </c>
      <c r="F801" s="1">
        <v>45589</v>
      </c>
      <c r="G801" s="34" t="str">
        <f t="shared" si="12"/>
        <v>Oct</v>
      </c>
      <c r="H801">
        <v>1</v>
      </c>
      <c r="I801" t="s">
        <v>1242</v>
      </c>
      <c r="J801" t="s">
        <v>1218</v>
      </c>
      <c r="K801">
        <v>0.25</v>
      </c>
      <c r="L801">
        <v>373.25</v>
      </c>
      <c r="M801">
        <v>1493</v>
      </c>
      <c r="N801">
        <v>1119.75</v>
      </c>
      <c r="O801" t="s">
        <v>19</v>
      </c>
    </row>
    <row r="802" spans="1:15" x14ac:dyDescent="0.25">
      <c r="A802">
        <v>2221</v>
      </c>
      <c r="B802">
        <v>3990</v>
      </c>
      <c r="C802" t="s">
        <v>1193</v>
      </c>
      <c r="D802" t="s">
        <v>980</v>
      </c>
      <c r="E802" t="s">
        <v>1249</v>
      </c>
      <c r="F802" s="1">
        <v>45589</v>
      </c>
      <c r="G802" s="34" t="str">
        <f t="shared" si="12"/>
        <v>Oct</v>
      </c>
      <c r="H802">
        <v>3</v>
      </c>
      <c r="I802" t="s">
        <v>1242</v>
      </c>
      <c r="J802" t="s">
        <v>1222</v>
      </c>
      <c r="K802">
        <v>0.25</v>
      </c>
      <c r="L802">
        <v>88.25</v>
      </c>
      <c r="M802">
        <v>353</v>
      </c>
      <c r="N802">
        <v>264.75</v>
      </c>
      <c r="O802" t="s">
        <v>15</v>
      </c>
    </row>
    <row r="803" spans="1:15" x14ac:dyDescent="0.25">
      <c r="A803">
        <v>1583</v>
      </c>
      <c r="B803">
        <v>3350</v>
      </c>
      <c r="C803" t="s">
        <v>582</v>
      </c>
      <c r="D803" t="s">
        <v>583</v>
      </c>
      <c r="E803" t="s">
        <v>1203</v>
      </c>
      <c r="F803" s="1">
        <v>45590</v>
      </c>
      <c r="G803" s="34" t="str">
        <f t="shared" si="12"/>
        <v>Oct</v>
      </c>
      <c r="H803">
        <v>2</v>
      </c>
      <c r="I803" t="s">
        <v>1242</v>
      </c>
      <c r="J803" t="s">
        <v>1224</v>
      </c>
      <c r="K803">
        <v>0.3</v>
      </c>
      <c r="L803">
        <v>176.4</v>
      </c>
      <c r="M803">
        <v>588</v>
      </c>
      <c r="N803">
        <v>411.6</v>
      </c>
      <c r="O803" t="s">
        <v>13</v>
      </c>
    </row>
    <row r="804" spans="1:15" x14ac:dyDescent="0.25">
      <c r="A804">
        <v>2106</v>
      </c>
      <c r="B804">
        <v>3875</v>
      </c>
      <c r="C804" t="s">
        <v>1103</v>
      </c>
      <c r="D804" t="s">
        <v>723</v>
      </c>
      <c r="E804" t="s">
        <v>1248</v>
      </c>
      <c r="F804" s="1">
        <v>45590</v>
      </c>
      <c r="G804" s="34" t="str">
        <f t="shared" si="12"/>
        <v>Oct</v>
      </c>
      <c r="H804">
        <v>1</v>
      </c>
      <c r="I804" t="s">
        <v>18</v>
      </c>
      <c r="J804" t="s">
        <v>1228</v>
      </c>
      <c r="K804">
        <v>0.25</v>
      </c>
      <c r="L804">
        <v>302</v>
      </c>
      <c r="M804">
        <v>1208</v>
      </c>
      <c r="N804">
        <v>906</v>
      </c>
      <c r="O804" t="s">
        <v>13</v>
      </c>
    </row>
    <row r="805" spans="1:15" x14ac:dyDescent="0.25">
      <c r="A805">
        <v>1241</v>
      </c>
      <c r="B805">
        <v>3008</v>
      </c>
      <c r="C805" t="s">
        <v>40</v>
      </c>
      <c r="D805" t="s">
        <v>41</v>
      </c>
      <c r="E805" t="s">
        <v>1208</v>
      </c>
      <c r="F805" s="1">
        <v>45591</v>
      </c>
      <c r="G805" s="34" t="str">
        <f t="shared" si="12"/>
        <v>Oct</v>
      </c>
      <c r="H805">
        <v>2</v>
      </c>
      <c r="I805" t="s">
        <v>14</v>
      </c>
      <c r="J805" t="s">
        <v>1214</v>
      </c>
      <c r="K805">
        <v>0.3</v>
      </c>
      <c r="L805">
        <v>357.9</v>
      </c>
      <c r="M805">
        <v>1193</v>
      </c>
      <c r="N805">
        <v>835.1</v>
      </c>
      <c r="O805" t="s">
        <v>16</v>
      </c>
    </row>
    <row r="806" spans="1:15" x14ac:dyDescent="0.25">
      <c r="A806">
        <v>1628</v>
      </c>
      <c r="B806">
        <v>3396</v>
      </c>
      <c r="C806" t="s">
        <v>633</v>
      </c>
      <c r="D806" t="s">
        <v>634</v>
      </c>
      <c r="E806" t="s">
        <v>1208</v>
      </c>
      <c r="F806" s="1">
        <v>45591</v>
      </c>
      <c r="G806" s="34" t="str">
        <f t="shared" si="12"/>
        <v>Oct</v>
      </c>
      <c r="H806">
        <v>1</v>
      </c>
      <c r="I806" t="s">
        <v>1242</v>
      </c>
      <c r="J806" t="s">
        <v>1220</v>
      </c>
      <c r="K806">
        <v>0.3</v>
      </c>
      <c r="L806">
        <v>269.10000000000002</v>
      </c>
      <c r="M806">
        <v>897</v>
      </c>
      <c r="N806">
        <v>627.9</v>
      </c>
      <c r="O806" t="s">
        <v>1200</v>
      </c>
    </row>
    <row r="807" spans="1:15" x14ac:dyDescent="0.25">
      <c r="A807">
        <v>1653</v>
      </c>
      <c r="B807">
        <v>3421</v>
      </c>
      <c r="C807" t="s">
        <v>279</v>
      </c>
      <c r="D807" t="s">
        <v>37</v>
      </c>
      <c r="E807" t="s">
        <v>1208</v>
      </c>
      <c r="F807" s="1">
        <v>45591</v>
      </c>
      <c r="G807" s="34" t="str">
        <f t="shared" si="12"/>
        <v>Oct</v>
      </c>
      <c r="H807">
        <v>2</v>
      </c>
      <c r="I807" t="s">
        <v>1243</v>
      </c>
      <c r="J807" t="s">
        <v>1214</v>
      </c>
      <c r="K807">
        <v>0.3</v>
      </c>
      <c r="L807">
        <v>514.20000000000005</v>
      </c>
      <c r="M807">
        <v>1714</v>
      </c>
      <c r="N807">
        <v>1199.8</v>
      </c>
      <c r="O807" t="s">
        <v>19</v>
      </c>
    </row>
    <row r="808" spans="1:15" x14ac:dyDescent="0.25">
      <c r="A808">
        <v>1686</v>
      </c>
      <c r="B808">
        <v>3454</v>
      </c>
      <c r="C808" t="s">
        <v>190</v>
      </c>
      <c r="D808" t="s">
        <v>706</v>
      </c>
      <c r="E808" t="s">
        <v>1249</v>
      </c>
      <c r="F808" s="1">
        <v>45591</v>
      </c>
      <c r="G808" s="34" t="str">
        <f t="shared" si="12"/>
        <v>Oct</v>
      </c>
      <c r="H808">
        <v>2</v>
      </c>
      <c r="I808" t="s">
        <v>14</v>
      </c>
      <c r="J808" t="s">
        <v>1233</v>
      </c>
      <c r="K808">
        <v>0.25</v>
      </c>
      <c r="L808">
        <v>254.25</v>
      </c>
      <c r="M808">
        <v>1017</v>
      </c>
      <c r="N808">
        <v>762.75</v>
      </c>
      <c r="O808" t="s">
        <v>13</v>
      </c>
    </row>
    <row r="809" spans="1:15" x14ac:dyDescent="0.25">
      <c r="A809">
        <v>1949</v>
      </c>
      <c r="B809">
        <v>3717</v>
      </c>
      <c r="C809" t="s">
        <v>978</v>
      </c>
      <c r="D809" t="s">
        <v>979</v>
      </c>
      <c r="E809" t="s">
        <v>1208</v>
      </c>
      <c r="F809" s="1">
        <v>45591</v>
      </c>
      <c r="G809" s="34" t="str">
        <f t="shared" si="12"/>
        <v>Oct</v>
      </c>
      <c r="H809">
        <v>3</v>
      </c>
      <c r="I809" t="s">
        <v>1242</v>
      </c>
      <c r="J809" t="s">
        <v>1218</v>
      </c>
      <c r="K809">
        <v>0.3</v>
      </c>
      <c r="L809">
        <v>523.20000000000005</v>
      </c>
      <c r="M809">
        <v>1744</v>
      </c>
      <c r="N809">
        <v>1220.8</v>
      </c>
      <c r="O809" t="s">
        <v>15</v>
      </c>
    </row>
    <row r="810" spans="1:15" x14ac:dyDescent="0.25">
      <c r="A810">
        <v>1996</v>
      </c>
      <c r="B810">
        <v>3764</v>
      </c>
      <c r="C810" t="s">
        <v>1013</v>
      </c>
      <c r="D810" t="s">
        <v>1010</v>
      </c>
      <c r="E810" t="s">
        <v>1207</v>
      </c>
      <c r="F810" s="1">
        <v>45591</v>
      </c>
      <c r="G810" s="34" t="str">
        <f t="shared" si="12"/>
        <v>Oct</v>
      </c>
      <c r="H810">
        <v>2</v>
      </c>
      <c r="I810" t="s">
        <v>1242</v>
      </c>
      <c r="J810" t="s">
        <v>1222</v>
      </c>
      <c r="K810">
        <v>0.2</v>
      </c>
      <c r="L810">
        <v>149</v>
      </c>
      <c r="M810">
        <v>745</v>
      </c>
      <c r="N810">
        <v>596</v>
      </c>
      <c r="O810" t="s">
        <v>16</v>
      </c>
    </row>
    <row r="811" spans="1:15" x14ac:dyDescent="0.25">
      <c r="A811">
        <v>2006</v>
      </c>
      <c r="B811">
        <v>3774</v>
      </c>
      <c r="C811" t="s">
        <v>819</v>
      </c>
      <c r="D811" t="s">
        <v>176</v>
      </c>
      <c r="E811" t="s">
        <v>1207</v>
      </c>
      <c r="F811" s="1">
        <v>45591</v>
      </c>
      <c r="G811" s="34" t="str">
        <f t="shared" si="12"/>
        <v>Oct</v>
      </c>
      <c r="H811">
        <v>3</v>
      </c>
      <c r="I811" t="s">
        <v>1242</v>
      </c>
      <c r="J811" t="s">
        <v>1218</v>
      </c>
      <c r="K811">
        <v>0.2</v>
      </c>
      <c r="L811">
        <v>93.6</v>
      </c>
      <c r="M811">
        <v>468</v>
      </c>
      <c r="N811">
        <v>374.4</v>
      </c>
      <c r="O811" t="s">
        <v>19</v>
      </c>
    </row>
    <row r="812" spans="1:15" x14ac:dyDescent="0.25">
      <c r="A812">
        <v>2152</v>
      </c>
      <c r="B812">
        <v>3921</v>
      </c>
      <c r="C812" t="s">
        <v>1149</v>
      </c>
      <c r="D812" t="s">
        <v>1150</v>
      </c>
      <c r="E812" t="s">
        <v>1249</v>
      </c>
      <c r="F812" s="1">
        <v>45591</v>
      </c>
      <c r="G812" s="34" t="str">
        <f t="shared" si="12"/>
        <v>Oct</v>
      </c>
      <c r="H812">
        <v>3</v>
      </c>
      <c r="I812" t="s">
        <v>14</v>
      </c>
      <c r="J812" t="s">
        <v>1214</v>
      </c>
      <c r="K812">
        <v>0.25</v>
      </c>
      <c r="L812">
        <v>354.5</v>
      </c>
      <c r="M812">
        <v>1418</v>
      </c>
      <c r="N812">
        <v>1063.5</v>
      </c>
      <c r="O812" t="s">
        <v>16</v>
      </c>
    </row>
    <row r="813" spans="1:15" x14ac:dyDescent="0.25">
      <c r="A813">
        <v>2199</v>
      </c>
      <c r="B813">
        <v>3968</v>
      </c>
      <c r="C813" t="s">
        <v>144</v>
      </c>
      <c r="D813" t="s">
        <v>1177</v>
      </c>
      <c r="E813" t="s">
        <v>1205</v>
      </c>
      <c r="F813" s="1">
        <v>45591</v>
      </c>
      <c r="G813" s="34" t="str">
        <f t="shared" si="12"/>
        <v>Oct</v>
      </c>
      <c r="H813">
        <v>1</v>
      </c>
      <c r="I813" t="s">
        <v>1242</v>
      </c>
      <c r="J813" t="s">
        <v>1224</v>
      </c>
      <c r="K813">
        <v>0.1</v>
      </c>
      <c r="L813">
        <v>99.4</v>
      </c>
      <c r="M813">
        <v>994</v>
      </c>
      <c r="N813">
        <v>894.6</v>
      </c>
      <c r="O813" t="s">
        <v>13</v>
      </c>
    </row>
    <row r="814" spans="1:15" x14ac:dyDescent="0.25">
      <c r="A814">
        <v>1760</v>
      </c>
      <c r="B814">
        <v>3528</v>
      </c>
      <c r="C814" t="s">
        <v>787</v>
      </c>
      <c r="D814" t="s">
        <v>313</v>
      </c>
      <c r="E814" t="s">
        <v>1207</v>
      </c>
      <c r="F814" s="1">
        <v>45592</v>
      </c>
      <c r="G814" s="34" t="str">
        <f t="shared" si="12"/>
        <v>Oct</v>
      </c>
      <c r="H814">
        <v>1</v>
      </c>
      <c r="I814" t="s">
        <v>18</v>
      </c>
      <c r="J814" t="s">
        <v>1233</v>
      </c>
      <c r="K814">
        <v>0.2</v>
      </c>
      <c r="L814">
        <v>153.4</v>
      </c>
      <c r="M814">
        <v>767</v>
      </c>
      <c r="N814">
        <v>613.6</v>
      </c>
      <c r="O814" t="s">
        <v>15</v>
      </c>
    </row>
    <row r="815" spans="1:15" x14ac:dyDescent="0.25">
      <c r="A815">
        <v>1807</v>
      </c>
      <c r="B815">
        <v>3575</v>
      </c>
      <c r="C815" t="s">
        <v>441</v>
      </c>
      <c r="D815" t="s">
        <v>834</v>
      </c>
      <c r="E815" t="s">
        <v>1207</v>
      </c>
      <c r="F815" s="1">
        <v>45592</v>
      </c>
      <c r="G815" s="34" t="str">
        <f t="shared" si="12"/>
        <v>Oct</v>
      </c>
      <c r="H815">
        <v>1</v>
      </c>
      <c r="I815" t="s">
        <v>1243</v>
      </c>
      <c r="J815" t="s">
        <v>1220</v>
      </c>
      <c r="K815">
        <v>0.2</v>
      </c>
      <c r="L815">
        <v>185.8</v>
      </c>
      <c r="M815">
        <v>929</v>
      </c>
      <c r="N815">
        <v>743.2</v>
      </c>
      <c r="O815" t="s">
        <v>19</v>
      </c>
    </row>
    <row r="816" spans="1:15" x14ac:dyDescent="0.25">
      <c r="A816">
        <v>2140</v>
      </c>
      <c r="B816">
        <v>3909</v>
      </c>
      <c r="C816" t="s">
        <v>480</v>
      </c>
      <c r="D816" t="s">
        <v>676</v>
      </c>
      <c r="E816" t="s">
        <v>1207</v>
      </c>
      <c r="F816" s="1">
        <v>45592</v>
      </c>
      <c r="G816" s="34" t="str">
        <f t="shared" si="12"/>
        <v>Oct</v>
      </c>
      <c r="H816">
        <v>1</v>
      </c>
      <c r="I816" t="s">
        <v>14</v>
      </c>
      <c r="J816" t="s">
        <v>1216</v>
      </c>
      <c r="K816">
        <v>0.2</v>
      </c>
      <c r="L816">
        <v>115.6</v>
      </c>
      <c r="M816">
        <v>578</v>
      </c>
      <c r="N816">
        <v>462.4</v>
      </c>
      <c r="O816" t="s">
        <v>13</v>
      </c>
    </row>
    <row r="817" spans="1:15" x14ac:dyDescent="0.25">
      <c r="A817">
        <v>2168</v>
      </c>
      <c r="B817">
        <v>3937</v>
      </c>
      <c r="C817" t="s">
        <v>705</v>
      </c>
      <c r="D817" t="s">
        <v>1160</v>
      </c>
      <c r="E817" t="s">
        <v>1248</v>
      </c>
      <c r="F817" s="1">
        <v>45592</v>
      </c>
      <c r="G817" s="34" t="str">
        <f t="shared" si="12"/>
        <v>Oct</v>
      </c>
      <c r="H817">
        <v>1</v>
      </c>
      <c r="I817" t="s">
        <v>18</v>
      </c>
      <c r="J817" t="s">
        <v>1218</v>
      </c>
      <c r="K817">
        <v>0.25</v>
      </c>
      <c r="L817">
        <v>211</v>
      </c>
      <c r="M817">
        <v>844</v>
      </c>
      <c r="N817">
        <v>633</v>
      </c>
      <c r="O817" t="s">
        <v>13</v>
      </c>
    </row>
    <row r="818" spans="1:15" x14ac:dyDescent="0.25">
      <c r="A818">
        <v>1719</v>
      </c>
      <c r="B818">
        <v>3487</v>
      </c>
      <c r="C818" t="s">
        <v>744</v>
      </c>
      <c r="D818" t="s">
        <v>471</v>
      </c>
      <c r="E818" t="s">
        <v>1205</v>
      </c>
      <c r="F818" s="1">
        <v>45593</v>
      </c>
      <c r="G818" s="34" t="str">
        <f t="shared" si="12"/>
        <v>Oct</v>
      </c>
      <c r="H818">
        <v>2</v>
      </c>
      <c r="I818" t="s">
        <v>1242</v>
      </c>
      <c r="J818" t="s">
        <v>1216</v>
      </c>
      <c r="K818">
        <v>0.1</v>
      </c>
      <c r="L818">
        <v>86.5</v>
      </c>
      <c r="M818">
        <v>865</v>
      </c>
      <c r="N818">
        <v>778.5</v>
      </c>
      <c r="O818" t="s">
        <v>15</v>
      </c>
    </row>
    <row r="819" spans="1:15" x14ac:dyDescent="0.25">
      <c r="A819">
        <v>1303</v>
      </c>
      <c r="B819">
        <v>3070</v>
      </c>
      <c r="C819" t="s">
        <v>158</v>
      </c>
      <c r="D819" t="s">
        <v>159</v>
      </c>
      <c r="E819" t="s">
        <v>1249</v>
      </c>
      <c r="F819" s="1">
        <v>45594</v>
      </c>
      <c r="G819" s="34" t="str">
        <f t="shared" si="12"/>
        <v>Oct</v>
      </c>
      <c r="H819">
        <v>2</v>
      </c>
      <c r="I819" t="s">
        <v>14</v>
      </c>
      <c r="J819" t="s">
        <v>1218</v>
      </c>
      <c r="K819">
        <v>0.25</v>
      </c>
      <c r="L819">
        <v>394.5</v>
      </c>
      <c r="M819">
        <v>1578</v>
      </c>
      <c r="N819">
        <v>1183.5</v>
      </c>
      <c r="O819" t="s">
        <v>15</v>
      </c>
    </row>
    <row r="820" spans="1:15" x14ac:dyDescent="0.25">
      <c r="A820">
        <v>1531</v>
      </c>
      <c r="B820">
        <v>3298</v>
      </c>
      <c r="C820" t="s">
        <v>512</v>
      </c>
      <c r="D820" t="s">
        <v>513</v>
      </c>
      <c r="E820" t="s">
        <v>1205</v>
      </c>
      <c r="F820" s="1">
        <v>45594</v>
      </c>
      <c r="G820" s="34" t="str">
        <f t="shared" si="12"/>
        <v>Oct</v>
      </c>
      <c r="H820">
        <v>1</v>
      </c>
      <c r="I820" t="s">
        <v>14</v>
      </c>
      <c r="J820" t="s">
        <v>1233</v>
      </c>
      <c r="K820">
        <v>0.1</v>
      </c>
      <c r="L820">
        <v>121</v>
      </c>
      <c r="M820">
        <v>1210</v>
      </c>
      <c r="N820">
        <v>1089</v>
      </c>
      <c r="O820" t="s">
        <v>16</v>
      </c>
    </row>
    <row r="821" spans="1:15" x14ac:dyDescent="0.25">
      <c r="A821">
        <v>2021</v>
      </c>
      <c r="B821">
        <v>3789</v>
      </c>
      <c r="C821" t="s">
        <v>1029</v>
      </c>
      <c r="D821" t="s">
        <v>769</v>
      </c>
      <c r="E821" t="s">
        <v>1248</v>
      </c>
      <c r="F821" s="1">
        <v>45594</v>
      </c>
      <c r="G821" s="34" t="str">
        <f t="shared" si="12"/>
        <v>Oct</v>
      </c>
      <c r="H821">
        <v>1</v>
      </c>
      <c r="I821" t="s">
        <v>1243</v>
      </c>
      <c r="J821" t="s">
        <v>1222</v>
      </c>
      <c r="K821">
        <v>0.25</v>
      </c>
      <c r="L821">
        <v>262.25</v>
      </c>
      <c r="M821">
        <v>1049</v>
      </c>
      <c r="N821">
        <v>786.75</v>
      </c>
      <c r="O821" t="s">
        <v>19</v>
      </c>
    </row>
    <row r="822" spans="1:15" x14ac:dyDescent="0.25">
      <c r="A822">
        <v>1825</v>
      </c>
      <c r="B822">
        <v>3593</v>
      </c>
      <c r="C822" t="s">
        <v>608</v>
      </c>
      <c r="D822" t="s">
        <v>851</v>
      </c>
      <c r="E822" t="s">
        <v>1207</v>
      </c>
      <c r="F822" s="1">
        <v>45595</v>
      </c>
      <c r="G822" s="34" t="str">
        <f t="shared" si="12"/>
        <v>Oct</v>
      </c>
      <c r="H822">
        <v>2</v>
      </c>
      <c r="I822" t="s">
        <v>18</v>
      </c>
      <c r="J822" t="s">
        <v>1218</v>
      </c>
      <c r="K822">
        <v>0.2</v>
      </c>
      <c r="L822">
        <v>105.8</v>
      </c>
      <c r="M822">
        <v>529</v>
      </c>
      <c r="N822">
        <v>423.2</v>
      </c>
      <c r="O822" t="s">
        <v>15</v>
      </c>
    </row>
    <row r="823" spans="1:15" x14ac:dyDescent="0.25">
      <c r="A823">
        <v>1436</v>
      </c>
      <c r="B823">
        <v>3203</v>
      </c>
      <c r="C823" t="s">
        <v>378</v>
      </c>
      <c r="D823" t="s">
        <v>253</v>
      </c>
      <c r="E823" t="s">
        <v>1249</v>
      </c>
      <c r="F823" s="1">
        <v>45596</v>
      </c>
      <c r="G823" s="34" t="str">
        <f t="shared" si="12"/>
        <v>Oct</v>
      </c>
      <c r="H823">
        <v>2</v>
      </c>
      <c r="I823" t="s">
        <v>1243</v>
      </c>
      <c r="J823" t="s">
        <v>1216</v>
      </c>
      <c r="K823">
        <v>0.25</v>
      </c>
      <c r="L823">
        <v>238.5</v>
      </c>
      <c r="M823">
        <v>954</v>
      </c>
      <c r="N823">
        <v>715.5</v>
      </c>
      <c r="O823" t="s">
        <v>16</v>
      </c>
    </row>
    <row r="824" spans="1:15" x14ac:dyDescent="0.25">
      <c r="A824">
        <v>1499</v>
      </c>
      <c r="B824">
        <v>3266</v>
      </c>
      <c r="C824" t="s">
        <v>118</v>
      </c>
      <c r="D824" t="s">
        <v>473</v>
      </c>
      <c r="E824" t="s">
        <v>1249</v>
      </c>
      <c r="F824" s="1">
        <v>45596</v>
      </c>
      <c r="G824" s="34" t="str">
        <f t="shared" si="12"/>
        <v>Oct</v>
      </c>
      <c r="H824">
        <v>3</v>
      </c>
      <c r="I824" t="s">
        <v>1242</v>
      </c>
      <c r="J824" t="s">
        <v>1220</v>
      </c>
      <c r="K824">
        <v>0.25</v>
      </c>
      <c r="L824">
        <v>86</v>
      </c>
      <c r="M824">
        <v>344</v>
      </c>
      <c r="N824">
        <v>258</v>
      </c>
      <c r="O824" t="s">
        <v>13</v>
      </c>
    </row>
    <row r="825" spans="1:15" x14ac:dyDescent="0.25">
      <c r="A825">
        <v>2192</v>
      </c>
      <c r="B825">
        <v>3961</v>
      </c>
      <c r="C825" t="s">
        <v>214</v>
      </c>
      <c r="D825" t="s">
        <v>239</v>
      </c>
      <c r="E825" t="s">
        <v>1203</v>
      </c>
      <c r="F825" s="1">
        <v>45596</v>
      </c>
      <c r="G825" s="34" t="str">
        <f t="shared" si="12"/>
        <v>Oct</v>
      </c>
      <c r="H825">
        <v>3</v>
      </c>
      <c r="I825" t="s">
        <v>1242</v>
      </c>
      <c r="J825" t="s">
        <v>1222</v>
      </c>
      <c r="K825">
        <v>0.3</v>
      </c>
      <c r="L825">
        <v>531</v>
      </c>
      <c r="M825">
        <v>1770</v>
      </c>
      <c r="N825">
        <v>1239</v>
      </c>
      <c r="O825" t="s">
        <v>1200</v>
      </c>
    </row>
    <row r="826" spans="1:15" x14ac:dyDescent="0.25">
      <c r="A826">
        <v>1286</v>
      </c>
      <c r="B826">
        <v>3053</v>
      </c>
      <c r="C826" t="s">
        <v>128</v>
      </c>
      <c r="D826" t="s">
        <v>129</v>
      </c>
      <c r="E826" t="s">
        <v>1203</v>
      </c>
      <c r="F826" s="1">
        <v>45597</v>
      </c>
      <c r="G826" s="34" t="str">
        <f t="shared" si="12"/>
        <v>Nov</v>
      </c>
      <c r="H826">
        <v>1</v>
      </c>
      <c r="I826" t="s">
        <v>1242</v>
      </c>
      <c r="J826" t="s">
        <v>1218</v>
      </c>
      <c r="K826">
        <v>0.3</v>
      </c>
      <c r="L826">
        <v>125.4</v>
      </c>
      <c r="M826">
        <v>418</v>
      </c>
      <c r="N826">
        <v>292.60000000000002</v>
      </c>
      <c r="O826" t="s">
        <v>13</v>
      </c>
    </row>
    <row r="827" spans="1:15" x14ac:dyDescent="0.25">
      <c r="A827">
        <v>1640</v>
      </c>
      <c r="B827">
        <v>3408</v>
      </c>
      <c r="C827" t="s">
        <v>646</v>
      </c>
      <c r="D827" t="s">
        <v>647</v>
      </c>
      <c r="E827" t="s">
        <v>1207</v>
      </c>
      <c r="F827" s="1">
        <v>45597</v>
      </c>
      <c r="G827" s="34" t="str">
        <f t="shared" si="12"/>
        <v>Nov</v>
      </c>
      <c r="H827">
        <v>3</v>
      </c>
      <c r="I827" t="s">
        <v>1242</v>
      </c>
      <c r="J827" t="s">
        <v>1228</v>
      </c>
      <c r="K827">
        <v>0.2</v>
      </c>
      <c r="L827">
        <v>295</v>
      </c>
      <c r="M827">
        <v>1475</v>
      </c>
      <c r="N827">
        <v>1180</v>
      </c>
      <c r="O827" t="s">
        <v>19</v>
      </c>
    </row>
    <row r="828" spans="1:15" x14ac:dyDescent="0.25">
      <c r="A828">
        <v>2044</v>
      </c>
      <c r="B828">
        <v>3812</v>
      </c>
      <c r="C828" t="s">
        <v>176</v>
      </c>
      <c r="D828" t="s">
        <v>1049</v>
      </c>
      <c r="E828" t="s">
        <v>1205</v>
      </c>
      <c r="F828" s="1">
        <v>45597</v>
      </c>
      <c r="G828" s="34" t="str">
        <f t="shared" si="12"/>
        <v>Nov</v>
      </c>
      <c r="H828">
        <v>1</v>
      </c>
      <c r="I828" t="s">
        <v>14</v>
      </c>
      <c r="J828" t="s">
        <v>1220</v>
      </c>
      <c r="K828">
        <v>0.1</v>
      </c>
      <c r="L828">
        <v>20.3</v>
      </c>
      <c r="M828">
        <v>203</v>
      </c>
      <c r="N828">
        <v>182.7</v>
      </c>
      <c r="O828" t="s">
        <v>1200</v>
      </c>
    </row>
    <row r="829" spans="1:15" x14ac:dyDescent="0.25">
      <c r="A829">
        <v>1408</v>
      </c>
      <c r="B829">
        <v>3175</v>
      </c>
      <c r="C829" t="s">
        <v>200</v>
      </c>
      <c r="D829" t="s">
        <v>332</v>
      </c>
      <c r="E829" t="s">
        <v>1208</v>
      </c>
      <c r="F829" s="1">
        <v>45598</v>
      </c>
      <c r="G829" s="34" t="str">
        <f t="shared" si="12"/>
        <v>Nov</v>
      </c>
      <c r="H829">
        <v>3</v>
      </c>
      <c r="I829" t="s">
        <v>18</v>
      </c>
      <c r="J829" t="s">
        <v>1218</v>
      </c>
      <c r="K829">
        <v>0.3</v>
      </c>
      <c r="L829">
        <v>159.30000000000001</v>
      </c>
      <c r="M829">
        <v>531</v>
      </c>
      <c r="N829">
        <v>371.7</v>
      </c>
      <c r="O829" t="s">
        <v>16</v>
      </c>
    </row>
    <row r="830" spans="1:15" x14ac:dyDescent="0.25">
      <c r="A830">
        <v>1413</v>
      </c>
      <c r="B830">
        <v>3180</v>
      </c>
      <c r="C830" t="s">
        <v>339</v>
      </c>
      <c r="D830" t="s">
        <v>340</v>
      </c>
      <c r="E830" t="s">
        <v>1248</v>
      </c>
      <c r="F830" s="1">
        <v>45599</v>
      </c>
      <c r="G830" s="34" t="str">
        <f t="shared" si="12"/>
        <v>Nov</v>
      </c>
      <c r="H830">
        <v>1</v>
      </c>
      <c r="I830" t="s">
        <v>14</v>
      </c>
      <c r="J830" t="s">
        <v>1224</v>
      </c>
      <c r="K830">
        <v>0.25</v>
      </c>
      <c r="L830">
        <v>242</v>
      </c>
      <c r="M830">
        <v>968</v>
      </c>
      <c r="N830">
        <v>726</v>
      </c>
      <c r="O830" t="s">
        <v>16</v>
      </c>
    </row>
    <row r="831" spans="1:15" x14ac:dyDescent="0.25">
      <c r="A831">
        <v>1454</v>
      </c>
      <c r="B831">
        <v>3221</v>
      </c>
      <c r="C831" t="s">
        <v>408</v>
      </c>
      <c r="D831" t="s">
        <v>409</v>
      </c>
      <c r="E831" t="s">
        <v>1203</v>
      </c>
      <c r="F831" s="1">
        <v>45599</v>
      </c>
      <c r="G831" s="34" t="str">
        <f t="shared" si="12"/>
        <v>Nov</v>
      </c>
      <c r="H831">
        <v>1</v>
      </c>
      <c r="I831" t="s">
        <v>1243</v>
      </c>
      <c r="J831" t="s">
        <v>1224</v>
      </c>
      <c r="K831">
        <v>0.3</v>
      </c>
      <c r="L831">
        <v>26.1</v>
      </c>
      <c r="M831">
        <v>87</v>
      </c>
      <c r="N831">
        <v>60.9</v>
      </c>
      <c r="O831" t="s">
        <v>1200</v>
      </c>
    </row>
    <row r="832" spans="1:15" x14ac:dyDescent="0.25">
      <c r="A832">
        <v>1466</v>
      </c>
      <c r="B832">
        <v>3233</v>
      </c>
      <c r="C832" t="s">
        <v>426</v>
      </c>
      <c r="D832" t="s">
        <v>377</v>
      </c>
      <c r="E832" t="s">
        <v>1205</v>
      </c>
      <c r="F832" s="1">
        <v>45599</v>
      </c>
      <c r="G832" s="34" t="str">
        <f t="shared" si="12"/>
        <v>Nov</v>
      </c>
      <c r="H832">
        <v>2</v>
      </c>
      <c r="I832" t="s">
        <v>14</v>
      </c>
      <c r="J832" t="s">
        <v>1216</v>
      </c>
      <c r="K832">
        <v>0.1</v>
      </c>
      <c r="L832">
        <v>54.3</v>
      </c>
      <c r="M832">
        <v>543</v>
      </c>
      <c r="N832">
        <v>488.7</v>
      </c>
      <c r="O832" t="s">
        <v>13</v>
      </c>
    </row>
    <row r="833" spans="1:15" x14ac:dyDescent="0.25">
      <c r="A833">
        <v>1984</v>
      </c>
      <c r="B833">
        <v>3752</v>
      </c>
      <c r="C833" t="s">
        <v>1002</v>
      </c>
      <c r="D833" t="s">
        <v>1003</v>
      </c>
      <c r="E833" t="s">
        <v>1249</v>
      </c>
      <c r="F833" s="1">
        <v>45599</v>
      </c>
      <c r="G833" s="34" t="str">
        <f t="shared" si="12"/>
        <v>Nov</v>
      </c>
      <c r="H833">
        <v>1</v>
      </c>
      <c r="I833" t="s">
        <v>1243</v>
      </c>
      <c r="J833" t="s">
        <v>1224</v>
      </c>
      <c r="K833">
        <v>0.25</v>
      </c>
      <c r="L833">
        <v>88.25</v>
      </c>
      <c r="M833">
        <v>353</v>
      </c>
      <c r="N833">
        <v>264.75</v>
      </c>
      <c r="O833" t="s">
        <v>1200</v>
      </c>
    </row>
    <row r="834" spans="1:15" x14ac:dyDescent="0.25">
      <c r="A834">
        <v>2113</v>
      </c>
      <c r="B834">
        <v>3882</v>
      </c>
      <c r="C834" t="s">
        <v>1112</v>
      </c>
      <c r="D834" t="s">
        <v>1113</v>
      </c>
      <c r="E834" t="s">
        <v>1249</v>
      </c>
      <c r="F834" s="1">
        <v>45599</v>
      </c>
      <c r="G834" s="34" t="str">
        <f t="shared" ref="G834:G897" si="13">TEXT(F834, "MMM")</f>
        <v>Nov</v>
      </c>
      <c r="H834">
        <v>1</v>
      </c>
      <c r="I834" t="s">
        <v>1242</v>
      </c>
      <c r="J834" t="s">
        <v>1220</v>
      </c>
      <c r="K834">
        <v>0.25</v>
      </c>
      <c r="L834">
        <v>65.5</v>
      </c>
      <c r="M834">
        <v>262</v>
      </c>
      <c r="N834">
        <v>196.5</v>
      </c>
      <c r="O834" t="s">
        <v>19</v>
      </c>
    </row>
    <row r="835" spans="1:15" x14ac:dyDescent="0.25">
      <c r="A835">
        <v>1958</v>
      </c>
      <c r="B835">
        <v>3726</v>
      </c>
      <c r="C835" t="s">
        <v>197</v>
      </c>
      <c r="D835" t="s">
        <v>266</v>
      </c>
      <c r="E835" t="s">
        <v>1205</v>
      </c>
      <c r="F835" s="1">
        <v>45600</v>
      </c>
      <c r="G835" s="34" t="str">
        <f t="shared" si="13"/>
        <v>Nov</v>
      </c>
      <c r="H835">
        <v>3</v>
      </c>
      <c r="I835" t="s">
        <v>1242</v>
      </c>
      <c r="J835" t="s">
        <v>1228</v>
      </c>
      <c r="K835">
        <v>0.1</v>
      </c>
      <c r="L835">
        <v>46.8</v>
      </c>
      <c r="M835">
        <v>468</v>
      </c>
      <c r="N835">
        <v>421.2</v>
      </c>
      <c r="O835" t="s">
        <v>15</v>
      </c>
    </row>
    <row r="836" spans="1:15" x14ac:dyDescent="0.25">
      <c r="A836">
        <v>1828</v>
      </c>
      <c r="B836">
        <v>3596</v>
      </c>
      <c r="C836" t="s">
        <v>856</v>
      </c>
      <c r="D836" t="s">
        <v>857</v>
      </c>
      <c r="E836" t="s">
        <v>1249</v>
      </c>
      <c r="F836" s="1">
        <v>45601</v>
      </c>
      <c r="G836" s="34" t="str">
        <f t="shared" si="13"/>
        <v>Nov</v>
      </c>
      <c r="H836">
        <v>2</v>
      </c>
      <c r="I836" t="s">
        <v>18</v>
      </c>
      <c r="J836" t="s">
        <v>1220</v>
      </c>
      <c r="K836">
        <v>0.25</v>
      </c>
      <c r="L836">
        <v>25</v>
      </c>
      <c r="M836">
        <v>100</v>
      </c>
      <c r="N836">
        <v>75</v>
      </c>
      <c r="O836" t="s">
        <v>15</v>
      </c>
    </row>
    <row r="837" spans="1:15" x14ac:dyDescent="0.25">
      <c r="A837">
        <v>1627</v>
      </c>
      <c r="B837">
        <v>3395</v>
      </c>
      <c r="C837" t="s">
        <v>631</v>
      </c>
      <c r="D837" t="s">
        <v>632</v>
      </c>
      <c r="E837" t="s">
        <v>1249</v>
      </c>
      <c r="F837" s="1">
        <v>45602</v>
      </c>
      <c r="G837" s="34" t="str">
        <f t="shared" si="13"/>
        <v>Nov</v>
      </c>
      <c r="H837">
        <v>1</v>
      </c>
      <c r="I837" t="s">
        <v>14</v>
      </c>
      <c r="J837" t="s">
        <v>1233</v>
      </c>
      <c r="K837">
        <v>0.25</v>
      </c>
      <c r="L837">
        <v>10.25</v>
      </c>
      <c r="M837">
        <v>41</v>
      </c>
      <c r="N837">
        <v>30.75</v>
      </c>
      <c r="O837" t="s">
        <v>16</v>
      </c>
    </row>
    <row r="838" spans="1:15" x14ac:dyDescent="0.25">
      <c r="A838">
        <v>1481</v>
      </c>
      <c r="B838">
        <v>3248</v>
      </c>
      <c r="C838" t="s">
        <v>449</v>
      </c>
      <c r="D838" t="s">
        <v>450</v>
      </c>
      <c r="E838" t="s">
        <v>1249</v>
      </c>
      <c r="F838" s="1">
        <v>45603</v>
      </c>
      <c r="G838" s="34" t="str">
        <f t="shared" si="13"/>
        <v>Nov</v>
      </c>
      <c r="H838">
        <v>1</v>
      </c>
      <c r="I838" t="s">
        <v>1242</v>
      </c>
      <c r="J838" t="s">
        <v>1233</v>
      </c>
      <c r="K838">
        <v>0.25</v>
      </c>
      <c r="L838">
        <v>211.5</v>
      </c>
      <c r="M838">
        <v>846</v>
      </c>
      <c r="N838">
        <v>634.5</v>
      </c>
      <c r="O838" t="s">
        <v>1200</v>
      </c>
    </row>
    <row r="839" spans="1:15" x14ac:dyDescent="0.25">
      <c r="A839">
        <v>1581</v>
      </c>
      <c r="B839">
        <v>3348</v>
      </c>
      <c r="C839" t="s">
        <v>580</v>
      </c>
      <c r="D839" t="s">
        <v>426</v>
      </c>
      <c r="E839" t="s">
        <v>1203</v>
      </c>
      <c r="F839" s="1">
        <v>45604</v>
      </c>
      <c r="G839" s="34" t="str">
        <f t="shared" si="13"/>
        <v>Nov</v>
      </c>
      <c r="H839">
        <v>2</v>
      </c>
      <c r="I839" t="s">
        <v>1242</v>
      </c>
      <c r="J839" t="s">
        <v>1233</v>
      </c>
      <c r="K839">
        <v>0.3</v>
      </c>
      <c r="L839">
        <v>122.1</v>
      </c>
      <c r="M839">
        <v>407</v>
      </c>
      <c r="N839">
        <v>284.89999999999998</v>
      </c>
      <c r="O839" t="s">
        <v>19</v>
      </c>
    </row>
    <row r="840" spans="1:15" x14ac:dyDescent="0.25">
      <c r="A840">
        <v>1703</v>
      </c>
      <c r="B840">
        <v>3471</v>
      </c>
      <c r="C840" t="s">
        <v>729</v>
      </c>
      <c r="D840" t="s">
        <v>604</v>
      </c>
      <c r="E840" t="s">
        <v>1248</v>
      </c>
      <c r="F840" s="1">
        <v>45604</v>
      </c>
      <c r="G840" s="34" t="str">
        <f t="shared" si="13"/>
        <v>Nov</v>
      </c>
      <c r="H840">
        <v>3</v>
      </c>
      <c r="I840" t="s">
        <v>1242</v>
      </c>
      <c r="J840" t="s">
        <v>1233</v>
      </c>
      <c r="K840">
        <v>0.25</v>
      </c>
      <c r="L840">
        <v>297</v>
      </c>
      <c r="M840">
        <v>1188</v>
      </c>
      <c r="N840">
        <v>891</v>
      </c>
      <c r="O840" t="s">
        <v>15</v>
      </c>
    </row>
    <row r="841" spans="1:15" x14ac:dyDescent="0.25">
      <c r="A841">
        <v>1855</v>
      </c>
      <c r="B841">
        <v>3623</v>
      </c>
      <c r="C841" t="s">
        <v>880</v>
      </c>
      <c r="D841" t="s">
        <v>881</v>
      </c>
      <c r="E841" t="s">
        <v>1208</v>
      </c>
      <c r="F841" s="1">
        <v>45604</v>
      </c>
      <c r="G841" s="34" t="str">
        <f t="shared" si="13"/>
        <v>Nov</v>
      </c>
      <c r="H841">
        <v>2</v>
      </c>
      <c r="I841" t="s">
        <v>1243</v>
      </c>
      <c r="J841" t="s">
        <v>1224</v>
      </c>
      <c r="K841">
        <v>0.3</v>
      </c>
      <c r="L841">
        <v>46.5</v>
      </c>
      <c r="M841">
        <v>155</v>
      </c>
      <c r="N841">
        <v>108.5</v>
      </c>
      <c r="O841" t="s">
        <v>13</v>
      </c>
    </row>
    <row r="842" spans="1:15" x14ac:dyDescent="0.25">
      <c r="A842">
        <v>1276</v>
      </c>
      <c r="B842">
        <v>3043</v>
      </c>
      <c r="C842" t="s">
        <v>109</v>
      </c>
      <c r="D842" t="s">
        <v>110</v>
      </c>
      <c r="E842" t="s">
        <v>1249</v>
      </c>
      <c r="F842" s="1">
        <v>45605</v>
      </c>
      <c r="G842" s="34" t="str">
        <f t="shared" si="13"/>
        <v>Nov</v>
      </c>
      <c r="H842">
        <v>1</v>
      </c>
      <c r="I842" t="s">
        <v>14</v>
      </c>
      <c r="J842" t="s">
        <v>1216</v>
      </c>
      <c r="K842">
        <v>0.25</v>
      </c>
      <c r="L842">
        <v>38.25</v>
      </c>
      <c r="M842">
        <v>153</v>
      </c>
      <c r="N842">
        <v>114.75</v>
      </c>
      <c r="O842" t="s">
        <v>16</v>
      </c>
    </row>
    <row r="843" spans="1:15" x14ac:dyDescent="0.25">
      <c r="A843">
        <v>1617</v>
      </c>
      <c r="B843">
        <v>3385</v>
      </c>
      <c r="C843" t="s">
        <v>620</v>
      </c>
      <c r="D843" t="s">
        <v>621</v>
      </c>
      <c r="E843" t="s">
        <v>1249</v>
      </c>
      <c r="F843" s="1">
        <v>45605</v>
      </c>
      <c r="G843" s="34" t="str">
        <f t="shared" si="13"/>
        <v>Nov</v>
      </c>
      <c r="H843">
        <v>2</v>
      </c>
      <c r="I843" t="s">
        <v>1242</v>
      </c>
      <c r="J843" t="s">
        <v>1228</v>
      </c>
      <c r="K843">
        <v>0.25</v>
      </c>
      <c r="L843">
        <v>38.5</v>
      </c>
      <c r="M843">
        <v>154</v>
      </c>
      <c r="N843">
        <v>115.5</v>
      </c>
      <c r="O843" t="s">
        <v>15</v>
      </c>
    </row>
    <row r="844" spans="1:15" x14ac:dyDescent="0.25">
      <c r="A844">
        <v>2149</v>
      </c>
      <c r="B844">
        <v>3918</v>
      </c>
      <c r="C844" t="s">
        <v>1100</v>
      </c>
      <c r="D844" t="s">
        <v>1145</v>
      </c>
      <c r="E844" t="s">
        <v>1207</v>
      </c>
      <c r="F844" s="1">
        <v>45605</v>
      </c>
      <c r="G844" s="34" t="str">
        <f t="shared" si="13"/>
        <v>Nov</v>
      </c>
      <c r="H844">
        <v>1</v>
      </c>
      <c r="I844" t="s">
        <v>1242</v>
      </c>
      <c r="J844" t="s">
        <v>1218</v>
      </c>
      <c r="K844">
        <v>0.2</v>
      </c>
      <c r="L844">
        <v>56.6</v>
      </c>
      <c r="M844">
        <v>283</v>
      </c>
      <c r="N844">
        <v>226.4</v>
      </c>
      <c r="O844" t="s">
        <v>19</v>
      </c>
    </row>
    <row r="845" spans="1:15" x14ac:dyDescent="0.25">
      <c r="A845">
        <v>2186</v>
      </c>
      <c r="B845">
        <v>3955</v>
      </c>
      <c r="C845" t="s">
        <v>1171</v>
      </c>
      <c r="D845" t="s">
        <v>777</v>
      </c>
      <c r="E845" t="s">
        <v>1249</v>
      </c>
      <c r="F845" s="1">
        <v>45605</v>
      </c>
      <c r="G845" s="34" t="str">
        <f t="shared" si="13"/>
        <v>Nov</v>
      </c>
      <c r="H845">
        <v>2</v>
      </c>
      <c r="I845" t="s">
        <v>18</v>
      </c>
      <c r="J845" t="s">
        <v>1228</v>
      </c>
      <c r="K845">
        <v>0.25</v>
      </c>
      <c r="L845">
        <v>299.75</v>
      </c>
      <c r="M845">
        <v>1199</v>
      </c>
      <c r="N845">
        <v>899.25</v>
      </c>
      <c r="O845" t="s">
        <v>19</v>
      </c>
    </row>
    <row r="846" spans="1:15" x14ac:dyDescent="0.25">
      <c r="A846">
        <v>2193</v>
      </c>
      <c r="B846">
        <v>3962</v>
      </c>
      <c r="C846" t="s">
        <v>715</v>
      </c>
      <c r="D846" t="s">
        <v>976</v>
      </c>
      <c r="E846" t="s">
        <v>1249</v>
      </c>
      <c r="F846" s="1">
        <v>45605</v>
      </c>
      <c r="G846" s="34" t="str">
        <f t="shared" si="13"/>
        <v>Nov</v>
      </c>
      <c r="H846">
        <v>3</v>
      </c>
      <c r="I846" t="s">
        <v>1242</v>
      </c>
      <c r="J846" t="s">
        <v>1233</v>
      </c>
      <c r="K846">
        <v>0.25</v>
      </c>
      <c r="L846">
        <v>298</v>
      </c>
      <c r="M846">
        <v>1192</v>
      </c>
      <c r="N846">
        <v>894</v>
      </c>
      <c r="O846" t="s">
        <v>13</v>
      </c>
    </row>
    <row r="847" spans="1:15" x14ac:dyDescent="0.25">
      <c r="A847">
        <v>1506</v>
      </c>
      <c r="B847">
        <v>3273</v>
      </c>
      <c r="C847" t="s">
        <v>485</v>
      </c>
      <c r="D847" t="s">
        <v>77</v>
      </c>
      <c r="E847" t="s">
        <v>1205</v>
      </c>
      <c r="F847" s="1">
        <v>45606</v>
      </c>
      <c r="G847" s="34" t="str">
        <f t="shared" si="13"/>
        <v>Nov</v>
      </c>
      <c r="H847">
        <v>1</v>
      </c>
      <c r="I847" t="s">
        <v>1242</v>
      </c>
      <c r="J847" t="s">
        <v>1218</v>
      </c>
      <c r="K847">
        <v>0.1</v>
      </c>
      <c r="L847">
        <v>126.1</v>
      </c>
      <c r="M847">
        <v>1261</v>
      </c>
      <c r="N847">
        <v>1134.9000000000001</v>
      </c>
      <c r="O847" t="s">
        <v>16</v>
      </c>
    </row>
    <row r="848" spans="1:15" x14ac:dyDescent="0.25">
      <c r="A848">
        <v>1797</v>
      </c>
      <c r="B848">
        <v>3565</v>
      </c>
      <c r="C848" t="s">
        <v>826</v>
      </c>
      <c r="D848" t="s">
        <v>191</v>
      </c>
      <c r="E848" t="s">
        <v>1208</v>
      </c>
      <c r="F848" s="1">
        <v>45606</v>
      </c>
      <c r="G848" s="34" t="str">
        <f t="shared" si="13"/>
        <v>Nov</v>
      </c>
      <c r="H848">
        <v>2</v>
      </c>
      <c r="I848" t="s">
        <v>18</v>
      </c>
      <c r="J848" t="s">
        <v>1220</v>
      </c>
      <c r="K848">
        <v>0.3</v>
      </c>
      <c r="L848">
        <v>99.3</v>
      </c>
      <c r="M848">
        <v>331</v>
      </c>
      <c r="N848">
        <v>231.7</v>
      </c>
      <c r="O848" t="s">
        <v>13</v>
      </c>
    </row>
    <row r="849" spans="1:15" x14ac:dyDescent="0.25">
      <c r="A849">
        <v>2093</v>
      </c>
      <c r="B849">
        <v>3862</v>
      </c>
      <c r="C849" t="s">
        <v>1096</v>
      </c>
      <c r="D849" t="s">
        <v>513</v>
      </c>
      <c r="E849" t="s">
        <v>1207</v>
      </c>
      <c r="F849" s="1">
        <v>45606</v>
      </c>
      <c r="G849" s="34" t="str">
        <f t="shared" si="13"/>
        <v>Nov</v>
      </c>
      <c r="H849">
        <v>3</v>
      </c>
      <c r="I849" t="s">
        <v>14</v>
      </c>
      <c r="J849" t="s">
        <v>1224</v>
      </c>
      <c r="K849">
        <v>0.2</v>
      </c>
      <c r="L849">
        <v>64.599999999999994</v>
      </c>
      <c r="M849">
        <v>323</v>
      </c>
      <c r="N849">
        <v>258.39999999999998</v>
      </c>
      <c r="O849" t="s">
        <v>13</v>
      </c>
    </row>
    <row r="850" spans="1:15" x14ac:dyDescent="0.25">
      <c r="A850">
        <v>1407</v>
      </c>
      <c r="B850">
        <v>3174</v>
      </c>
      <c r="C850" t="s">
        <v>331</v>
      </c>
      <c r="D850" t="s">
        <v>174</v>
      </c>
      <c r="E850" t="s">
        <v>1248</v>
      </c>
      <c r="F850" s="1">
        <v>45607</v>
      </c>
      <c r="G850" s="34" t="str">
        <f t="shared" si="13"/>
        <v>Nov</v>
      </c>
      <c r="H850">
        <v>3</v>
      </c>
      <c r="I850" t="s">
        <v>18</v>
      </c>
      <c r="J850" t="s">
        <v>1224</v>
      </c>
      <c r="K850">
        <v>0.25</v>
      </c>
      <c r="L850">
        <v>27.25</v>
      </c>
      <c r="M850">
        <v>109</v>
      </c>
      <c r="N850">
        <v>81.75</v>
      </c>
      <c r="O850" t="s">
        <v>16</v>
      </c>
    </row>
    <row r="851" spans="1:15" x14ac:dyDescent="0.25">
      <c r="A851">
        <v>1412</v>
      </c>
      <c r="B851">
        <v>3179</v>
      </c>
      <c r="C851" t="s">
        <v>261</v>
      </c>
      <c r="D851" t="s">
        <v>338</v>
      </c>
      <c r="E851" t="s">
        <v>1207</v>
      </c>
      <c r="F851" s="1">
        <v>45607</v>
      </c>
      <c r="G851" s="34" t="str">
        <f t="shared" si="13"/>
        <v>Nov</v>
      </c>
      <c r="H851">
        <v>3</v>
      </c>
      <c r="I851" t="s">
        <v>1242</v>
      </c>
      <c r="J851" t="s">
        <v>1214</v>
      </c>
      <c r="K851">
        <v>0.2</v>
      </c>
      <c r="L851">
        <v>105.6</v>
      </c>
      <c r="M851">
        <v>528</v>
      </c>
      <c r="N851">
        <v>422.4</v>
      </c>
      <c r="O851" t="s">
        <v>13</v>
      </c>
    </row>
    <row r="852" spans="1:15" x14ac:dyDescent="0.25">
      <c r="A852">
        <v>1633</v>
      </c>
      <c r="B852">
        <v>3401</v>
      </c>
      <c r="C852" t="s">
        <v>64</v>
      </c>
      <c r="D852" t="s">
        <v>637</v>
      </c>
      <c r="E852" t="s">
        <v>1249</v>
      </c>
      <c r="F852" s="1">
        <v>45607</v>
      </c>
      <c r="G852" s="34" t="str">
        <f t="shared" si="13"/>
        <v>Nov</v>
      </c>
      <c r="H852">
        <v>1</v>
      </c>
      <c r="I852" t="s">
        <v>1242</v>
      </c>
      <c r="J852" t="s">
        <v>1216</v>
      </c>
      <c r="K852">
        <v>0.25</v>
      </c>
      <c r="L852">
        <v>363.5</v>
      </c>
      <c r="M852">
        <v>1454</v>
      </c>
      <c r="N852">
        <v>1090.5</v>
      </c>
      <c r="O852" t="s">
        <v>16</v>
      </c>
    </row>
    <row r="853" spans="1:15" x14ac:dyDescent="0.25">
      <c r="A853">
        <v>1693</v>
      </c>
      <c r="B853">
        <v>3461</v>
      </c>
      <c r="C853" t="s">
        <v>717</v>
      </c>
      <c r="D853" t="s">
        <v>201</v>
      </c>
      <c r="E853" t="s">
        <v>1249</v>
      </c>
      <c r="F853" s="1">
        <v>45607</v>
      </c>
      <c r="G853" s="34" t="str">
        <f t="shared" si="13"/>
        <v>Nov</v>
      </c>
      <c r="H853">
        <v>3</v>
      </c>
      <c r="I853" t="s">
        <v>1242</v>
      </c>
      <c r="J853" t="s">
        <v>1224</v>
      </c>
      <c r="K853">
        <v>0.25</v>
      </c>
      <c r="L853">
        <v>184.25</v>
      </c>
      <c r="M853">
        <v>737</v>
      </c>
      <c r="N853">
        <v>552.75</v>
      </c>
      <c r="O853" t="s">
        <v>15</v>
      </c>
    </row>
    <row r="854" spans="1:15" x14ac:dyDescent="0.25">
      <c r="A854">
        <v>1922</v>
      </c>
      <c r="B854">
        <v>3690</v>
      </c>
      <c r="C854" t="s">
        <v>606</v>
      </c>
      <c r="D854" t="s">
        <v>414</v>
      </c>
      <c r="E854" t="s">
        <v>1203</v>
      </c>
      <c r="F854" s="1">
        <v>45607</v>
      </c>
      <c r="G854" s="34" t="str">
        <f t="shared" si="13"/>
        <v>Nov</v>
      </c>
      <c r="H854">
        <v>1</v>
      </c>
      <c r="I854" t="s">
        <v>14</v>
      </c>
      <c r="J854" t="s">
        <v>1224</v>
      </c>
      <c r="K854">
        <v>0.3</v>
      </c>
      <c r="L854">
        <v>72.3</v>
      </c>
      <c r="M854">
        <v>241</v>
      </c>
      <c r="N854">
        <v>168.7</v>
      </c>
      <c r="O854" t="s">
        <v>1200</v>
      </c>
    </row>
    <row r="855" spans="1:15" x14ac:dyDescent="0.25">
      <c r="A855">
        <v>1621</v>
      </c>
      <c r="B855">
        <v>3389</v>
      </c>
      <c r="C855" t="s">
        <v>625</v>
      </c>
      <c r="D855" t="s">
        <v>22</v>
      </c>
      <c r="E855" t="s">
        <v>1249</v>
      </c>
      <c r="F855" s="1">
        <v>45608</v>
      </c>
      <c r="G855" s="34" t="str">
        <f t="shared" si="13"/>
        <v>Nov</v>
      </c>
      <c r="H855">
        <v>2</v>
      </c>
      <c r="I855" t="s">
        <v>18</v>
      </c>
      <c r="J855" t="s">
        <v>1218</v>
      </c>
      <c r="K855">
        <v>0.25</v>
      </c>
      <c r="L855">
        <v>24.75</v>
      </c>
      <c r="M855">
        <v>99</v>
      </c>
      <c r="N855">
        <v>74.25</v>
      </c>
      <c r="O855" t="s">
        <v>16</v>
      </c>
    </row>
    <row r="856" spans="1:15" x14ac:dyDescent="0.25">
      <c r="A856">
        <v>1324</v>
      </c>
      <c r="B856">
        <v>3091</v>
      </c>
      <c r="C856" t="s">
        <v>195</v>
      </c>
      <c r="D856" t="s">
        <v>196</v>
      </c>
      <c r="E856" t="s">
        <v>1203</v>
      </c>
      <c r="F856" s="1">
        <v>45609</v>
      </c>
      <c r="G856" s="34" t="str">
        <f t="shared" si="13"/>
        <v>Nov</v>
      </c>
      <c r="H856">
        <v>1</v>
      </c>
      <c r="I856" t="s">
        <v>14</v>
      </c>
      <c r="J856" t="s">
        <v>1233</v>
      </c>
      <c r="K856">
        <v>0.3</v>
      </c>
      <c r="L856">
        <v>465.6</v>
      </c>
      <c r="M856">
        <v>1552</v>
      </c>
      <c r="N856">
        <v>1086.4000000000001</v>
      </c>
      <c r="O856" t="s">
        <v>19</v>
      </c>
    </row>
    <row r="857" spans="1:15" x14ac:dyDescent="0.25">
      <c r="A857">
        <v>1505</v>
      </c>
      <c r="B857">
        <v>3272</v>
      </c>
      <c r="C857" t="s">
        <v>483</v>
      </c>
      <c r="D857" t="s">
        <v>484</v>
      </c>
      <c r="E857" t="s">
        <v>1207</v>
      </c>
      <c r="F857" s="1">
        <v>45609</v>
      </c>
      <c r="G857" s="34" t="str">
        <f t="shared" si="13"/>
        <v>Nov</v>
      </c>
      <c r="H857">
        <v>1</v>
      </c>
      <c r="I857" t="s">
        <v>14</v>
      </c>
      <c r="J857" t="s">
        <v>1224</v>
      </c>
      <c r="K857">
        <v>0.2</v>
      </c>
      <c r="L857">
        <v>249.2</v>
      </c>
      <c r="M857">
        <v>1246</v>
      </c>
      <c r="N857">
        <v>996.8</v>
      </c>
      <c r="O857" t="s">
        <v>15</v>
      </c>
    </row>
    <row r="858" spans="1:15" x14ac:dyDescent="0.25">
      <c r="A858">
        <v>1655</v>
      </c>
      <c r="B858">
        <v>3423</v>
      </c>
      <c r="C858" t="s">
        <v>667</v>
      </c>
      <c r="D858" t="s">
        <v>348</v>
      </c>
      <c r="E858" t="s">
        <v>1208</v>
      </c>
      <c r="F858" s="1">
        <v>45609</v>
      </c>
      <c r="G858" s="34" t="str">
        <f t="shared" si="13"/>
        <v>Nov</v>
      </c>
      <c r="H858">
        <v>3</v>
      </c>
      <c r="I858" t="s">
        <v>14</v>
      </c>
      <c r="J858" t="s">
        <v>1233</v>
      </c>
      <c r="K858">
        <v>0.3</v>
      </c>
      <c r="L858">
        <v>63.6</v>
      </c>
      <c r="M858">
        <v>212</v>
      </c>
      <c r="N858">
        <v>148.4</v>
      </c>
      <c r="O858" t="s">
        <v>13</v>
      </c>
    </row>
    <row r="859" spans="1:15" x14ac:dyDescent="0.25">
      <c r="A859">
        <v>1888</v>
      </c>
      <c r="B859">
        <v>3656</v>
      </c>
      <c r="C859" t="s">
        <v>918</v>
      </c>
      <c r="D859" t="s">
        <v>228</v>
      </c>
      <c r="E859" t="s">
        <v>1208</v>
      </c>
      <c r="F859" s="1">
        <v>45610</v>
      </c>
      <c r="G859" s="34" t="str">
        <f t="shared" si="13"/>
        <v>Nov</v>
      </c>
      <c r="H859">
        <v>1</v>
      </c>
      <c r="I859" t="s">
        <v>14</v>
      </c>
      <c r="J859" t="s">
        <v>1214</v>
      </c>
      <c r="K859">
        <v>0.3</v>
      </c>
      <c r="L859">
        <v>231.6</v>
      </c>
      <c r="M859">
        <v>772</v>
      </c>
      <c r="N859">
        <v>540.4</v>
      </c>
      <c r="O859" t="s">
        <v>19</v>
      </c>
    </row>
    <row r="860" spans="1:15" x14ac:dyDescent="0.25">
      <c r="A860">
        <v>2128</v>
      </c>
      <c r="B860">
        <v>3897</v>
      </c>
      <c r="C860" t="s">
        <v>1127</v>
      </c>
      <c r="D860" t="s">
        <v>415</v>
      </c>
      <c r="E860" t="s">
        <v>1208</v>
      </c>
      <c r="F860" s="1">
        <v>45610</v>
      </c>
      <c r="G860" s="34" t="str">
        <f t="shared" si="13"/>
        <v>Nov</v>
      </c>
      <c r="H860">
        <v>3</v>
      </c>
      <c r="I860" t="s">
        <v>14</v>
      </c>
      <c r="J860" t="s">
        <v>1224</v>
      </c>
      <c r="K860">
        <v>0.3</v>
      </c>
      <c r="L860">
        <v>196.2</v>
      </c>
      <c r="M860">
        <v>654</v>
      </c>
      <c r="N860">
        <v>457.8</v>
      </c>
      <c r="O860" t="s">
        <v>15</v>
      </c>
    </row>
    <row r="861" spans="1:15" x14ac:dyDescent="0.25">
      <c r="A861">
        <v>1450</v>
      </c>
      <c r="B861">
        <v>3217</v>
      </c>
      <c r="C861" t="s">
        <v>402</v>
      </c>
      <c r="D861" t="s">
        <v>225</v>
      </c>
      <c r="E861" t="s">
        <v>1249</v>
      </c>
      <c r="F861" s="1">
        <v>45611</v>
      </c>
      <c r="G861" s="34" t="str">
        <f t="shared" si="13"/>
        <v>Nov</v>
      </c>
      <c r="H861">
        <v>2</v>
      </c>
      <c r="I861" t="s">
        <v>1243</v>
      </c>
      <c r="J861" t="s">
        <v>1233</v>
      </c>
      <c r="K861">
        <v>0.25</v>
      </c>
      <c r="L861">
        <v>407</v>
      </c>
      <c r="M861">
        <v>1628</v>
      </c>
      <c r="N861">
        <v>1221</v>
      </c>
      <c r="O861" t="s">
        <v>13</v>
      </c>
    </row>
    <row r="862" spans="1:15" x14ac:dyDescent="0.25">
      <c r="A862">
        <v>1566</v>
      </c>
      <c r="B862">
        <v>3333</v>
      </c>
      <c r="C862" t="s">
        <v>561</v>
      </c>
      <c r="D862" t="s">
        <v>562</v>
      </c>
      <c r="E862" t="s">
        <v>1248</v>
      </c>
      <c r="F862" s="1">
        <v>45611</v>
      </c>
      <c r="G862" s="34" t="str">
        <f t="shared" si="13"/>
        <v>Nov</v>
      </c>
      <c r="H862">
        <v>1</v>
      </c>
      <c r="I862" t="s">
        <v>14</v>
      </c>
      <c r="J862" t="s">
        <v>1220</v>
      </c>
      <c r="K862">
        <v>0.25</v>
      </c>
      <c r="L862">
        <v>398.25</v>
      </c>
      <c r="M862">
        <v>1593</v>
      </c>
      <c r="N862">
        <v>1194.75</v>
      </c>
      <c r="O862" t="s">
        <v>13</v>
      </c>
    </row>
    <row r="863" spans="1:15" x14ac:dyDescent="0.25">
      <c r="A863">
        <v>1626</v>
      </c>
      <c r="B863">
        <v>3394</v>
      </c>
      <c r="C863" t="s">
        <v>629</v>
      </c>
      <c r="D863" t="s">
        <v>630</v>
      </c>
      <c r="E863" t="s">
        <v>1203</v>
      </c>
      <c r="F863" s="1">
        <v>45611</v>
      </c>
      <c r="G863" s="34" t="str">
        <f t="shared" si="13"/>
        <v>Nov</v>
      </c>
      <c r="H863">
        <v>1</v>
      </c>
      <c r="I863" t="s">
        <v>1242</v>
      </c>
      <c r="J863" t="s">
        <v>1214</v>
      </c>
      <c r="K863">
        <v>0.3</v>
      </c>
      <c r="L863">
        <v>240.9</v>
      </c>
      <c r="M863">
        <v>803</v>
      </c>
      <c r="N863">
        <v>562.1</v>
      </c>
      <c r="O863" t="s">
        <v>13</v>
      </c>
    </row>
    <row r="864" spans="1:15" x14ac:dyDescent="0.25">
      <c r="A864">
        <v>1675</v>
      </c>
      <c r="B864">
        <v>3443</v>
      </c>
      <c r="C864" t="s">
        <v>691</v>
      </c>
      <c r="D864" t="s">
        <v>692</v>
      </c>
      <c r="E864" t="s">
        <v>1249</v>
      </c>
      <c r="F864" s="1">
        <v>45611</v>
      </c>
      <c r="G864" s="34" t="str">
        <f t="shared" si="13"/>
        <v>Nov</v>
      </c>
      <c r="H864">
        <v>2</v>
      </c>
      <c r="I864" t="s">
        <v>14</v>
      </c>
      <c r="J864" t="s">
        <v>1220</v>
      </c>
      <c r="K864">
        <v>0.25</v>
      </c>
      <c r="L864">
        <v>204</v>
      </c>
      <c r="M864">
        <v>816</v>
      </c>
      <c r="N864">
        <v>612</v>
      </c>
      <c r="O864" t="s">
        <v>1200</v>
      </c>
    </row>
    <row r="865" spans="1:15" x14ac:dyDescent="0.25">
      <c r="A865">
        <v>1757</v>
      </c>
      <c r="B865">
        <v>3525</v>
      </c>
      <c r="C865" t="s">
        <v>783</v>
      </c>
      <c r="D865" t="s">
        <v>728</v>
      </c>
      <c r="E865" t="s">
        <v>1248</v>
      </c>
      <c r="F865" s="1">
        <v>45611</v>
      </c>
      <c r="G865" s="34" t="str">
        <f t="shared" si="13"/>
        <v>Nov</v>
      </c>
      <c r="H865">
        <v>1</v>
      </c>
      <c r="I865" t="s">
        <v>14</v>
      </c>
      <c r="J865" t="s">
        <v>1214</v>
      </c>
      <c r="K865">
        <v>0.25</v>
      </c>
      <c r="L865">
        <v>109</v>
      </c>
      <c r="M865">
        <v>436</v>
      </c>
      <c r="N865">
        <v>327</v>
      </c>
      <c r="O865" t="s">
        <v>13</v>
      </c>
    </row>
    <row r="866" spans="1:15" x14ac:dyDescent="0.25">
      <c r="A866">
        <v>1900</v>
      </c>
      <c r="B866">
        <v>3668</v>
      </c>
      <c r="C866" t="s">
        <v>275</v>
      </c>
      <c r="D866" t="s">
        <v>932</v>
      </c>
      <c r="E866" t="s">
        <v>1208</v>
      </c>
      <c r="F866" s="1">
        <v>45611</v>
      </c>
      <c r="G866" s="34" t="str">
        <f t="shared" si="13"/>
        <v>Nov</v>
      </c>
      <c r="H866">
        <v>3</v>
      </c>
      <c r="I866" t="s">
        <v>14</v>
      </c>
      <c r="J866" t="s">
        <v>1228</v>
      </c>
      <c r="K866">
        <v>0.3</v>
      </c>
      <c r="L866">
        <v>247.2</v>
      </c>
      <c r="M866">
        <v>824</v>
      </c>
      <c r="N866">
        <v>576.79999999999995</v>
      </c>
      <c r="O866" t="s">
        <v>19</v>
      </c>
    </row>
    <row r="867" spans="1:15" x14ac:dyDescent="0.25">
      <c r="A867">
        <v>1291</v>
      </c>
      <c r="B867">
        <v>3058</v>
      </c>
      <c r="C867" t="s">
        <v>137</v>
      </c>
      <c r="D867" t="s">
        <v>138</v>
      </c>
      <c r="E867" t="s">
        <v>1249</v>
      </c>
      <c r="F867" s="1">
        <v>45612</v>
      </c>
      <c r="G867" s="34" t="str">
        <f t="shared" si="13"/>
        <v>Nov</v>
      </c>
      <c r="H867">
        <v>1</v>
      </c>
      <c r="I867" t="s">
        <v>1242</v>
      </c>
      <c r="J867" t="s">
        <v>1216</v>
      </c>
      <c r="K867">
        <v>0.25</v>
      </c>
      <c r="L867">
        <v>35.5</v>
      </c>
      <c r="M867">
        <v>142</v>
      </c>
      <c r="N867">
        <v>106.5</v>
      </c>
      <c r="O867" t="s">
        <v>13</v>
      </c>
    </row>
    <row r="868" spans="1:15" x14ac:dyDescent="0.25">
      <c r="A868">
        <v>1366</v>
      </c>
      <c r="B868">
        <v>3133</v>
      </c>
      <c r="C868" t="s">
        <v>267</v>
      </c>
      <c r="D868" t="s">
        <v>268</v>
      </c>
      <c r="E868" t="s">
        <v>1249</v>
      </c>
      <c r="F868" s="1">
        <v>45612</v>
      </c>
      <c r="G868" s="34" t="str">
        <f t="shared" si="13"/>
        <v>Nov</v>
      </c>
      <c r="H868">
        <v>1</v>
      </c>
      <c r="I868" t="s">
        <v>18</v>
      </c>
      <c r="J868" t="s">
        <v>1228</v>
      </c>
      <c r="K868">
        <v>0.25</v>
      </c>
      <c r="L868">
        <v>326.5</v>
      </c>
      <c r="M868">
        <v>1306</v>
      </c>
      <c r="N868">
        <v>979.5</v>
      </c>
      <c r="O868" t="s">
        <v>13</v>
      </c>
    </row>
    <row r="869" spans="1:15" x14ac:dyDescent="0.25">
      <c r="A869">
        <v>1486</v>
      </c>
      <c r="B869">
        <v>3253</v>
      </c>
      <c r="C869" t="s">
        <v>456</v>
      </c>
      <c r="D869" t="s">
        <v>457</v>
      </c>
      <c r="E869" t="s">
        <v>1203</v>
      </c>
      <c r="F869" s="1">
        <v>45612</v>
      </c>
      <c r="G869" s="34" t="str">
        <f t="shared" si="13"/>
        <v>Nov</v>
      </c>
      <c r="H869">
        <v>3</v>
      </c>
      <c r="I869" t="s">
        <v>1242</v>
      </c>
      <c r="J869" t="s">
        <v>1214</v>
      </c>
      <c r="K869">
        <v>0.3</v>
      </c>
      <c r="L869">
        <v>375.3</v>
      </c>
      <c r="M869">
        <v>1251</v>
      </c>
      <c r="N869">
        <v>875.7</v>
      </c>
      <c r="O869" t="s">
        <v>13</v>
      </c>
    </row>
    <row r="870" spans="1:15" x14ac:dyDescent="0.25">
      <c r="A870">
        <v>1718</v>
      </c>
      <c r="B870">
        <v>3486</v>
      </c>
      <c r="C870" t="s">
        <v>695</v>
      </c>
      <c r="D870" t="s">
        <v>276</v>
      </c>
      <c r="E870" t="s">
        <v>1205</v>
      </c>
      <c r="F870" s="1">
        <v>45612</v>
      </c>
      <c r="G870" s="34" t="str">
        <f t="shared" si="13"/>
        <v>Nov</v>
      </c>
      <c r="H870">
        <v>3</v>
      </c>
      <c r="I870" t="s">
        <v>1242</v>
      </c>
      <c r="J870" t="s">
        <v>1214</v>
      </c>
      <c r="K870">
        <v>0.1</v>
      </c>
      <c r="L870">
        <v>11.3</v>
      </c>
      <c r="M870">
        <v>113</v>
      </c>
      <c r="N870">
        <v>101.7</v>
      </c>
      <c r="O870" t="s">
        <v>19</v>
      </c>
    </row>
    <row r="871" spans="1:15" x14ac:dyDescent="0.25">
      <c r="A871">
        <v>1727</v>
      </c>
      <c r="B871">
        <v>3495</v>
      </c>
      <c r="C871" t="s">
        <v>753</v>
      </c>
      <c r="D871" t="s">
        <v>754</v>
      </c>
      <c r="E871" t="s">
        <v>1203</v>
      </c>
      <c r="F871" s="1">
        <v>45612</v>
      </c>
      <c r="G871" s="34" t="str">
        <f t="shared" si="13"/>
        <v>Nov</v>
      </c>
      <c r="H871">
        <v>1</v>
      </c>
      <c r="I871" t="s">
        <v>1242</v>
      </c>
      <c r="J871" t="s">
        <v>1220</v>
      </c>
      <c r="K871">
        <v>0.3</v>
      </c>
      <c r="L871">
        <v>385.2</v>
      </c>
      <c r="M871">
        <v>1284</v>
      </c>
      <c r="N871">
        <v>898.8</v>
      </c>
      <c r="O871" t="s">
        <v>1200</v>
      </c>
    </row>
    <row r="872" spans="1:15" x14ac:dyDescent="0.25">
      <c r="A872">
        <v>2025</v>
      </c>
      <c r="B872">
        <v>3793</v>
      </c>
      <c r="C872" t="s">
        <v>1033</v>
      </c>
      <c r="D872" t="s">
        <v>574</v>
      </c>
      <c r="E872" t="s">
        <v>1249</v>
      </c>
      <c r="F872" s="1">
        <v>45612</v>
      </c>
      <c r="G872" s="34" t="str">
        <f t="shared" si="13"/>
        <v>Nov</v>
      </c>
      <c r="H872">
        <v>1</v>
      </c>
      <c r="I872" t="s">
        <v>14</v>
      </c>
      <c r="J872" t="s">
        <v>1220</v>
      </c>
      <c r="K872">
        <v>0.25</v>
      </c>
      <c r="L872">
        <v>27.75</v>
      </c>
      <c r="M872">
        <v>111</v>
      </c>
      <c r="N872">
        <v>83.25</v>
      </c>
      <c r="O872" t="s">
        <v>16</v>
      </c>
    </row>
    <row r="873" spans="1:15" x14ac:dyDescent="0.25">
      <c r="A873">
        <v>2141</v>
      </c>
      <c r="B873">
        <v>3910</v>
      </c>
      <c r="C873" t="s">
        <v>1140</v>
      </c>
      <c r="D873" t="s">
        <v>716</v>
      </c>
      <c r="E873" t="s">
        <v>1208</v>
      </c>
      <c r="F873" s="1">
        <v>45612</v>
      </c>
      <c r="G873" s="34" t="str">
        <f t="shared" si="13"/>
        <v>Nov</v>
      </c>
      <c r="H873">
        <v>1</v>
      </c>
      <c r="I873" t="s">
        <v>1242</v>
      </c>
      <c r="J873" t="s">
        <v>1233</v>
      </c>
      <c r="K873">
        <v>0.3</v>
      </c>
      <c r="L873">
        <v>145.19999999999999</v>
      </c>
      <c r="M873">
        <v>484</v>
      </c>
      <c r="N873">
        <v>338.8</v>
      </c>
      <c r="O873" t="s">
        <v>16</v>
      </c>
    </row>
    <row r="874" spans="1:15" x14ac:dyDescent="0.25">
      <c r="A874">
        <v>1525</v>
      </c>
      <c r="B874">
        <v>3292</v>
      </c>
      <c r="C874" t="s">
        <v>507</v>
      </c>
      <c r="D874" t="s">
        <v>199</v>
      </c>
      <c r="E874" t="s">
        <v>1249</v>
      </c>
      <c r="F874" s="1">
        <v>45613</v>
      </c>
      <c r="G874" s="34" t="str">
        <f t="shared" si="13"/>
        <v>Nov</v>
      </c>
      <c r="H874">
        <v>2</v>
      </c>
      <c r="I874" t="s">
        <v>18</v>
      </c>
      <c r="J874" t="s">
        <v>1216</v>
      </c>
      <c r="K874">
        <v>0.25</v>
      </c>
      <c r="L874">
        <v>242.5</v>
      </c>
      <c r="M874">
        <v>970</v>
      </c>
      <c r="N874">
        <v>727.5</v>
      </c>
      <c r="O874" t="s">
        <v>16</v>
      </c>
    </row>
    <row r="875" spans="1:15" x14ac:dyDescent="0.25">
      <c r="A875">
        <v>1569</v>
      </c>
      <c r="B875">
        <v>3336</v>
      </c>
      <c r="C875" t="s">
        <v>566</v>
      </c>
      <c r="D875" t="s">
        <v>567</v>
      </c>
      <c r="E875" t="s">
        <v>1205</v>
      </c>
      <c r="F875" s="1">
        <v>45613</v>
      </c>
      <c r="G875" s="34" t="str">
        <f t="shared" si="13"/>
        <v>Nov</v>
      </c>
      <c r="H875">
        <v>3</v>
      </c>
      <c r="I875" t="s">
        <v>1242</v>
      </c>
      <c r="J875" t="s">
        <v>1216</v>
      </c>
      <c r="K875">
        <v>0.1</v>
      </c>
      <c r="L875">
        <v>174.2</v>
      </c>
      <c r="M875">
        <v>1742</v>
      </c>
      <c r="N875">
        <v>1567.8</v>
      </c>
      <c r="O875" t="s">
        <v>16</v>
      </c>
    </row>
    <row r="876" spans="1:15" x14ac:dyDescent="0.25">
      <c r="A876">
        <v>2138</v>
      </c>
      <c r="B876">
        <v>3907</v>
      </c>
      <c r="C876" t="s">
        <v>307</v>
      </c>
      <c r="D876" t="s">
        <v>1138</v>
      </c>
      <c r="E876" t="s">
        <v>1248</v>
      </c>
      <c r="F876" s="1">
        <v>45613</v>
      </c>
      <c r="G876" s="34" t="str">
        <f t="shared" si="13"/>
        <v>Nov</v>
      </c>
      <c r="H876">
        <v>2</v>
      </c>
      <c r="I876" t="s">
        <v>1243</v>
      </c>
      <c r="J876" t="s">
        <v>1233</v>
      </c>
      <c r="K876">
        <v>0.25</v>
      </c>
      <c r="L876">
        <v>396.25</v>
      </c>
      <c r="M876">
        <v>1585</v>
      </c>
      <c r="N876">
        <v>1188.75</v>
      </c>
      <c r="O876" t="s">
        <v>19</v>
      </c>
    </row>
    <row r="877" spans="1:15" x14ac:dyDescent="0.25">
      <c r="A877">
        <v>1382</v>
      </c>
      <c r="B877">
        <v>3149</v>
      </c>
      <c r="C877" t="s">
        <v>295</v>
      </c>
      <c r="D877" t="s">
        <v>296</v>
      </c>
      <c r="E877" t="s">
        <v>1249</v>
      </c>
      <c r="F877" s="1">
        <v>45614</v>
      </c>
      <c r="G877" s="34" t="str">
        <f t="shared" si="13"/>
        <v>Nov</v>
      </c>
      <c r="H877">
        <v>2</v>
      </c>
      <c r="I877" t="s">
        <v>1242</v>
      </c>
      <c r="J877" t="s">
        <v>1218</v>
      </c>
      <c r="K877">
        <v>0.25</v>
      </c>
      <c r="L877">
        <v>196.75</v>
      </c>
      <c r="M877">
        <v>787</v>
      </c>
      <c r="N877">
        <v>590.25</v>
      </c>
      <c r="O877" t="s">
        <v>13</v>
      </c>
    </row>
    <row r="878" spans="1:15" x14ac:dyDescent="0.25">
      <c r="A878">
        <v>1501</v>
      </c>
      <c r="B878">
        <v>3268</v>
      </c>
      <c r="C878" t="s">
        <v>476</v>
      </c>
      <c r="D878" t="s">
        <v>477</v>
      </c>
      <c r="E878" t="s">
        <v>1249</v>
      </c>
      <c r="F878" s="1">
        <v>45614</v>
      </c>
      <c r="G878" s="34" t="str">
        <f t="shared" si="13"/>
        <v>Nov</v>
      </c>
      <c r="H878">
        <v>1</v>
      </c>
      <c r="I878" t="s">
        <v>14</v>
      </c>
      <c r="J878" t="s">
        <v>1222</v>
      </c>
      <c r="K878">
        <v>0.25</v>
      </c>
      <c r="L878">
        <v>291.5</v>
      </c>
      <c r="M878">
        <v>1166</v>
      </c>
      <c r="N878">
        <v>874.5</v>
      </c>
      <c r="O878" t="s">
        <v>19</v>
      </c>
    </row>
    <row r="879" spans="1:15" x14ac:dyDescent="0.25">
      <c r="A879">
        <v>1549</v>
      </c>
      <c r="B879">
        <v>3316</v>
      </c>
      <c r="C879" t="s">
        <v>327</v>
      </c>
      <c r="D879" t="s">
        <v>535</v>
      </c>
      <c r="E879" t="s">
        <v>1207</v>
      </c>
      <c r="F879" s="1">
        <v>45614</v>
      </c>
      <c r="G879" s="34" t="str">
        <f t="shared" si="13"/>
        <v>Nov</v>
      </c>
      <c r="H879">
        <v>3</v>
      </c>
      <c r="I879" t="s">
        <v>18</v>
      </c>
      <c r="J879" t="s">
        <v>1220</v>
      </c>
      <c r="K879">
        <v>0.2</v>
      </c>
      <c r="L879">
        <v>22.8</v>
      </c>
      <c r="M879">
        <v>114</v>
      </c>
      <c r="N879">
        <v>91.2</v>
      </c>
      <c r="O879" t="s">
        <v>16</v>
      </c>
    </row>
    <row r="880" spans="1:15" x14ac:dyDescent="0.25">
      <c r="A880">
        <v>1902</v>
      </c>
      <c r="B880">
        <v>3670</v>
      </c>
      <c r="C880" t="s">
        <v>167</v>
      </c>
      <c r="D880" t="s">
        <v>934</v>
      </c>
      <c r="E880" t="s">
        <v>1207</v>
      </c>
      <c r="F880" s="1">
        <v>45614</v>
      </c>
      <c r="G880" s="34" t="str">
        <f t="shared" si="13"/>
        <v>Nov</v>
      </c>
      <c r="H880">
        <v>3</v>
      </c>
      <c r="I880" t="s">
        <v>1242</v>
      </c>
      <c r="J880" t="s">
        <v>1216</v>
      </c>
      <c r="K880">
        <v>0.2</v>
      </c>
      <c r="L880">
        <v>258.2</v>
      </c>
      <c r="M880">
        <v>1291</v>
      </c>
      <c r="N880">
        <v>1032.8</v>
      </c>
      <c r="O880" t="s">
        <v>15</v>
      </c>
    </row>
    <row r="881" spans="1:15" x14ac:dyDescent="0.25">
      <c r="A881">
        <v>2035</v>
      </c>
      <c r="B881">
        <v>3803</v>
      </c>
      <c r="C881" t="s">
        <v>595</v>
      </c>
      <c r="D881" t="s">
        <v>816</v>
      </c>
      <c r="E881" t="s">
        <v>1249</v>
      </c>
      <c r="F881" s="1">
        <v>45614</v>
      </c>
      <c r="G881" s="34" t="str">
        <f t="shared" si="13"/>
        <v>Nov</v>
      </c>
      <c r="H881">
        <v>1</v>
      </c>
      <c r="I881" t="s">
        <v>14</v>
      </c>
      <c r="J881" t="s">
        <v>1214</v>
      </c>
      <c r="K881">
        <v>0.25</v>
      </c>
      <c r="L881">
        <v>172</v>
      </c>
      <c r="M881">
        <v>688</v>
      </c>
      <c r="N881">
        <v>516</v>
      </c>
      <c r="O881" t="s">
        <v>13</v>
      </c>
    </row>
    <row r="882" spans="1:15" x14ac:dyDescent="0.25">
      <c r="A882">
        <v>2115</v>
      </c>
      <c r="B882">
        <v>3884</v>
      </c>
      <c r="C882" t="s">
        <v>474</v>
      </c>
      <c r="D882" t="s">
        <v>905</v>
      </c>
      <c r="E882" t="s">
        <v>1248</v>
      </c>
      <c r="F882" s="1">
        <v>45614</v>
      </c>
      <c r="G882" s="34" t="str">
        <f t="shared" si="13"/>
        <v>Nov</v>
      </c>
      <c r="H882">
        <v>3</v>
      </c>
      <c r="I882" t="s">
        <v>14</v>
      </c>
      <c r="J882" t="s">
        <v>1222</v>
      </c>
      <c r="K882">
        <v>0.25</v>
      </c>
      <c r="L882">
        <v>276</v>
      </c>
      <c r="M882">
        <v>1104</v>
      </c>
      <c r="N882">
        <v>828</v>
      </c>
      <c r="O882" t="s">
        <v>15</v>
      </c>
    </row>
    <row r="883" spans="1:15" x14ac:dyDescent="0.25">
      <c r="A883">
        <v>1254</v>
      </c>
      <c r="B883">
        <v>3021</v>
      </c>
      <c r="C883" t="s">
        <v>66</v>
      </c>
      <c r="D883" t="s">
        <v>67</v>
      </c>
      <c r="E883" t="s">
        <v>1203</v>
      </c>
      <c r="F883" s="1">
        <v>45615</v>
      </c>
      <c r="G883" s="34" t="str">
        <f t="shared" si="13"/>
        <v>Nov</v>
      </c>
      <c r="H883">
        <v>2</v>
      </c>
      <c r="I883" t="s">
        <v>1242</v>
      </c>
      <c r="J883" t="s">
        <v>1216</v>
      </c>
      <c r="K883">
        <v>0.3</v>
      </c>
      <c r="L883">
        <v>291.89999999999998</v>
      </c>
      <c r="M883">
        <v>973</v>
      </c>
      <c r="N883">
        <v>681.1</v>
      </c>
      <c r="O883" t="s">
        <v>13</v>
      </c>
    </row>
    <row r="884" spans="1:15" x14ac:dyDescent="0.25">
      <c r="A884">
        <v>1489</v>
      </c>
      <c r="B884">
        <v>3256</v>
      </c>
      <c r="C884" t="s">
        <v>461</v>
      </c>
      <c r="D884" t="s">
        <v>462</v>
      </c>
      <c r="E884" t="s">
        <v>1207</v>
      </c>
      <c r="F884" s="1">
        <v>45615</v>
      </c>
      <c r="G884" s="34" t="str">
        <f t="shared" si="13"/>
        <v>Nov</v>
      </c>
      <c r="H884">
        <v>1</v>
      </c>
      <c r="I884" t="s">
        <v>14</v>
      </c>
      <c r="J884" t="s">
        <v>1214</v>
      </c>
      <c r="K884">
        <v>0.2</v>
      </c>
      <c r="L884">
        <v>306.60000000000002</v>
      </c>
      <c r="M884">
        <v>1533</v>
      </c>
      <c r="N884">
        <v>1226.4000000000001</v>
      </c>
      <c r="O884" t="s">
        <v>1200</v>
      </c>
    </row>
    <row r="885" spans="1:15" x14ac:dyDescent="0.25">
      <c r="A885">
        <v>1806</v>
      </c>
      <c r="B885">
        <v>3574</v>
      </c>
      <c r="C885" t="s">
        <v>832</v>
      </c>
      <c r="D885" t="s">
        <v>833</v>
      </c>
      <c r="E885" t="s">
        <v>1248</v>
      </c>
      <c r="F885" s="1">
        <v>45615</v>
      </c>
      <c r="G885" s="34" t="str">
        <f t="shared" si="13"/>
        <v>Nov</v>
      </c>
      <c r="H885">
        <v>3</v>
      </c>
      <c r="I885" t="s">
        <v>1242</v>
      </c>
      <c r="J885" t="s">
        <v>1216</v>
      </c>
      <c r="K885">
        <v>0.25</v>
      </c>
      <c r="L885">
        <v>304.75</v>
      </c>
      <c r="M885">
        <v>1219</v>
      </c>
      <c r="N885">
        <v>914.25</v>
      </c>
      <c r="O885" t="s">
        <v>19</v>
      </c>
    </row>
    <row r="886" spans="1:15" x14ac:dyDescent="0.25">
      <c r="A886">
        <v>1956</v>
      </c>
      <c r="B886">
        <v>3724</v>
      </c>
      <c r="C886" t="s">
        <v>241</v>
      </c>
      <c r="D886" t="s">
        <v>458</v>
      </c>
      <c r="E886" t="s">
        <v>1248</v>
      </c>
      <c r="F886" s="1">
        <v>45615</v>
      </c>
      <c r="G886" s="34" t="str">
        <f t="shared" si="13"/>
        <v>Nov</v>
      </c>
      <c r="H886">
        <v>3</v>
      </c>
      <c r="I886" t="s">
        <v>1242</v>
      </c>
      <c r="J886" t="s">
        <v>1228</v>
      </c>
      <c r="K886">
        <v>0.25</v>
      </c>
      <c r="L886">
        <v>373.75</v>
      </c>
      <c r="M886">
        <v>1495</v>
      </c>
      <c r="N886">
        <v>1121.25</v>
      </c>
      <c r="O886" t="s">
        <v>16</v>
      </c>
    </row>
    <row r="887" spans="1:15" x14ac:dyDescent="0.25">
      <c r="A887">
        <v>1982</v>
      </c>
      <c r="B887">
        <v>3750</v>
      </c>
      <c r="C887" t="s">
        <v>336</v>
      </c>
      <c r="D887" t="s">
        <v>1000</v>
      </c>
      <c r="E887" t="s">
        <v>1248</v>
      </c>
      <c r="F887" s="1">
        <v>45615</v>
      </c>
      <c r="G887" s="34" t="str">
        <f t="shared" si="13"/>
        <v>Nov</v>
      </c>
      <c r="H887">
        <v>2</v>
      </c>
      <c r="I887" t="s">
        <v>14</v>
      </c>
      <c r="J887" t="s">
        <v>1233</v>
      </c>
      <c r="K887">
        <v>0.25</v>
      </c>
      <c r="L887">
        <v>77.25</v>
      </c>
      <c r="M887">
        <v>309</v>
      </c>
      <c r="N887">
        <v>231.75</v>
      </c>
      <c r="O887" t="s">
        <v>15</v>
      </c>
    </row>
    <row r="888" spans="1:15" x14ac:dyDescent="0.25">
      <c r="A888">
        <v>2052</v>
      </c>
      <c r="B888">
        <v>3820</v>
      </c>
      <c r="C888" t="s">
        <v>186</v>
      </c>
      <c r="D888" t="s">
        <v>1058</v>
      </c>
      <c r="E888" t="s">
        <v>1207</v>
      </c>
      <c r="F888" s="1">
        <v>45615</v>
      </c>
      <c r="G888" s="34" t="str">
        <f t="shared" si="13"/>
        <v>Nov</v>
      </c>
      <c r="H888">
        <v>3</v>
      </c>
      <c r="I888" t="s">
        <v>14</v>
      </c>
      <c r="J888" t="s">
        <v>1224</v>
      </c>
      <c r="K888">
        <v>0.2</v>
      </c>
      <c r="L888">
        <v>70.400000000000006</v>
      </c>
      <c r="M888">
        <v>352</v>
      </c>
      <c r="N888">
        <v>281.60000000000002</v>
      </c>
      <c r="O888" t="s">
        <v>1200</v>
      </c>
    </row>
    <row r="889" spans="1:15" x14ac:dyDescent="0.25">
      <c r="A889">
        <v>1333</v>
      </c>
      <c r="B889">
        <v>3100</v>
      </c>
      <c r="C889" t="s">
        <v>212</v>
      </c>
      <c r="D889" t="s">
        <v>213</v>
      </c>
      <c r="E889" t="s">
        <v>1248</v>
      </c>
      <c r="F889" s="1">
        <v>45616</v>
      </c>
      <c r="G889" s="34" t="str">
        <f t="shared" si="13"/>
        <v>Nov</v>
      </c>
      <c r="H889">
        <v>3</v>
      </c>
      <c r="I889" t="s">
        <v>1242</v>
      </c>
      <c r="J889" t="s">
        <v>1224</v>
      </c>
      <c r="K889">
        <v>0.25</v>
      </c>
      <c r="L889">
        <v>101</v>
      </c>
      <c r="M889">
        <v>404</v>
      </c>
      <c r="N889">
        <v>303</v>
      </c>
      <c r="O889" t="s">
        <v>15</v>
      </c>
    </row>
    <row r="890" spans="1:15" x14ac:dyDescent="0.25">
      <c r="A890">
        <v>2151</v>
      </c>
      <c r="B890">
        <v>3920</v>
      </c>
      <c r="C890" t="s">
        <v>1147</v>
      </c>
      <c r="D890" t="s">
        <v>1148</v>
      </c>
      <c r="E890" t="s">
        <v>1248</v>
      </c>
      <c r="F890" s="1">
        <v>45616</v>
      </c>
      <c r="G890" s="34" t="str">
        <f t="shared" si="13"/>
        <v>Nov</v>
      </c>
      <c r="H890">
        <v>3</v>
      </c>
      <c r="I890" t="s">
        <v>14</v>
      </c>
      <c r="J890" t="s">
        <v>1218</v>
      </c>
      <c r="K890">
        <v>0.25</v>
      </c>
      <c r="L890">
        <v>346</v>
      </c>
      <c r="M890">
        <v>1384</v>
      </c>
      <c r="N890">
        <v>1038</v>
      </c>
      <c r="O890" t="s">
        <v>13</v>
      </c>
    </row>
    <row r="891" spans="1:15" x14ac:dyDescent="0.25">
      <c r="A891">
        <v>1717</v>
      </c>
      <c r="B891">
        <v>3485</v>
      </c>
      <c r="C891" t="s">
        <v>743</v>
      </c>
      <c r="D891" t="s">
        <v>632</v>
      </c>
      <c r="E891" t="s">
        <v>1203</v>
      </c>
      <c r="F891" s="1">
        <v>45617</v>
      </c>
      <c r="G891" s="34" t="str">
        <f t="shared" si="13"/>
        <v>Nov</v>
      </c>
      <c r="H891">
        <v>3</v>
      </c>
      <c r="I891" t="s">
        <v>1242</v>
      </c>
      <c r="J891" t="s">
        <v>1233</v>
      </c>
      <c r="K891">
        <v>0.3</v>
      </c>
      <c r="L891">
        <v>357.3</v>
      </c>
      <c r="M891">
        <v>1191</v>
      </c>
      <c r="N891">
        <v>833.7</v>
      </c>
      <c r="O891" t="s">
        <v>1200</v>
      </c>
    </row>
    <row r="892" spans="1:15" x14ac:dyDescent="0.25">
      <c r="A892">
        <v>1770</v>
      </c>
      <c r="B892">
        <v>3538</v>
      </c>
      <c r="C892" t="s">
        <v>795</v>
      </c>
      <c r="D892" t="s">
        <v>796</v>
      </c>
      <c r="E892" t="s">
        <v>1203</v>
      </c>
      <c r="F892" s="1">
        <v>45617</v>
      </c>
      <c r="G892" s="34" t="str">
        <f t="shared" si="13"/>
        <v>Nov</v>
      </c>
      <c r="H892">
        <v>3</v>
      </c>
      <c r="I892" t="s">
        <v>1242</v>
      </c>
      <c r="J892" t="s">
        <v>1216</v>
      </c>
      <c r="K892">
        <v>0.3</v>
      </c>
      <c r="L892">
        <v>171.9</v>
      </c>
      <c r="M892">
        <v>573</v>
      </c>
      <c r="N892">
        <v>401.1</v>
      </c>
      <c r="O892" t="s">
        <v>13</v>
      </c>
    </row>
    <row r="893" spans="1:15" x14ac:dyDescent="0.25">
      <c r="A893">
        <v>1879</v>
      </c>
      <c r="B893">
        <v>3647</v>
      </c>
      <c r="C893" t="s">
        <v>715</v>
      </c>
      <c r="D893" t="s">
        <v>909</v>
      </c>
      <c r="E893" t="s">
        <v>1208</v>
      </c>
      <c r="F893" s="1">
        <v>45617</v>
      </c>
      <c r="G893" s="34" t="str">
        <f t="shared" si="13"/>
        <v>Nov</v>
      </c>
      <c r="H893">
        <v>3</v>
      </c>
      <c r="I893" t="s">
        <v>1243</v>
      </c>
      <c r="J893" t="s">
        <v>1233</v>
      </c>
      <c r="K893">
        <v>0.3</v>
      </c>
      <c r="L893">
        <v>266.39999999999998</v>
      </c>
      <c r="M893">
        <v>888</v>
      </c>
      <c r="N893">
        <v>621.6</v>
      </c>
      <c r="O893" t="s">
        <v>16</v>
      </c>
    </row>
    <row r="894" spans="1:15" x14ac:dyDescent="0.25">
      <c r="A894">
        <v>2008</v>
      </c>
      <c r="B894">
        <v>3776</v>
      </c>
      <c r="C894" t="s">
        <v>538</v>
      </c>
      <c r="D894" t="s">
        <v>43</v>
      </c>
      <c r="E894" t="s">
        <v>1208</v>
      </c>
      <c r="F894" s="1">
        <v>45617</v>
      </c>
      <c r="G894" s="34" t="str">
        <f t="shared" si="13"/>
        <v>Nov</v>
      </c>
      <c r="H894">
        <v>2</v>
      </c>
      <c r="I894" t="s">
        <v>1242</v>
      </c>
      <c r="J894" t="s">
        <v>1214</v>
      </c>
      <c r="K894">
        <v>0.3</v>
      </c>
      <c r="L894">
        <v>187.5</v>
      </c>
      <c r="M894">
        <v>625</v>
      </c>
      <c r="N894">
        <v>437.5</v>
      </c>
      <c r="O894" t="s">
        <v>1200</v>
      </c>
    </row>
    <row r="895" spans="1:15" x14ac:dyDescent="0.25">
      <c r="A895">
        <v>1591</v>
      </c>
      <c r="B895">
        <v>3358</v>
      </c>
      <c r="C895" t="s">
        <v>112</v>
      </c>
      <c r="D895" t="s">
        <v>191</v>
      </c>
      <c r="E895" t="s">
        <v>1248</v>
      </c>
      <c r="F895" s="1">
        <v>45618</v>
      </c>
      <c r="G895" s="34" t="str">
        <f t="shared" si="13"/>
        <v>Nov</v>
      </c>
      <c r="H895">
        <v>1</v>
      </c>
      <c r="I895" t="s">
        <v>14</v>
      </c>
      <c r="J895" t="s">
        <v>1216</v>
      </c>
      <c r="K895">
        <v>0.25</v>
      </c>
      <c r="L895">
        <v>97.75</v>
      </c>
      <c r="M895">
        <v>391</v>
      </c>
      <c r="N895">
        <v>293.25</v>
      </c>
      <c r="O895" t="s">
        <v>19</v>
      </c>
    </row>
    <row r="896" spans="1:15" x14ac:dyDescent="0.25">
      <c r="A896">
        <v>1926</v>
      </c>
      <c r="B896">
        <v>3694</v>
      </c>
      <c r="C896" t="s">
        <v>392</v>
      </c>
      <c r="D896" t="s">
        <v>956</v>
      </c>
      <c r="E896" t="s">
        <v>1203</v>
      </c>
      <c r="F896" s="1">
        <v>45618</v>
      </c>
      <c r="G896" s="34" t="str">
        <f t="shared" si="13"/>
        <v>Nov</v>
      </c>
      <c r="H896">
        <v>3</v>
      </c>
      <c r="I896" t="s">
        <v>14</v>
      </c>
      <c r="J896" t="s">
        <v>1216</v>
      </c>
      <c r="K896">
        <v>0.3</v>
      </c>
      <c r="L896">
        <v>236.1</v>
      </c>
      <c r="M896">
        <v>787</v>
      </c>
      <c r="N896">
        <v>550.9</v>
      </c>
      <c r="O896" t="s">
        <v>15</v>
      </c>
    </row>
    <row r="897" spans="1:15" x14ac:dyDescent="0.25">
      <c r="A897">
        <v>2033</v>
      </c>
      <c r="B897">
        <v>3801</v>
      </c>
      <c r="C897" t="s">
        <v>1016</v>
      </c>
      <c r="D897" t="s">
        <v>816</v>
      </c>
      <c r="E897" t="s">
        <v>1248</v>
      </c>
      <c r="F897" s="1">
        <v>45618</v>
      </c>
      <c r="G897" s="34" t="str">
        <f t="shared" si="13"/>
        <v>Nov</v>
      </c>
      <c r="H897">
        <v>1</v>
      </c>
      <c r="I897" t="s">
        <v>1242</v>
      </c>
      <c r="J897" t="s">
        <v>1220</v>
      </c>
      <c r="K897">
        <v>0.25</v>
      </c>
      <c r="L897">
        <v>120</v>
      </c>
      <c r="M897">
        <v>480</v>
      </c>
      <c r="N897">
        <v>360</v>
      </c>
      <c r="O897" t="s">
        <v>13</v>
      </c>
    </row>
    <row r="898" spans="1:15" x14ac:dyDescent="0.25">
      <c r="A898">
        <v>1331</v>
      </c>
      <c r="B898">
        <v>3098</v>
      </c>
      <c r="C898" t="s">
        <v>208</v>
      </c>
      <c r="D898" t="s">
        <v>209</v>
      </c>
      <c r="E898" t="s">
        <v>1249</v>
      </c>
      <c r="F898" s="1">
        <v>45619</v>
      </c>
      <c r="G898" s="34" t="str">
        <f t="shared" ref="G898:G961" si="14">TEXT(F898, "MMM")</f>
        <v>Nov</v>
      </c>
      <c r="H898">
        <v>3</v>
      </c>
      <c r="I898" t="s">
        <v>1242</v>
      </c>
      <c r="J898" t="s">
        <v>1222</v>
      </c>
      <c r="K898">
        <v>0.25</v>
      </c>
      <c r="L898">
        <v>44</v>
      </c>
      <c r="M898">
        <v>176</v>
      </c>
      <c r="N898">
        <v>132</v>
      </c>
      <c r="O898" t="s">
        <v>1200</v>
      </c>
    </row>
    <row r="899" spans="1:15" x14ac:dyDescent="0.25">
      <c r="A899">
        <v>1482</v>
      </c>
      <c r="B899">
        <v>3249</v>
      </c>
      <c r="C899" t="s">
        <v>451</v>
      </c>
      <c r="D899" t="s">
        <v>326</v>
      </c>
      <c r="E899" t="s">
        <v>1207</v>
      </c>
      <c r="F899" s="1">
        <v>45619</v>
      </c>
      <c r="G899" s="34" t="str">
        <f t="shared" si="14"/>
        <v>Nov</v>
      </c>
      <c r="H899">
        <v>2</v>
      </c>
      <c r="I899" t="s">
        <v>14</v>
      </c>
      <c r="J899" t="s">
        <v>1220</v>
      </c>
      <c r="K899">
        <v>0.2</v>
      </c>
      <c r="L899">
        <v>238</v>
      </c>
      <c r="M899">
        <v>1190</v>
      </c>
      <c r="N899">
        <v>952</v>
      </c>
      <c r="O899" t="s">
        <v>19</v>
      </c>
    </row>
    <row r="900" spans="1:15" x14ac:dyDescent="0.25">
      <c r="A900">
        <v>2073</v>
      </c>
      <c r="B900">
        <v>3841</v>
      </c>
      <c r="C900" t="s">
        <v>627</v>
      </c>
      <c r="D900" t="s">
        <v>1076</v>
      </c>
      <c r="E900" t="s">
        <v>1205</v>
      </c>
      <c r="F900" s="1">
        <v>45619</v>
      </c>
      <c r="G900" s="34" t="str">
        <f t="shared" si="14"/>
        <v>Nov</v>
      </c>
      <c r="H900">
        <v>3</v>
      </c>
      <c r="I900" t="s">
        <v>14</v>
      </c>
      <c r="J900" t="s">
        <v>1218</v>
      </c>
      <c r="K900">
        <v>0.1</v>
      </c>
      <c r="L900">
        <v>72.599999999999994</v>
      </c>
      <c r="M900">
        <v>726</v>
      </c>
      <c r="N900">
        <v>653.4</v>
      </c>
      <c r="O900" t="s">
        <v>13</v>
      </c>
    </row>
    <row r="901" spans="1:15" x14ac:dyDescent="0.25">
      <c r="A901">
        <v>2125</v>
      </c>
      <c r="B901">
        <v>3894</v>
      </c>
      <c r="C901" t="s">
        <v>1124</v>
      </c>
      <c r="D901" t="s">
        <v>1125</v>
      </c>
      <c r="E901" t="s">
        <v>1207</v>
      </c>
      <c r="F901" s="1">
        <v>45619</v>
      </c>
      <c r="G901" s="34" t="str">
        <f t="shared" si="14"/>
        <v>Nov</v>
      </c>
      <c r="H901">
        <v>3</v>
      </c>
      <c r="I901" t="s">
        <v>14</v>
      </c>
      <c r="J901" t="s">
        <v>1218</v>
      </c>
      <c r="K901">
        <v>0.2</v>
      </c>
      <c r="L901">
        <v>290</v>
      </c>
      <c r="M901">
        <v>1450</v>
      </c>
      <c r="N901">
        <v>1160</v>
      </c>
      <c r="O901" t="s">
        <v>19</v>
      </c>
    </row>
    <row r="902" spans="1:15" x14ac:dyDescent="0.25">
      <c r="A902">
        <v>1393</v>
      </c>
      <c r="B902">
        <v>3160</v>
      </c>
      <c r="C902" t="s">
        <v>309</v>
      </c>
      <c r="D902" t="s">
        <v>310</v>
      </c>
      <c r="E902" t="s">
        <v>1248</v>
      </c>
      <c r="F902" s="1">
        <v>45620</v>
      </c>
      <c r="G902" s="34" t="str">
        <f t="shared" si="14"/>
        <v>Nov</v>
      </c>
      <c r="H902">
        <v>1</v>
      </c>
      <c r="I902" t="s">
        <v>1242</v>
      </c>
      <c r="J902" t="s">
        <v>1220</v>
      </c>
      <c r="K902">
        <v>0.25</v>
      </c>
      <c r="L902">
        <v>141.25</v>
      </c>
      <c r="M902">
        <v>565</v>
      </c>
      <c r="N902">
        <v>423.75</v>
      </c>
      <c r="O902" t="s">
        <v>1200</v>
      </c>
    </row>
    <row r="903" spans="1:15" x14ac:dyDescent="0.25">
      <c r="A903">
        <v>1883</v>
      </c>
      <c r="B903">
        <v>3651</v>
      </c>
      <c r="C903" t="s">
        <v>638</v>
      </c>
      <c r="D903" t="s">
        <v>913</v>
      </c>
      <c r="E903" t="s">
        <v>1248</v>
      </c>
      <c r="F903" s="1">
        <v>45620</v>
      </c>
      <c r="G903" s="34" t="str">
        <f t="shared" si="14"/>
        <v>Nov</v>
      </c>
      <c r="H903">
        <v>1</v>
      </c>
      <c r="I903" t="s">
        <v>18</v>
      </c>
      <c r="J903" t="s">
        <v>1214</v>
      </c>
      <c r="K903">
        <v>0.25</v>
      </c>
      <c r="L903">
        <v>234.75</v>
      </c>
      <c r="M903">
        <v>939</v>
      </c>
      <c r="N903">
        <v>704.25</v>
      </c>
      <c r="O903" t="s">
        <v>1200</v>
      </c>
    </row>
    <row r="904" spans="1:15" x14ac:dyDescent="0.25">
      <c r="A904">
        <v>2096</v>
      </c>
      <c r="B904">
        <v>3865</v>
      </c>
      <c r="C904" t="s">
        <v>606</v>
      </c>
      <c r="D904" t="s">
        <v>296</v>
      </c>
      <c r="E904" t="s">
        <v>1205</v>
      </c>
      <c r="F904" s="1">
        <v>45620</v>
      </c>
      <c r="G904" s="34" t="str">
        <f t="shared" si="14"/>
        <v>Nov</v>
      </c>
      <c r="H904">
        <v>3</v>
      </c>
      <c r="I904" t="s">
        <v>14</v>
      </c>
      <c r="J904" t="s">
        <v>1228</v>
      </c>
      <c r="K904">
        <v>0.1</v>
      </c>
      <c r="L904">
        <v>30.6</v>
      </c>
      <c r="M904">
        <v>306</v>
      </c>
      <c r="N904">
        <v>275.39999999999998</v>
      </c>
      <c r="O904" t="s">
        <v>19</v>
      </c>
    </row>
    <row r="905" spans="1:15" x14ac:dyDescent="0.25">
      <c r="A905">
        <v>2158</v>
      </c>
      <c r="B905">
        <v>3927</v>
      </c>
      <c r="C905" t="s">
        <v>176</v>
      </c>
      <c r="D905" t="s">
        <v>1153</v>
      </c>
      <c r="E905" t="s">
        <v>1249</v>
      </c>
      <c r="F905" s="1">
        <v>45620</v>
      </c>
      <c r="G905" s="34" t="str">
        <f t="shared" si="14"/>
        <v>Nov</v>
      </c>
      <c r="H905">
        <v>2</v>
      </c>
      <c r="I905" t="s">
        <v>1243</v>
      </c>
      <c r="J905" t="s">
        <v>1233</v>
      </c>
      <c r="K905">
        <v>0.25</v>
      </c>
      <c r="L905">
        <v>387.25</v>
      </c>
      <c r="M905">
        <v>1549</v>
      </c>
      <c r="N905">
        <v>1161.75</v>
      </c>
      <c r="O905" t="s">
        <v>15</v>
      </c>
    </row>
    <row r="906" spans="1:15" x14ac:dyDescent="0.25">
      <c r="A906">
        <v>1352</v>
      </c>
      <c r="B906">
        <v>3119</v>
      </c>
      <c r="C906" t="s">
        <v>242</v>
      </c>
      <c r="D906" t="s">
        <v>243</v>
      </c>
      <c r="E906" t="s">
        <v>1248</v>
      </c>
      <c r="F906" s="1">
        <v>45621</v>
      </c>
      <c r="G906" s="34" t="str">
        <f t="shared" si="14"/>
        <v>Nov</v>
      </c>
      <c r="H906">
        <v>2</v>
      </c>
      <c r="I906" t="s">
        <v>1243</v>
      </c>
      <c r="J906" t="s">
        <v>1224</v>
      </c>
      <c r="K906">
        <v>0.25</v>
      </c>
      <c r="L906">
        <v>271.5</v>
      </c>
      <c r="M906">
        <v>1086</v>
      </c>
      <c r="N906">
        <v>814.5</v>
      </c>
      <c r="O906" t="s">
        <v>15</v>
      </c>
    </row>
    <row r="907" spans="1:15" x14ac:dyDescent="0.25">
      <c r="A907">
        <v>1386</v>
      </c>
      <c r="B907">
        <v>3153</v>
      </c>
      <c r="C907" t="s">
        <v>301</v>
      </c>
      <c r="D907" t="s">
        <v>27</v>
      </c>
      <c r="E907" t="s">
        <v>1248</v>
      </c>
      <c r="F907" s="1">
        <v>45621</v>
      </c>
      <c r="G907" s="34" t="str">
        <f t="shared" si="14"/>
        <v>Nov</v>
      </c>
      <c r="H907">
        <v>2</v>
      </c>
      <c r="I907" t="s">
        <v>14</v>
      </c>
      <c r="J907" t="s">
        <v>1216</v>
      </c>
      <c r="K907">
        <v>0.25</v>
      </c>
      <c r="L907">
        <v>112</v>
      </c>
      <c r="M907">
        <v>448</v>
      </c>
      <c r="N907">
        <v>336</v>
      </c>
      <c r="O907" t="s">
        <v>19</v>
      </c>
    </row>
    <row r="908" spans="1:15" x14ac:dyDescent="0.25">
      <c r="A908">
        <v>1479</v>
      </c>
      <c r="B908">
        <v>3246</v>
      </c>
      <c r="C908" t="s">
        <v>91</v>
      </c>
      <c r="D908" t="s">
        <v>447</v>
      </c>
      <c r="E908" t="s">
        <v>1205</v>
      </c>
      <c r="F908" s="1">
        <v>45622</v>
      </c>
      <c r="G908" s="34" t="str">
        <f t="shared" si="14"/>
        <v>Nov</v>
      </c>
      <c r="H908">
        <v>2</v>
      </c>
      <c r="I908" t="s">
        <v>1243</v>
      </c>
      <c r="J908" t="s">
        <v>1222</v>
      </c>
      <c r="K908">
        <v>0.1</v>
      </c>
      <c r="L908">
        <v>103.4</v>
      </c>
      <c r="M908">
        <v>1034</v>
      </c>
      <c r="N908">
        <v>930.6</v>
      </c>
      <c r="O908" t="s">
        <v>16</v>
      </c>
    </row>
    <row r="909" spans="1:15" x14ac:dyDescent="0.25">
      <c r="A909">
        <v>1925</v>
      </c>
      <c r="B909">
        <v>3693</v>
      </c>
      <c r="C909" t="s">
        <v>954</v>
      </c>
      <c r="D909" t="s">
        <v>955</v>
      </c>
      <c r="E909" t="s">
        <v>1207</v>
      </c>
      <c r="F909" s="1">
        <v>45622</v>
      </c>
      <c r="G909" s="34" t="str">
        <f t="shared" si="14"/>
        <v>Nov</v>
      </c>
      <c r="H909">
        <v>3</v>
      </c>
      <c r="I909" t="s">
        <v>1242</v>
      </c>
      <c r="J909" t="s">
        <v>1228</v>
      </c>
      <c r="K909">
        <v>0.2</v>
      </c>
      <c r="L909">
        <v>79</v>
      </c>
      <c r="M909">
        <v>395</v>
      </c>
      <c r="N909">
        <v>316</v>
      </c>
      <c r="O909" t="s">
        <v>15</v>
      </c>
    </row>
    <row r="910" spans="1:15" x14ac:dyDescent="0.25">
      <c r="A910">
        <v>2004</v>
      </c>
      <c r="B910">
        <v>3772</v>
      </c>
      <c r="C910" t="s">
        <v>631</v>
      </c>
      <c r="D910" t="s">
        <v>943</v>
      </c>
      <c r="E910" t="s">
        <v>1205</v>
      </c>
      <c r="F910" s="1">
        <v>45622</v>
      </c>
      <c r="G910" s="34" t="str">
        <f t="shared" si="14"/>
        <v>Nov</v>
      </c>
      <c r="H910">
        <v>3</v>
      </c>
      <c r="I910" t="s">
        <v>1242</v>
      </c>
      <c r="J910" t="s">
        <v>1218</v>
      </c>
      <c r="K910">
        <v>0.1</v>
      </c>
      <c r="L910">
        <v>143.19999999999999</v>
      </c>
      <c r="M910">
        <v>1432</v>
      </c>
      <c r="N910">
        <v>1288.8</v>
      </c>
      <c r="O910" t="s">
        <v>19</v>
      </c>
    </row>
    <row r="911" spans="1:15" x14ac:dyDescent="0.25">
      <c r="A911">
        <v>2034</v>
      </c>
      <c r="B911">
        <v>3802</v>
      </c>
      <c r="C911" t="s">
        <v>869</v>
      </c>
      <c r="D911" t="s">
        <v>292</v>
      </c>
      <c r="E911" t="s">
        <v>1208</v>
      </c>
      <c r="F911" s="1">
        <v>45622</v>
      </c>
      <c r="G911" s="34" t="str">
        <f t="shared" si="14"/>
        <v>Nov</v>
      </c>
      <c r="H911">
        <v>3</v>
      </c>
      <c r="I911" t="s">
        <v>1242</v>
      </c>
      <c r="J911" t="s">
        <v>1214</v>
      </c>
      <c r="K911">
        <v>0.3</v>
      </c>
      <c r="L911">
        <v>6.9</v>
      </c>
      <c r="M911">
        <v>23</v>
      </c>
      <c r="N911">
        <v>16.100000000000001</v>
      </c>
      <c r="O911" t="s">
        <v>15</v>
      </c>
    </row>
    <row r="912" spans="1:15" x14ac:dyDescent="0.25">
      <c r="A912">
        <v>2197</v>
      </c>
      <c r="B912">
        <v>3966</v>
      </c>
      <c r="C912" t="s">
        <v>1176</v>
      </c>
      <c r="D912" t="s">
        <v>1067</v>
      </c>
      <c r="E912" t="s">
        <v>1248</v>
      </c>
      <c r="F912" s="1">
        <v>45622</v>
      </c>
      <c r="G912" s="34" t="str">
        <f t="shared" si="14"/>
        <v>Nov</v>
      </c>
      <c r="H912">
        <v>1</v>
      </c>
      <c r="I912" t="s">
        <v>1242</v>
      </c>
      <c r="J912" t="s">
        <v>1222</v>
      </c>
      <c r="K912">
        <v>0.25</v>
      </c>
      <c r="L912">
        <v>463</v>
      </c>
      <c r="M912">
        <v>1852</v>
      </c>
      <c r="N912">
        <v>1389</v>
      </c>
      <c r="O912" t="s">
        <v>13</v>
      </c>
    </row>
    <row r="913" spans="1:15" x14ac:dyDescent="0.25">
      <c r="A913">
        <v>2027</v>
      </c>
      <c r="B913">
        <v>3795</v>
      </c>
      <c r="C913" t="s">
        <v>1034</v>
      </c>
      <c r="D913" t="s">
        <v>1035</v>
      </c>
      <c r="E913" t="s">
        <v>1249</v>
      </c>
      <c r="F913" s="1">
        <v>45623</v>
      </c>
      <c r="G913" s="34" t="str">
        <f t="shared" si="14"/>
        <v>Nov</v>
      </c>
      <c r="H913">
        <v>1</v>
      </c>
      <c r="I913" t="s">
        <v>14</v>
      </c>
      <c r="J913" t="s">
        <v>1233</v>
      </c>
      <c r="K913">
        <v>0.25</v>
      </c>
      <c r="L913">
        <v>301.75</v>
      </c>
      <c r="M913">
        <v>1207</v>
      </c>
      <c r="N913">
        <v>905.25</v>
      </c>
      <c r="O913" t="s">
        <v>13</v>
      </c>
    </row>
    <row r="914" spans="1:15" x14ac:dyDescent="0.25">
      <c r="A914">
        <v>1238</v>
      </c>
      <c r="B914">
        <v>3005</v>
      </c>
      <c r="C914" t="s">
        <v>34</v>
      </c>
      <c r="D914" t="s">
        <v>35</v>
      </c>
      <c r="E914" t="s">
        <v>1207</v>
      </c>
      <c r="F914" s="1">
        <v>45624</v>
      </c>
      <c r="G914" s="34" t="str">
        <f t="shared" si="14"/>
        <v>Nov</v>
      </c>
      <c r="H914">
        <v>1</v>
      </c>
      <c r="I914" t="s">
        <v>1242</v>
      </c>
      <c r="J914" t="s">
        <v>1222</v>
      </c>
      <c r="K914">
        <v>0.2</v>
      </c>
      <c r="L914">
        <v>271</v>
      </c>
      <c r="M914">
        <v>1355</v>
      </c>
      <c r="N914">
        <v>1084</v>
      </c>
      <c r="O914" t="s">
        <v>16</v>
      </c>
    </row>
    <row r="915" spans="1:15" x14ac:dyDescent="0.25">
      <c r="A915">
        <v>1840</v>
      </c>
      <c r="B915">
        <v>3608</v>
      </c>
      <c r="C915" t="s">
        <v>869</v>
      </c>
      <c r="D915" t="s">
        <v>332</v>
      </c>
      <c r="E915" t="s">
        <v>1208</v>
      </c>
      <c r="F915" s="1">
        <v>45625</v>
      </c>
      <c r="G915" s="34" t="str">
        <f t="shared" si="14"/>
        <v>Nov</v>
      </c>
      <c r="H915">
        <v>1</v>
      </c>
      <c r="I915" t="s">
        <v>1242</v>
      </c>
      <c r="J915" t="s">
        <v>1216</v>
      </c>
      <c r="K915">
        <v>0.3</v>
      </c>
      <c r="L915">
        <v>370.5</v>
      </c>
      <c r="M915">
        <v>1235</v>
      </c>
      <c r="N915">
        <v>864.5</v>
      </c>
      <c r="O915" t="s">
        <v>19</v>
      </c>
    </row>
    <row r="916" spans="1:15" x14ac:dyDescent="0.25">
      <c r="A916">
        <v>1968</v>
      </c>
      <c r="B916">
        <v>3736</v>
      </c>
      <c r="C916" t="s">
        <v>334</v>
      </c>
      <c r="D916" t="s">
        <v>990</v>
      </c>
      <c r="E916" t="s">
        <v>1205</v>
      </c>
      <c r="F916" s="1">
        <v>45625</v>
      </c>
      <c r="G916" s="34" t="str">
        <f t="shared" si="14"/>
        <v>Nov</v>
      </c>
      <c r="H916">
        <v>3</v>
      </c>
      <c r="I916" t="s">
        <v>18</v>
      </c>
      <c r="J916" t="s">
        <v>1233</v>
      </c>
      <c r="K916">
        <v>0.1</v>
      </c>
      <c r="L916">
        <v>132.9</v>
      </c>
      <c r="M916">
        <v>1329</v>
      </c>
      <c r="N916">
        <v>1196.0999999999999</v>
      </c>
      <c r="O916" t="s">
        <v>16</v>
      </c>
    </row>
    <row r="917" spans="1:15" x14ac:dyDescent="0.25">
      <c r="A917">
        <v>2164</v>
      </c>
      <c r="B917">
        <v>3933</v>
      </c>
      <c r="C917" t="s">
        <v>1156</v>
      </c>
      <c r="D917" t="s">
        <v>571</v>
      </c>
      <c r="E917" t="s">
        <v>1249</v>
      </c>
      <c r="F917" s="1">
        <v>45625</v>
      </c>
      <c r="G917" s="34" t="str">
        <f t="shared" si="14"/>
        <v>Nov</v>
      </c>
      <c r="H917">
        <v>3</v>
      </c>
      <c r="I917" t="s">
        <v>1243</v>
      </c>
      <c r="J917" t="s">
        <v>1214</v>
      </c>
      <c r="K917">
        <v>0.25</v>
      </c>
      <c r="L917">
        <v>319.75</v>
      </c>
      <c r="M917">
        <v>1279</v>
      </c>
      <c r="N917">
        <v>959.25</v>
      </c>
      <c r="O917" t="s">
        <v>1200</v>
      </c>
    </row>
    <row r="918" spans="1:15" x14ac:dyDescent="0.25">
      <c r="A918">
        <v>1316</v>
      </c>
      <c r="B918">
        <v>3083</v>
      </c>
      <c r="C918" t="s">
        <v>180</v>
      </c>
      <c r="D918" t="s">
        <v>181</v>
      </c>
      <c r="E918" t="s">
        <v>1205</v>
      </c>
      <c r="F918" s="1">
        <v>45626</v>
      </c>
      <c r="G918" s="34" t="str">
        <f t="shared" si="14"/>
        <v>Nov</v>
      </c>
      <c r="H918">
        <v>3</v>
      </c>
      <c r="I918" t="s">
        <v>1242</v>
      </c>
      <c r="J918" t="s">
        <v>1220</v>
      </c>
      <c r="K918">
        <v>0.1</v>
      </c>
      <c r="L918">
        <v>62</v>
      </c>
      <c r="M918">
        <v>620</v>
      </c>
      <c r="N918">
        <v>558</v>
      </c>
      <c r="O918" t="s">
        <v>15</v>
      </c>
    </row>
    <row r="919" spans="1:15" x14ac:dyDescent="0.25">
      <c r="A919">
        <v>1664</v>
      </c>
      <c r="B919">
        <v>3432</v>
      </c>
      <c r="C919" t="s">
        <v>500</v>
      </c>
      <c r="D919" t="s">
        <v>676</v>
      </c>
      <c r="E919" t="s">
        <v>1248</v>
      </c>
      <c r="F919" s="1">
        <v>45626</v>
      </c>
      <c r="G919" s="34" t="str">
        <f t="shared" si="14"/>
        <v>Nov</v>
      </c>
      <c r="H919">
        <v>1</v>
      </c>
      <c r="I919" t="s">
        <v>14</v>
      </c>
      <c r="J919" t="s">
        <v>1214</v>
      </c>
      <c r="K919">
        <v>0.25</v>
      </c>
      <c r="L919">
        <v>356.25</v>
      </c>
      <c r="M919">
        <v>1425</v>
      </c>
      <c r="N919">
        <v>1068.75</v>
      </c>
      <c r="O919" t="s">
        <v>19</v>
      </c>
    </row>
    <row r="920" spans="1:15" x14ac:dyDescent="0.25">
      <c r="A920">
        <v>1660</v>
      </c>
      <c r="B920">
        <v>3428</v>
      </c>
      <c r="C920" t="s">
        <v>672</v>
      </c>
      <c r="D920" t="s">
        <v>673</v>
      </c>
      <c r="E920" t="s">
        <v>1248</v>
      </c>
      <c r="F920" s="1">
        <v>45627</v>
      </c>
      <c r="G920" s="34" t="str">
        <f t="shared" si="14"/>
        <v>Dec</v>
      </c>
      <c r="H920">
        <v>3</v>
      </c>
      <c r="I920" t="s">
        <v>1242</v>
      </c>
      <c r="J920" t="s">
        <v>1228</v>
      </c>
      <c r="K920">
        <v>0.25</v>
      </c>
      <c r="L920">
        <v>12</v>
      </c>
      <c r="M920">
        <v>48</v>
      </c>
      <c r="N920">
        <v>36</v>
      </c>
      <c r="O920" t="s">
        <v>15</v>
      </c>
    </row>
    <row r="921" spans="1:15" x14ac:dyDescent="0.25">
      <c r="A921">
        <v>1564</v>
      </c>
      <c r="B921">
        <v>3331</v>
      </c>
      <c r="C921" t="s">
        <v>558</v>
      </c>
      <c r="D921" t="s">
        <v>244</v>
      </c>
      <c r="E921" t="s">
        <v>1203</v>
      </c>
      <c r="F921" s="1">
        <v>45628</v>
      </c>
      <c r="G921" s="34" t="str">
        <f t="shared" si="14"/>
        <v>Dec</v>
      </c>
      <c r="H921">
        <v>1</v>
      </c>
      <c r="I921" t="s">
        <v>14</v>
      </c>
      <c r="J921" t="s">
        <v>1214</v>
      </c>
      <c r="K921">
        <v>0.3</v>
      </c>
      <c r="L921">
        <v>58.5</v>
      </c>
      <c r="M921">
        <v>195</v>
      </c>
      <c r="N921">
        <v>136.5</v>
      </c>
      <c r="O921" t="s">
        <v>19</v>
      </c>
    </row>
    <row r="922" spans="1:15" x14ac:dyDescent="0.25">
      <c r="A922">
        <v>1604</v>
      </c>
      <c r="B922">
        <v>3371</v>
      </c>
      <c r="C922" t="s">
        <v>605</v>
      </c>
      <c r="D922" t="s">
        <v>579</v>
      </c>
      <c r="E922" t="s">
        <v>1249</v>
      </c>
      <c r="F922" s="1">
        <v>45628</v>
      </c>
      <c r="G922" s="34" t="str">
        <f t="shared" si="14"/>
        <v>Dec</v>
      </c>
      <c r="H922">
        <v>2</v>
      </c>
      <c r="I922" t="s">
        <v>1242</v>
      </c>
      <c r="J922" t="s">
        <v>1214</v>
      </c>
      <c r="K922">
        <v>0.25</v>
      </c>
      <c r="L922">
        <v>121.25</v>
      </c>
      <c r="M922">
        <v>485</v>
      </c>
      <c r="N922">
        <v>363.75</v>
      </c>
      <c r="O922" t="s">
        <v>16</v>
      </c>
    </row>
    <row r="923" spans="1:15" x14ac:dyDescent="0.25">
      <c r="A923">
        <v>1387</v>
      </c>
      <c r="B923">
        <v>3154</v>
      </c>
      <c r="C923" t="s">
        <v>231</v>
      </c>
      <c r="D923" t="s">
        <v>302</v>
      </c>
      <c r="E923" t="s">
        <v>1205</v>
      </c>
      <c r="F923" s="1">
        <v>45629</v>
      </c>
      <c r="G923" s="34" t="str">
        <f t="shared" si="14"/>
        <v>Dec</v>
      </c>
      <c r="H923">
        <v>3</v>
      </c>
      <c r="I923" t="s">
        <v>1242</v>
      </c>
      <c r="J923" t="s">
        <v>1220</v>
      </c>
      <c r="K923">
        <v>0.1</v>
      </c>
      <c r="L923">
        <v>29.9</v>
      </c>
      <c r="M923">
        <v>299</v>
      </c>
      <c r="N923">
        <v>269.10000000000002</v>
      </c>
      <c r="O923" t="s">
        <v>1200</v>
      </c>
    </row>
    <row r="924" spans="1:15" x14ac:dyDescent="0.25">
      <c r="A924">
        <v>1317</v>
      </c>
      <c r="B924">
        <v>3084</v>
      </c>
      <c r="C924" t="s">
        <v>182</v>
      </c>
      <c r="D924" t="s">
        <v>183</v>
      </c>
      <c r="E924" t="s">
        <v>1249</v>
      </c>
      <c r="F924" s="1">
        <v>45630</v>
      </c>
      <c r="G924" s="34" t="str">
        <f t="shared" si="14"/>
        <v>Dec</v>
      </c>
      <c r="H924">
        <v>3</v>
      </c>
      <c r="I924" t="s">
        <v>14</v>
      </c>
      <c r="J924" t="s">
        <v>1216</v>
      </c>
      <c r="K924">
        <v>0.25</v>
      </c>
      <c r="L924">
        <v>419.75</v>
      </c>
      <c r="M924">
        <v>1679</v>
      </c>
      <c r="N924">
        <v>1259.25</v>
      </c>
      <c r="O924" t="s">
        <v>16</v>
      </c>
    </row>
    <row r="925" spans="1:15" x14ac:dyDescent="0.25">
      <c r="A925">
        <v>1835</v>
      </c>
      <c r="B925">
        <v>3603</v>
      </c>
      <c r="C925" t="s">
        <v>865</v>
      </c>
      <c r="D925" t="s">
        <v>866</v>
      </c>
      <c r="E925" t="s">
        <v>1203</v>
      </c>
      <c r="F925" s="1">
        <v>45630</v>
      </c>
      <c r="G925" s="34" t="str">
        <f t="shared" si="14"/>
        <v>Dec</v>
      </c>
      <c r="H925">
        <v>1</v>
      </c>
      <c r="I925" t="s">
        <v>1242</v>
      </c>
      <c r="J925" t="s">
        <v>1216</v>
      </c>
      <c r="K925">
        <v>0.3</v>
      </c>
      <c r="L925">
        <v>239.7</v>
      </c>
      <c r="M925">
        <v>799</v>
      </c>
      <c r="N925">
        <v>559.29999999999995</v>
      </c>
      <c r="O925" t="s">
        <v>19</v>
      </c>
    </row>
    <row r="926" spans="1:15" x14ac:dyDescent="0.25">
      <c r="A926">
        <v>1452</v>
      </c>
      <c r="B926">
        <v>3219</v>
      </c>
      <c r="C926" t="s">
        <v>404</v>
      </c>
      <c r="D926" t="s">
        <v>405</v>
      </c>
      <c r="E926" t="s">
        <v>1248</v>
      </c>
      <c r="F926" s="1">
        <v>45631</v>
      </c>
      <c r="G926" s="34" t="str">
        <f t="shared" si="14"/>
        <v>Dec</v>
      </c>
      <c r="H926">
        <v>1</v>
      </c>
      <c r="I926" t="s">
        <v>14</v>
      </c>
      <c r="J926" t="s">
        <v>1220</v>
      </c>
      <c r="K926">
        <v>0.25</v>
      </c>
      <c r="L926">
        <v>420.75</v>
      </c>
      <c r="M926">
        <v>1683</v>
      </c>
      <c r="N926">
        <v>1262.25</v>
      </c>
      <c r="O926" t="s">
        <v>16</v>
      </c>
    </row>
    <row r="927" spans="1:15" x14ac:dyDescent="0.25">
      <c r="A927">
        <v>1601</v>
      </c>
      <c r="B927">
        <v>3368</v>
      </c>
      <c r="C927" t="s">
        <v>600</v>
      </c>
      <c r="D927" t="s">
        <v>601</v>
      </c>
      <c r="E927" t="s">
        <v>1208</v>
      </c>
      <c r="F927" s="1">
        <v>45631</v>
      </c>
      <c r="G927" s="34" t="str">
        <f t="shared" si="14"/>
        <v>Dec</v>
      </c>
      <c r="H927">
        <v>3</v>
      </c>
      <c r="I927" t="s">
        <v>1242</v>
      </c>
      <c r="J927" t="s">
        <v>1222</v>
      </c>
      <c r="K927">
        <v>0.3</v>
      </c>
      <c r="L927">
        <v>499.5</v>
      </c>
      <c r="M927">
        <v>1665</v>
      </c>
      <c r="N927">
        <v>1165.5</v>
      </c>
      <c r="O927" t="s">
        <v>15</v>
      </c>
    </row>
    <row r="928" spans="1:15" x14ac:dyDescent="0.25">
      <c r="A928">
        <v>1788</v>
      </c>
      <c r="B928">
        <v>3556</v>
      </c>
      <c r="C928" t="s">
        <v>813</v>
      </c>
      <c r="D928" t="s">
        <v>814</v>
      </c>
      <c r="E928" t="s">
        <v>1249</v>
      </c>
      <c r="F928" s="1">
        <v>45631</v>
      </c>
      <c r="G928" s="34" t="str">
        <f t="shared" si="14"/>
        <v>Dec</v>
      </c>
      <c r="H928">
        <v>1</v>
      </c>
      <c r="I928" t="s">
        <v>14</v>
      </c>
      <c r="J928" t="s">
        <v>1214</v>
      </c>
      <c r="K928">
        <v>0.25</v>
      </c>
      <c r="L928">
        <v>85</v>
      </c>
      <c r="M928">
        <v>340</v>
      </c>
      <c r="N928">
        <v>255</v>
      </c>
      <c r="O928" t="s">
        <v>1200</v>
      </c>
    </row>
    <row r="929" spans="1:15" x14ac:dyDescent="0.25">
      <c r="A929">
        <v>2060</v>
      </c>
      <c r="B929">
        <v>3828</v>
      </c>
      <c r="C929" t="s">
        <v>519</v>
      </c>
      <c r="D929" t="s">
        <v>367</v>
      </c>
      <c r="E929" t="s">
        <v>1207</v>
      </c>
      <c r="F929" s="1">
        <v>45631</v>
      </c>
      <c r="G929" s="34" t="str">
        <f t="shared" si="14"/>
        <v>Dec</v>
      </c>
      <c r="H929">
        <v>1</v>
      </c>
      <c r="I929" t="s">
        <v>18</v>
      </c>
      <c r="J929" t="s">
        <v>1220</v>
      </c>
      <c r="K929">
        <v>0.2</v>
      </c>
      <c r="L929">
        <v>261.60000000000002</v>
      </c>
      <c r="M929">
        <v>1308</v>
      </c>
      <c r="N929">
        <v>1046.4000000000001</v>
      </c>
      <c r="O929" t="s">
        <v>16</v>
      </c>
    </row>
    <row r="930" spans="1:15" x14ac:dyDescent="0.25">
      <c r="A930">
        <v>1496</v>
      </c>
      <c r="B930">
        <v>3263</v>
      </c>
      <c r="C930" t="s">
        <v>469</v>
      </c>
      <c r="D930" t="s">
        <v>470</v>
      </c>
      <c r="E930" t="s">
        <v>1248</v>
      </c>
      <c r="F930" s="1">
        <v>45632</v>
      </c>
      <c r="G930" s="34" t="str">
        <f t="shared" si="14"/>
        <v>Dec</v>
      </c>
      <c r="H930">
        <v>1</v>
      </c>
      <c r="I930" t="s">
        <v>1242</v>
      </c>
      <c r="J930" t="s">
        <v>1216</v>
      </c>
      <c r="K930">
        <v>0.25</v>
      </c>
      <c r="L930">
        <v>168.75</v>
      </c>
      <c r="M930">
        <v>675</v>
      </c>
      <c r="N930">
        <v>506.25</v>
      </c>
      <c r="O930" t="s">
        <v>1200</v>
      </c>
    </row>
    <row r="931" spans="1:15" x14ac:dyDescent="0.25">
      <c r="A931">
        <v>1269</v>
      </c>
      <c r="B931">
        <v>3036</v>
      </c>
      <c r="C931" t="s">
        <v>95</v>
      </c>
      <c r="D931" t="s">
        <v>96</v>
      </c>
      <c r="E931" t="s">
        <v>1203</v>
      </c>
      <c r="F931" s="1">
        <v>45633</v>
      </c>
      <c r="G931" s="34" t="str">
        <f t="shared" si="14"/>
        <v>Dec</v>
      </c>
      <c r="H931">
        <v>3</v>
      </c>
      <c r="I931" t="s">
        <v>14</v>
      </c>
      <c r="J931" t="s">
        <v>1220</v>
      </c>
      <c r="K931">
        <v>0.3</v>
      </c>
      <c r="L931">
        <v>456.3</v>
      </c>
      <c r="M931">
        <v>1521</v>
      </c>
      <c r="N931">
        <v>1064.7</v>
      </c>
      <c r="O931" t="s">
        <v>15</v>
      </c>
    </row>
    <row r="932" spans="1:15" x14ac:dyDescent="0.25">
      <c r="A932">
        <v>1734</v>
      </c>
      <c r="B932">
        <v>3502</v>
      </c>
      <c r="C932" t="s">
        <v>761</v>
      </c>
      <c r="D932" t="s">
        <v>762</v>
      </c>
      <c r="E932" t="s">
        <v>1208</v>
      </c>
      <c r="F932" s="1">
        <v>45633</v>
      </c>
      <c r="G932" s="34" t="str">
        <f t="shared" si="14"/>
        <v>Dec</v>
      </c>
      <c r="H932">
        <v>1</v>
      </c>
      <c r="I932" t="s">
        <v>1243</v>
      </c>
      <c r="J932" t="s">
        <v>1220</v>
      </c>
      <c r="K932">
        <v>0.3</v>
      </c>
      <c r="L932">
        <v>235.5</v>
      </c>
      <c r="M932">
        <v>785</v>
      </c>
      <c r="N932">
        <v>549.5</v>
      </c>
      <c r="O932" t="s">
        <v>19</v>
      </c>
    </row>
    <row r="933" spans="1:15" x14ac:dyDescent="0.25">
      <c r="A933">
        <v>1981</v>
      </c>
      <c r="B933">
        <v>3749</v>
      </c>
      <c r="C933" t="s">
        <v>999</v>
      </c>
      <c r="D933" t="s">
        <v>255</v>
      </c>
      <c r="E933" t="s">
        <v>1249</v>
      </c>
      <c r="F933" s="1">
        <v>45633</v>
      </c>
      <c r="G933" s="34" t="str">
        <f t="shared" si="14"/>
        <v>Dec</v>
      </c>
      <c r="H933">
        <v>3</v>
      </c>
      <c r="I933" t="s">
        <v>1242</v>
      </c>
      <c r="J933" t="s">
        <v>1233</v>
      </c>
      <c r="K933">
        <v>0.25</v>
      </c>
      <c r="L933">
        <v>116.25</v>
      </c>
      <c r="M933">
        <v>465</v>
      </c>
      <c r="N933">
        <v>348.75</v>
      </c>
      <c r="O933" t="s">
        <v>1200</v>
      </c>
    </row>
    <row r="934" spans="1:15" x14ac:dyDescent="0.25">
      <c r="A934">
        <v>2051</v>
      </c>
      <c r="B934">
        <v>3819</v>
      </c>
      <c r="C934" t="s">
        <v>1057</v>
      </c>
      <c r="D934" t="s">
        <v>961</v>
      </c>
      <c r="E934" t="s">
        <v>1205</v>
      </c>
      <c r="F934" s="1">
        <v>45633</v>
      </c>
      <c r="G934" s="34" t="str">
        <f t="shared" si="14"/>
        <v>Dec</v>
      </c>
      <c r="H934">
        <v>1</v>
      </c>
      <c r="I934" t="s">
        <v>14</v>
      </c>
      <c r="J934" t="s">
        <v>1216</v>
      </c>
      <c r="K934">
        <v>0.1</v>
      </c>
      <c r="L934">
        <v>170.3</v>
      </c>
      <c r="M934">
        <v>1703</v>
      </c>
      <c r="N934">
        <v>1532.7</v>
      </c>
      <c r="O934" t="s">
        <v>1200</v>
      </c>
    </row>
    <row r="935" spans="1:15" x14ac:dyDescent="0.25">
      <c r="A935">
        <v>1391</v>
      </c>
      <c r="B935">
        <v>3158</v>
      </c>
      <c r="C935" t="s">
        <v>307</v>
      </c>
      <c r="D935" t="s">
        <v>308</v>
      </c>
      <c r="E935" t="s">
        <v>1249</v>
      </c>
      <c r="F935" s="1">
        <v>45634</v>
      </c>
      <c r="G935" s="34" t="str">
        <f t="shared" si="14"/>
        <v>Dec</v>
      </c>
      <c r="H935">
        <v>3</v>
      </c>
      <c r="I935" t="s">
        <v>14</v>
      </c>
      <c r="J935" t="s">
        <v>1228</v>
      </c>
      <c r="K935">
        <v>0.25</v>
      </c>
      <c r="L935">
        <v>191.5</v>
      </c>
      <c r="M935">
        <v>766</v>
      </c>
      <c r="N935">
        <v>574.5</v>
      </c>
      <c r="O935" t="s">
        <v>13</v>
      </c>
    </row>
    <row r="936" spans="1:15" x14ac:dyDescent="0.25">
      <c r="A936">
        <v>1243</v>
      </c>
      <c r="B936">
        <v>3010</v>
      </c>
      <c r="C936" t="s">
        <v>44</v>
      </c>
      <c r="D936" t="s">
        <v>45</v>
      </c>
      <c r="E936" t="s">
        <v>1208</v>
      </c>
      <c r="F936" s="1">
        <v>45635</v>
      </c>
      <c r="G936" s="34" t="str">
        <f t="shared" si="14"/>
        <v>Dec</v>
      </c>
      <c r="H936">
        <v>2</v>
      </c>
      <c r="I936" t="s">
        <v>1242</v>
      </c>
      <c r="J936" t="s">
        <v>1228</v>
      </c>
      <c r="K936">
        <v>0.3</v>
      </c>
      <c r="L936">
        <v>319.8</v>
      </c>
      <c r="M936">
        <v>1066</v>
      </c>
      <c r="N936">
        <v>746.2</v>
      </c>
      <c r="O936" t="s">
        <v>19</v>
      </c>
    </row>
    <row r="937" spans="1:15" x14ac:dyDescent="0.25">
      <c r="A937">
        <v>1299</v>
      </c>
      <c r="B937">
        <v>3066</v>
      </c>
      <c r="C937" t="s">
        <v>37</v>
      </c>
      <c r="D937" t="s">
        <v>151</v>
      </c>
      <c r="E937" t="s">
        <v>1249</v>
      </c>
      <c r="F937" s="1">
        <v>45636</v>
      </c>
      <c r="G937" s="34" t="str">
        <f t="shared" si="14"/>
        <v>Dec</v>
      </c>
      <c r="H937">
        <v>3</v>
      </c>
      <c r="I937" t="s">
        <v>1242</v>
      </c>
      <c r="J937" t="s">
        <v>1233</v>
      </c>
      <c r="K937">
        <v>0.25</v>
      </c>
      <c r="L937">
        <v>276</v>
      </c>
      <c r="M937">
        <v>1104</v>
      </c>
      <c r="N937">
        <v>828</v>
      </c>
      <c r="O937" t="s">
        <v>13</v>
      </c>
    </row>
    <row r="938" spans="1:15" x14ac:dyDescent="0.25">
      <c r="A938">
        <v>1670</v>
      </c>
      <c r="B938">
        <v>3438</v>
      </c>
      <c r="C938" t="s">
        <v>684</v>
      </c>
      <c r="D938" t="s">
        <v>366</v>
      </c>
      <c r="E938" t="s">
        <v>1207</v>
      </c>
      <c r="F938" s="1">
        <v>45636</v>
      </c>
      <c r="G938" s="34" t="str">
        <f t="shared" si="14"/>
        <v>Dec</v>
      </c>
      <c r="H938">
        <v>1</v>
      </c>
      <c r="I938" t="s">
        <v>1243</v>
      </c>
      <c r="J938" t="s">
        <v>1214</v>
      </c>
      <c r="K938">
        <v>0.2</v>
      </c>
      <c r="L938">
        <v>230.6</v>
      </c>
      <c r="M938">
        <v>1153</v>
      </c>
      <c r="N938">
        <v>922.4</v>
      </c>
      <c r="O938" t="s">
        <v>13</v>
      </c>
    </row>
    <row r="939" spans="1:15" x14ac:dyDescent="0.25">
      <c r="A939">
        <v>1709</v>
      </c>
      <c r="B939">
        <v>3477</v>
      </c>
      <c r="C939" t="s">
        <v>736</v>
      </c>
      <c r="D939" t="s">
        <v>174</v>
      </c>
      <c r="E939" t="s">
        <v>1205</v>
      </c>
      <c r="F939" s="1">
        <v>45636</v>
      </c>
      <c r="G939" s="34" t="str">
        <f t="shared" si="14"/>
        <v>Dec</v>
      </c>
      <c r="H939">
        <v>1</v>
      </c>
      <c r="I939" t="s">
        <v>14</v>
      </c>
      <c r="J939" t="s">
        <v>1222</v>
      </c>
      <c r="K939">
        <v>0.1</v>
      </c>
      <c r="L939">
        <v>184.5</v>
      </c>
      <c r="M939">
        <v>1845</v>
      </c>
      <c r="N939">
        <v>1660.5</v>
      </c>
      <c r="O939" t="s">
        <v>19</v>
      </c>
    </row>
    <row r="940" spans="1:15" x14ac:dyDescent="0.25">
      <c r="A940">
        <v>1378</v>
      </c>
      <c r="B940">
        <v>3145</v>
      </c>
      <c r="C940" t="s">
        <v>288</v>
      </c>
      <c r="D940" t="s">
        <v>289</v>
      </c>
      <c r="E940" t="s">
        <v>1249</v>
      </c>
      <c r="F940" s="1">
        <v>45637</v>
      </c>
      <c r="G940" s="34" t="str">
        <f t="shared" si="14"/>
        <v>Dec</v>
      </c>
      <c r="H940">
        <v>1</v>
      </c>
      <c r="I940" t="s">
        <v>14</v>
      </c>
      <c r="J940" t="s">
        <v>1224</v>
      </c>
      <c r="K940">
        <v>0.25</v>
      </c>
      <c r="L940">
        <v>406.75</v>
      </c>
      <c r="M940">
        <v>1627</v>
      </c>
      <c r="N940">
        <v>1220.25</v>
      </c>
      <c r="O940" t="s">
        <v>1200</v>
      </c>
    </row>
    <row r="941" spans="1:15" x14ac:dyDescent="0.25">
      <c r="A941">
        <v>1411</v>
      </c>
      <c r="B941">
        <v>3178</v>
      </c>
      <c r="C941" t="s">
        <v>336</v>
      </c>
      <c r="D941" t="s">
        <v>337</v>
      </c>
      <c r="E941" t="s">
        <v>1207</v>
      </c>
      <c r="F941" s="1">
        <v>45637</v>
      </c>
      <c r="G941" s="34" t="str">
        <f t="shared" si="14"/>
        <v>Dec</v>
      </c>
      <c r="H941">
        <v>2</v>
      </c>
      <c r="I941" t="s">
        <v>1243</v>
      </c>
      <c r="J941" t="s">
        <v>1224</v>
      </c>
      <c r="K941">
        <v>0.2</v>
      </c>
      <c r="L941">
        <v>115.2</v>
      </c>
      <c r="M941">
        <v>576</v>
      </c>
      <c r="N941">
        <v>460.8</v>
      </c>
      <c r="O941" t="s">
        <v>19</v>
      </c>
    </row>
    <row r="942" spans="1:15" x14ac:dyDescent="0.25">
      <c r="A942">
        <v>1763</v>
      </c>
      <c r="B942">
        <v>3531</v>
      </c>
      <c r="C942" t="s">
        <v>536</v>
      </c>
      <c r="D942" t="s">
        <v>700</v>
      </c>
      <c r="E942" t="s">
        <v>1249</v>
      </c>
      <c r="F942" s="1">
        <v>45637</v>
      </c>
      <c r="G942" s="34" t="str">
        <f t="shared" si="14"/>
        <v>Dec</v>
      </c>
      <c r="H942">
        <v>2</v>
      </c>
      <c r="I942" t="s">
        <v>1242</v>
      </c>
      <c r="J942" t="s">
        <v>1228</v>
      </c>
      <c r="K942">
        <v>0.25</v>
      </c>
      <c r="L942">
        <v>109.75</v>
      </c>
      <c r="M942">
        <v>439</v>
      </c>
      <c r="N942">
        <v>329.25</v>
      </c>
      <c r="O942" t="s">
        <v>15</v>
      </c>
    </row>
    <row r="943" spans="1:15" x14ac:dyDescent="0.25">
      <c r="A943">
        <v>2081</v>
      </c>
      <c r="B943">
        <v>3849</v>
      </c>
      <c r="C943" t="s">
        <v>1083</v>
      </c>
      <c r="D943" t="s">
        <v>127</v>
      </c>
      <c r="E943" t="s">
        <v>1207</v>
      </c>
      <c r="F943" s="1">
        <v>45637</v>
      </c>
      <c r="G943" s="34" t="str">
        <f t="shared" si="14"/>
        <v>Dec</v>
      </c>
      <c r="H943">
        <v>1</v>
      </c>
      <c r="I943" t="s">
        <v>1243</v>
      </c>
      <c r="J943" t="s">
        <v>1214</v>
      </c>
      <c r="K943">
        <v>0.2</v>
      </c>
      <c r="L943">
        <v>142.6</v>
      </c>
      <c r="M943">
        <v>713</v>
      </c>
      <c r="N943">
        <v>570.4</v>
      </c>
      <c r="O943" t="s">
        <v>15</v>
      </c>
    </row>
    <row r="944" spans="1:15" x14ac:dyDescent="0.25">
      <c r="A944">
        <v>1362</v>
      </c>
      <c r="B944">
        <v>3129</v>
      </c>
      <c r="C944" t="s">
        <v>259</v>
      </c>
      <c r="D944" t="s">
        <v>260</v>
      </c>
      <c r="E944" t="s">
        <v>1249</v>
      </c>
      <c r="F944" s="1">
        <v>45639</v>
      </c>
      <c r="G944" s="34" t="str">
        <f t="shared" si="14"/>
        <v>Dec</v>
      </c>
      <c r="H944">
        <v>3</v>
      </c>
      <c r="I944" t="s">
        <v>1242</v>
      </c>
      <c r="J944" t="s">
        <v>1214</v>
      </c>
      <c r="K944">
        <v>0.25</v>
      </c>
      <c r="L944">
        <v>4.5</v>
      </c>
      <c r="M944">
        <v>18</v>
      </c>
      <c r="N944">
        <v>13.5</v>
      </c>
      <c r="O944" t="s">
        <v>15</v>
      </c>
    </row>
    <row r="945" spans="1:15" x14ac:dyDescent="0.25">
      <c r="A945">
        <v>1402</v>
      </c>
      <c r="B945">
        <v>3169</v>
      </c>
      <c r="C945" t="s">
        <v>324</v>
      </c>
      <c r="D945" t="s">
        <v>179</v>
      </c>
      <c r="E945" t="s">
        <v>1203</v>
      </c>
      <c r="F945" s="1">
        <v>45639</v>
      </c>
      <c r="G945" s="34" t="str">
        <f t="shared" si="14"/>
        <v>Dec</v>
      </c>
      <c r="H945">
        <v>3</v>
      </c>
      <c r="I945" t="s">
        <v>1242</v>
      </c>
      <c r="J945" t="s">
        <v>1233</v>
      </c>
      <c r="K945">
        <v>0.3</v>
      </c>
      <c r="L945">
        <v>240.9</v>
      </c>
      <c r="M945">
        <v>803</v>
      </c>
      <c r="N945">
        <v>562.1</v>
      </c>
      <c r="O945" t="s">
        <v>13</v>
      </c>
    </row>
    <row r="946" spans="1:15" x14ac:dyDescent="0.25">
      <c r="A946">
        <v>1420</v>
      </c>
      <c r="B946">
        <v>3187</v>
      </c>
      <c r="C946" t="s">
        <v>353</v>
      </c>
      <c r="D946" t="s">
        <v>354</v>
      </c>
      <c r="E946" t="s">
        <v>1248</v>
      </c>
      <c r="F946" s="1">
        <v>45639</v>
      </c>
      <c r="G946" s="34" t="str">
        <f t="shared" si="14"/>
        <v>Dec</v>
      </c>
      <c r="H946">
        <v>1</v>
      </c>
      <c r="I946" t="s">
        <v>1242</v>
      </c>
      <c r="J946" t="s">
        <v>1222</v>
      </c>
      <c r="K946">
        <v>0.25</v>
      </c>
      <c r="L946">
        <v>151.75</v>
      </c>
      <c r="M946">
        <v>607</v>
      </c>
      <c r="N946">
        <v>455.25</v>
      </c>
      <c r="O946" t="s">
        <v>19</v>
      </c>
    </row>
    <row r="947" spans="1:15" x14ac:dyDescent="0.25">
      <c r="A947">
        <v>2123</v>
      </c>
      <c r="B947">
        <v>3892</v>
      </c>
      <c r="C947" t="s">
        <v>1121</v>
      </c>
      <c r="D947" t="s">
        <v>1122</v>
      </c>
      <c r="E947" t="s">
        <v>1249</v>
      </c>
      <c r="F947" s="1">
        <v>45639</v>
      </c>
      <c r="G947" s="34" t="str">
        <f t="shared" si="14"/>
        <v>Dec</v>
      </c>
      <c r="H947">
        <v>1</v>
      </c>
      <c r="I947" t="s">
        <v>14</v>
      </c>
      <c r="J947" t="s">
        <v>1216</v>
      </c>
      <c r="K947">
        <v>0.25</v>
      </c>
      <c r="L947">
        <v>79.75</v>
      </c>
      <c r="M947">
        <v>319</v>
      </c>
      <c r="N947">
        <v>239.25</v>
      </c>
      <c r="O947" t="s">
        <v>16</v>
      </c>
    </row>
    <row r="948" spans="1:15" x14ac:dyDescent="0.25">
      <c r="A948">
        <v>1266</v>
      </c>
      <c r="B948">
        <v>3033</v>
      </c>
      <c r="C948" t="s">
        <v>89</v>
      </c>
      <c r="D948" t="s">
        <v>90</v>
      </c>
      <c r="E948" t="s">
        <v>1248</v>
      </c>
      <c r="F948" s="1">
        <v>45640</v>
      </c>
      <c r="G948" s="34" t="str">
        <f t="shared" si="14"/>
        <v>Dec</v>
      </c>
      <c r="H948">
        <v>1</v>
      </c>
      <c r="I948" t="s">
        <v>1243</v>
      </c>
      <c r="J948" t="s">
        <v>1220</v>
      </c>
      <c r="K948">
        <v>0.25</v>
      </c>
      <c r="L948">
        <v>19.5</v>
      </c>
      <c r="M948">
        <v>78</v>
      </c>
      <c r="N948">
        <v>58.5</v>
      </c>
      <c r="O948" t="s">
        <v>15</v>
      </c>
    </row>
    <row r="949" spans="1:15" x14ac:dyDescent="0.25">
      <c r="A949">
        <v>1713</v>
      </c>
      <c r="B949">
        <v>3481</v>
      </c>
      <c r="C949" t="s">
        <v>738</v>
      </c>
      <c r="D949" t="s">
        <v>739</v>
      </c>
      <c r="E949" t="s">
        <v>1203</v>
      </c>
      <c r="F949" s="1">
        <v>45640</v>
      </c>
      <c r="G949" s="34" t="str">
        <f t="shared" si="14"/>
        <v>Dec</v>
      </c>
      <c r="H949">
        <v>2</v>
      </c>
      <c r="I949" t="s">
        <v>1242</v>
      </c>
      <c r="J949" t="s">
        <v>1224</v>
      </c>
      <c r="K949">
        <v>0.3</v>
      </c>
      <c r="L949">
        <v>393.3</v>
      </c>
      <c r="M949">
        <v>1311</v>
      </c>
      <c r="N949">
        <v>917.7</v>
      </c>
      <c r="O949" t="s">
        <v>13</v>
      </c>
    </row>
    <row r="950" spans="1:15" x14ac:dyDescent="0.25">
      <c r="A950">
        <v>1975</v>
      </c>
      <c r="B950">
        <v>3743</v>
      </c>
      <c r="C950" t="s">
        <v>609</v>
      </c>
      <c r="D950" t="s">
        <v>318</v>
      </c>
      <c r="E950" t="s">
        <v>1249</v>
      </c>
      <c r="F950" s="1">
        <v>45640</v>
      </c>
      <c r="G950" s="34" t="str">
        <f t="shared" si="14"/>
        <v>Dec</v>
      </c>
      <c r="H950">
        <v>3</v>
      </c>
      <c r="I950" t="s">
        <v>1242</v>
      </c>
      <c r="J950" t="s">
        <v>1218</v>
      </c>
      <c r="K950">
        <v>0.25</v>
      </c>
      <c r="L950">
        <v>397.5</v>
      </c>
      <c r="M950">
        <v>1590</v>
      </c>
      <c r="N950">
        <v>1192.5</v>
      </c>
      <c r="O950" t="s">
        <v>19</v>
      </c>
    </row>
    <row r="951" spans="1:15" x14ac:dyDescent="0.25">
      <c r="A951">
        <v>2117</v>
      </c>
      <c r="B951">
        <v>3886</v>
      </c>
      <c r="C951" t="s">
        <v>1116</v>
      </c>
      <c r="D951" t="s">
        <v>1022</v>
      </c>
      <c r="E951" t="s">
        <v>1205</v>
      </c>
      <c r="F951" s="1">
        <v>45640</v>
      </c>
      <c r="G951" s="34" t="str">
        <f t="shared" si="14"/>
        <v>Dec</v>
      </c>
      <c r="H951">
        <v>3</v>
      </c>
      <c r="I951" t="s">
        <v>18</v>
      </c>
      <c r="J951" t="s">
        <v>1220</v>
      </c>
      <c r="K951">
        <v>0.1</v>
      </c>
      <c r="L951">
        <v>153.9</v>
      </c>
      <c r="M951">
        <v>1539</v>
      </c>
      <c r="N951">
        <v>1385.1</v>
      </c>
      <c r="O951" t="s">
        <v>13</v>
      </c>
    </row>
    <row r="952" spans="1:15" x14ac:dyDescent="0.25">
      <c r="A952">
        <v>2200</v>
      </c>
      <c r="B952">
        <v>3969</v>
      </c>
      <c r="C952" t="s">
        <v>1178</v>
      </c>
      <c r="D952" t="s">
        <v>541</v>
      </c>
      <c r="E952" t="s">
        <v>1207</v>
      </c>
      <c r="F952" s="1">
        <v>45640</v>
      </c>
      <c r="G952" s="34" t="str">
        <f t="shared" si="14"/>
        <v>Dec</v>
      </c>
      <c r="H952">
        <v>1</v>
      </c>
      <c r="I952" t="s">
        <v>1242</v>
      </c>
      <c r="J952" t="s">
        <v>1216</v>
      </c>
      <c r="K952">
        <v>0.2</v>
      </c>
      <c r="L952">
        <v>230.6</v>
      </c>
      <c r="M952">
        <v>1153</v>
      </c>
      <c r="N952">
        <v>922.4</v>
      </c>
      <c r="O952" t="s">
        <v>16</v>
      </c>
    </row>
    <row r="953" spans="1:15" x14ac:dyDescent="0.25">
      <c r="A953">
        <v>2227</v>
      </c>
      <c r="B953">
        <v>3996</v>
      </c>
      <c r="C953" t="s">
        <v>437</v>
      </c>
      <c r="D953" t="s">
        <v>1196</v>
      </c>
      <c r="E953" t="s">
        <v>1249</v>
      </c>
      <c r="F953" s="1">
        <v>45640</v>
      </c>
      <c r="G953" s="34" t="str">
        <f t="shared" si="14"/>
        <v>Dec</v>
      </c>
      <c r="H953">
        <v>3</v>
      </c>
      <c r="I953" t="s">
        <v>1242</v>
      </c>
      <c r="J953" t="s">
        <v>1222</v>
      </c>
      <c r="K953">
        <v>0.25</v>
      </c>
      <c r="L953">
        <v>466.25</v>
      </c>
      <c r="M953">
        <v>1865</v>
      </c>
      <c r="N953">
        <v>1398.75</v>
      </c>
      <c r="O953" t="s">
        <v>13</v>
      </c>
    </row>
    <row r="954" spans="1:15" x14ac:dyDescent="0.25">
      <c r="A954">
        <v>1994</v>
      </c>
      <c r="B954">
        <v>3762</v>
      </c>
      <c r="C954" t="s">
        <v>783</v>
      </c>
      <c r="D954" t="s">
        <v>464</v>
      </c>
      <c r="E954" t="s">
        <v>1249</v>
      </c>
      <c r="F954" s="1">
        <v>45641</v>
      </c>
      <c r="G954" s="34" t="str">
        <f t="shared" si="14"/>
        <v>Dec</v>
      </c>
      <c r="H954">
        <v>1</v>
      </c>
      <c r="I954" t="s">
        <v>14</v>
      </c>
      <c r="J954" t="s">
        <v>1228</v>
      </c>
      <c r="K954">
        <v>0.25</v>
      </c>
      <c r="L954">
        <v>166.25</v>
      </c>
      <c r="M954">
        <v>665</v>
      </c>
      <c r="N954">
        <v>498.75</v>
      </c>
      <c r="O954" t="s">
        <v>1200</v>
      </c>
    </row>
    <row r="955" spans="1:15" x14ac:dyDescent="0.25">
      <c r="A955">
        <v>1312</v>
      </c>
      <c r="B955">
        <v>3079</v>
      </c>
      <c r="C955" t="s">
        <v>173</v>
      </c>
      <c r="D955" t="s">
        <v>174</v>
      </c>
      <c r="E955" t="s">
        <v>1207</v>
      </c>
      <c r="F955" s="1">
        <v>45642</v>
      </c>
      <c r="G955" s="34" t="str">
        <f t="shared" si="14"/>
        <v>Dec</v>
      </c>
      <c r="H955">
        <v>2</v>
      </c>
      <c r="I955" t="s">
        <v>1242</v>
      </c>
      <c r="J955" t="s">
        <v>1220</v>
      </c>
      <c r="K955">
        <v>0.2</v>
      </c>
      <c r="L955">
        <v>38.200000000000003</v>
      </c>
      <c r="M955">
        <v>191</v>
      </c>
      <c r="N955">
        <v>152.80000000000001</v>
      </c>
      <c r="O955" t="s">
        <v>15</v>
      </c>
    </row>
    <row r="956" spans="1:15" x14ac:dyDescent="0.25">
      <c r="A956">
        <v>1565</v>
      </c>
      <c r="B956">
        <v>3332</v>
      </c>
      <c r="C956" t="s">
        <v>559</v>
      </c>
      <c r="D956" t="s">
        <v>560</v>
      </c>
      <c r="E956" t="s">
        <v>1208</v>
      </c>
      <c r="F956" s="1">
        <v>45642</v>
      </c>
      <c r="G956" s="34" t="str">
        <f t="shared" si="14"/>
        <v>Dec</v>
      </c>
      <c r="H956">
        <v>3</v>
      </c>
      <c r="I956" t="s">
        <v>14</v>
      </c>
      <c r="J956" t="s">
        <v>1224</v>
      </c>
      <c r="K956">
        <v>0.3</v>
      </c>
      <c r="L956">
        <v>109.8</v>
      </c>
      <c r="M956">
        <v>366</v>
      </c>
      <c r="N956">
        <v>256.2</v>
      </c>
      <c r="O956" t="s">
        <v>16</v>
      </c>
    </row>
    <row r="957" spans="1:15" x14ac:dyDescent="0.25">
      <c r="A957">
        <v>1742</v>
      </c>
      <c r="B957">
        <v>3510</v>
      </c>
      <c r="C957" t="s">
        <v>71</v>
      </c>
      <c r="D957" t="s">
        <v>768</v>
      </c>
      <c r="E957" t="s">
        <v>1203</v>
      </c>
      <c r="F957" s="1">
        <v>45642</v>
      </c>
      <c r="G957" s="34" t="str">
        <f t="shared" si="14"/>
        <v>Dec</v>
      </c>
      <c r="H957">
        <v>3</v>
      </c>
      <c r="I957" t="s">
        <v>1242</v>
      </c>
      <c r="J957" t="s">
        <v>1216</v>
      </c>
      <c r="K957">
        <v>0.3</v>
      </c>
      <c r="L957">
        <v>38.1</v>
      </c>
      <c r="M957">
        <v>127</v>
      </c>
      <c r="N957">
        <v>88.9</v>
      </c>
      <c r="O957" t="s">
        <v>19</v>
      </c>
    </row>
    <row r="958" spans="1:15" x14ac:dyDescent="0.25">
      <c r="A958">
        <v>1858</v>
      </c>
      <c r="B958">
        <v>3626</v>
      </c>
      <c r="C958" t="s">
        <v>885</v>
      </c>
      <c r="D958" t="s">
        <v>886</v>
      </c>
      <c r="E958" t="s">
        <v>1249</v>
      </c>
      <c r="F958" s="1">
        <v>45642</v>
      </c>
      <c r="G958" s="34" t="str">
        <f t="shared" si="14"/>
        <v>Dec</v>
      </c>
      <c r="H958">
        <v>2</v>
      </c>
      <c r="I958" t="s">
        <v>14</v>
      </c>
      <c r="J958" t="s">
        <v>1233</v>
      </c>
      <c r="K958">
        <v>0.25</v>
      </c>
      <c r="L958">
        <v>220.5</v>
      </c>
      <c r="M958">
        <v>882</v>
      </c>
      <c r="N958">
        <v>661.5</v>
      </c>
      <c r="O958" t="s">
        <v>1200</v>
      </c>
    </row>
    <row r="959" spans="1:15" x14ac:dyDescent="0.25">
      <c r="A959">
        <v>2017</v>
      </c>
      <c r="B959">
        <v>3785</v>
      </c>
      <c r="C959" t="s">
        <v>1027</v>
      </c>
      <c r="D959" t="s">
        <v>1028</v>
      </c>
      <c r="E959" t="s">
        <v>1203</v>
      </c>
      <c r="F959" s="1">
        <v>45642</v>
      </c>
      <c r="G959" s="34" t="str">
        <f t="shared" si="14"/>
        <v>Dec</v>
      </c>
      <c r="H959">
        <v>3</v>
      </c>
      <c r="I959" t="s">
        <v>14</v>
      </c>
      <c r="J959" t="s">
        <v>1220</v>
      </c>
      <c r="K959">
        <v>0.3</v>
      </c>
      <c r="L959">
        <v>434.1</v>
      </c>
      <c r="M959">
        <v>1447</v>
      </c>
      <c r="N959">
        <v>1012.9</v>
      </c>
      <c r="O959" t="s">
        <v>1200</v>
      </c>
    </row>
    <row r="960" spans="1:15" x14ac:dyDescent="0.25">
      <c r="A960">
        <v>2053</v>
      </c>
      <c r="B960">
        <v>3821</v>
      </c>
      <c r="C960" t="s">
        <v>1059</v>
      </c>
      <c r="D960" t="s">
        <v>21</v>
      </c>
      <c r="E960" t="s">
        <v>1208</v>
      </c>
      <c r="F960" s="1">
        <v>45642</v>
      </c>
      <c r="G960" s="34" t="str">
        <f t="shared" si="14"/>
        <v>Dec</v>
      </c>
      <c r="H960">
        <v>2</v>
      </c>
      <c r="I960" t="s">
        <v>1243</v>
      </c>
      <c r="J960" t="s">
        <v>1222</v>
      </c>
      <c r="K960">
        <v>0.3</v>
      </c>
      <c r="L960">
        <v>307.8</v>
      </c>
      <c r="M960">
        <v>1026</v>
      </c>
      <c r="N960">
        <v>718.2</v>
      </c>
      <c r="O960" t="s">
        <v>13</v>
      </c>
    </row>
    <row r="961" spans="1:15" x14ac:dyDescent="0.25">
      <c r="A961">
        <v>2135</v>
      </c>
      <c r="B961">
        <v>3904</v>
      </c>
      <c r="C961" t="s">
        <v>71</v>
      </c>
      <c r="D961" t="s">
        <v>77</v>
      </c>
      <c r="E961" t="s">
        <v>1205</v>
      </c>
      <c r="F961" s="1">
        <v>45642</v>
      </c>
      <c r="G961" s="34" t="str">
        <f t="shared" si="14"/>
        <v>Dec</v>
      </c>
      <c r="H961">
        <v>3</v>
      </c>
      <c r="I961" t="s">
        <v>1242</v>
      </c>
      <c r="J961" t="s">
        <v>1218</v>
      </c>
      <c r="K961">
        <v>0.1</v>
      </c>
      <c r="L961">
        <v>159.6</v>
      </c>
      <c r="M961">
        <v>1596</v>
      </c>
      <c r="N961">
        <v>1436.4</v>
      </c>
      <c r="O961" t="s">
        <v>16</v>
      </c>
    </row>
    <row r="962" spans="1:15" x14ac:dyDescent="0.25">
      <c r="A962">
        <v>2169</v>
      </c>
      <c r="B962">
        <v>3938</v>
      </c>
      <c r="C962" t="s">
        <v>1161</v>
      </c>
      <c r="D962" t="s">
        <v>554</v>
      </c>
      <c r="E962" t="s">
        <v>1207</v>
      </c>
      <c r="F962" s="1">
        <v>45642</v>
      </c>
      <c r="G962" s="34" t="str">
        <f t="shared" ref="G962:G1001" si="15">TEXT(F962, "MMM")</f>
        <v>Dec</v>
      </c>
      <c r="H962">
        <v>2</v>
      </c>
      <c r="I962" t="s">
        <v>14</v>
      </c>
      <c r="J962" t="s">
        <v>1218</v>
      </c>
      <c r="K962">
        <v>0.2</v>
      </c>
      <c r="L962">
        <v>268.39999999999998</v>
      </c>
      <c r="M962">
        <v>1342</v>
      </c>
      <c r="N962">
        <v>1073.5999999999999</v>
      </c>
      <c r="O962" t="s">
        <v>13</v>
      </c>
    </row>
    <row r="963" spans="1:15" x14ac:dyDescent="0.25">
      <c r="A963">
        <v>2174</v>
      </c>
      <c r="B963">
        <v>3943</v>
      </c>
      <c r="C963" t="s">
        <v>683</v>
      </c>
      <c r="D963" t="s">
        <v>892</v>
      </c>
      <c r="E963" t="s">
        <v>1203</v>
      </c>
      <c r="F963" s="1">
        <v>45643</v>
      </c>
      <c r="G963" s="34" t="str">
        <f t="shared" si="15"/>
        <v>Dec</v>
      </c>
      <c r="H963">
        <v>3</v>
      </c>
      <c r="I963" t="s">
        <v>18</v>
      </c>
      <c r="J963" t="s">
        <v>1222</v>
      </c>
      <c r="K963">
        <v>0.3</v>
      </c>
      <c r="L963">
        <v>282.60000000000002</v>
      </c>
      <c r="M963">
        <v>942</v>
      </c>
      <c r="N963">
        <v>659.4</v>
      </c>
      <c r="O963" t="s">
        <v>15</v>
      </c>
    </row>
    <row r="964" spans="1:15" x14ac:dyDescent="0.25">
      <c r="A964">
        <v>1421</v>
      </c>
      <c r="B964">
        <v>3188</v>
      </c>
      <c r="C964" t="s">
        <v>355</v>
      </c>
      <c r="D964" t="s">
        <v>356</v>
      </c>
      <c r="E964" t="s">
        <v>1249</v>
      </c>
      <c r="F964" s="1">
        <v>45644</v>
      </c>
      <c r="G964" s="34" t="str">
        <f t="shared" si="15"/>
        <v>Dec</v>
      </c>
      <c r="H964">
        <v>2</v>
      </c>
      <c r="I964" t="s">
        <v>1243</v>
      </c>
      <c r="J964" t="s">
        <v>1224</v>
      </c>
      <c r="K964">
        <v>0.25</v>
      </c>
      <c r="L964">
        <v>135.25</v>
      </c>
      <c r="M964">
        <v>541</v>
      </c>
      <c r="N964">
        <v>405.75</v>
      </c>
      <c r="O964" t="s">
        <v>16</v>
      </c>
    </row>
    <row r="965" spans="1:15" x14ac:dyDescent="0.25">
      <c r="A965">
        <v>2129</v>
      </c>
      <c r="B965">
        <v>3898</v>
      </c>
      <c r="C965" t="s">
        <v>50</v>
      </c>
      <c r="D965" t="s">
        <v>98</v>
      </c>
      <c r="E965" t="s">
        <v>1207</v>
      </c>
      <c r="F965" s="1">
        <v>45644</v>
      </c>
      <c r="G965" s="34" t="str">
        <f t="shared" si="15"/>
        <v>Dec</v>
      </c>
      <c r="H965">
        <v>1</v>
      </c>
      <c r="I965" t="s">
        <v>14</v>
      </c>
      <c r="J965" t="s">
        <v>1224</v>
      </c>
      <c r="K965">
        <v>0.2</v>
      </c>
      <c r="L965">
        <v>224.8</v>
      </c>
      <c r="M965">
        <v>1124</v>
      </c>
      <c r="N965">
        <v>899.2</v>
      </c>
      <c r="O965" t="s">
        <v>13</v>
      </c>
    </row>
    <row r="966" spans="1:15" x14ac:dyDescent="0.25">
      <c r="A966">
        <v>1250</v>
      </c>
      <c r="B966">
        <v>3017</v>
      </c>
      <c r="C966" t="s">
        <v>58</v>
      </c>
      <c r="D966" t="s">
        <v>59</v>
      </c>
      <c r="E966" t="s">
        <v>1205</v>
      </c>
      <c r="F966" s="1">
        <v>45645</v>
      </c>
      <c r="G966" s="34" t="str">
        <f t="shared" si="15"/>
        <v>Dec</v>
      </c>
      <c r="H966">
        <v>2</v>
      </c>
      <c r="I966" t="s">
        <v>14</v>
      </c>
      <c r="J966" t="s">
        <v>1218</v>
      </c>
      <c r="K966">
        <v>0.1</v>
      </c>
      <c r="L966">
        <v>56.4</v>
      </c>
      <c r="M966">
        <v>564</v>
      </c>
      <c r="N966">
        <v>507.6</v>
      </c>
      <c r="O966" t="s">
        <v>13</v>
      </c>
    </row>
    <row r="967" spans="1:15" x14ac:dyDescent="0.25">
      <c r="A967">
        <v>1350</v>
      </c>
      <c r="B967">
        <v>3117</v>
      </c>
      <c r="C967" t="s">
        <v>135</v>
      </c>
      <c r="D967" t="s">
        <v>239</v>
      </c>
      <c r="E967" t="s">
        <v>1249</v>
      </c>
      <c r="F967" s="1">
        <v>45645</v>
      </c>
      <c r="G967" s="34" t="str">
        <f t="shared" si="15"/>
        <v>Dec</v>
      </c>
      <c r="H967">
        <v>2</v>
      </c>
      <c r="I967" t="s">
        <v>1242</v>
      </c>
      <c r="J967" t="s">
        <v>1218</v>
      </c>
      <c r="K967">
        <v>0.25</v>
      </c>
      <c r="L967">
        <v>436.25</v>
      </c>
      <c r="M967">
        <v>1745</v>
      </c>
      <c r="N967">
        <v>1308.75</v>
      </c>
      <c r="O967" t="s">
        <v>13</v>
      </c>
    </row>
    <row r="968" spans="1:15" x14ac:dyDescent="0.25">
      <c r="A968">
        <v>2216</v>
      </c>
      <c r="B968">
        <v>3985</v>
      </c>
      <c r="C968" t="s">
        <v>731</v>
      </c>
      <c r="D968" t="s">
        <v>1188</v>
      </c>
      <c r="E968" t="s">
        <v>1248</v>
      </c>
      <c r="F968" s="1">
        <v>45645</v>
      </c>
      <c r="G968" s="34" t="str">
        <f t="shared" si="15"/>
        <v>Dec</v>
      </c>
      <c r="H968">
        <v>3</v>
      </c>
      <c r="I968" t="s">
        <v>1242</v>
      </c>
      <c r="J968" t="s">
        <v>1214</v>
      </c>
      <c r="K968">
        <v>0.25</v>
      </c>
      <c r="L968">
        <v>379</v>
      </c>
      <c r="M968">
        <v>1516</v>
      </c>
      <c r="N968">
        <v>1137</v>
      </c>
      <c r="O968" t="s">
        <v>1200</v>
      </c>
    </row>
    <row r="969" spans="1:15" x14ac:dyDescent="0.25">
      <c r="A969">
        <v>1264</v>
      </c>
      <c r="B969">
        <v>3031</v>
      </c>
      <c r="C969" t="s">
        <v>85</v>
      </c>
      <c r="D969" t="s">
        <v>86</v>
      </c>
      <c r="E969" t="s">
        <v>1208</v>
      </c>
      <c r="F969" s="1">
        <v>45646</v>
      </c>
      <c r="G969" s="34" t="str">
        <f t="shared" si="15"/>
        <v>Dec</v>
      </c>
      <c r="H969">
        <v>3</v>
      </c>
      <c r="I969" t="s">
        <v>1242</v>
      </c>
      <c r="J969" t="s">
        <v>1222</v>
      </c>
      <c r="K969">
        <v>0.3</v>
      </c>
      <c r="L969">
        <v>280.5</v>
      </c>
      <c r="M969">
        <v>935</v>
      </c>
      <c r="N969">
        <v>654.5</v>
      </c>
      <c r="O969" t="s">
        <v>16</v>
      </c>
    </row>
    <row r="970" spans="1:15" x14ac:dyDescent="0.25">
      <c r="A970">
        <v>2094</v>
      </c>
      <c r="B970">
        <v>3863</v>
      </c>
      <c r="C970" t="s">
        <v>298</v>
      </c>
      <c r="D970" t="s">
        <v>888</v>
      </c>
      <c r="E970" t="s">
        <v>1248</v>
      </c>
      <c r="F970" s="1">
        <v>45646</v>
      </c>
      <c r="G970" s="34" t="str">
        <f t="shared" si="15"/>
        <v>Dec</v>
      </c>
      <c r="H970">
        <v>2</v>
      </c>
      <c r="I970" t="s">
        <v>14</v>
      </c>
      <c r="J970" t="s">
        <v>1224</v>
      </c>
      <c r="K970">
        <v>0.25</v>
      </c>
      <c r="L970">
        <v>339.5</v>
      </c>
      <c r="M970">
        <v>1358</v>
      </c>
      <c r="N970">
        <v>1018.5</v>
      </c>
      <c r="O970" t="s">
        <v>13</v>
      </c>
    </row>
    <row r="971" spans="1:15" x14ac:dyDescent="0.25">
      <c r="A971">
        <v>2103</v>
      </c>
      <c r="B971">
        <v>3872</v>
      </c>
      <c r="C971" t="s">
        <v>133</v>
      </c>
      <c r="D971" t="s">
        <v>1101</v>
      </c>
      <c r="E971" t="s">
        <v>1249</v>
      </c>
      <c r="F971" s="1">
        <v>45646</v>
      </c>
      <c r="G971" s="34" t="str">
        <f t="shared" si="15"/>
        <v>Dec</v>
      </c>
      <c r="H971">
        <v>3</v>
      </c>
      <c r="I971" t="s">
        <v>1242</v>
      </c>
      <c r="J971" t="s">
        <v>1228</v>
      </c>
      <c r="K971">
        <v>0.25</v>
      </c>
      <c r="L971">
        <v>464.75</v>
      </c>
      <c r="M971">
        <v>1859</v>
      </c>
      <c r="N971">
        <v>1394.25</v>
      </c>
      <c r="O971" t="s">
        <v>16</v>
      </c>
    </row>
    <row r="972" spans="1:15" x14ac:dyDescent="0.25">
      <c r="A972">
        <v>2217</v>
      </c>
      <c r="B972">
        <v>3986</v>
      </c>
      <c r="C972" t="s">
        <v>40</v>
      </c>
      <c r="D972" t="s">
        <v>802</v>
      </c>
      <c r="E972" t="s">
        <v>1249</v>
      </c>
      <c r="F972" s="1">
        <v>45646</v>
      </c>
      <c r="G972" s="34" t="str">
        <f t="shared" si="15"/>
        <v>Dec</v>
      </c>
      <c r="H972">
        <v>1</v>
      </c>
      <c r="I972" t="s">
        <v>1242</v>
      </c>
      <c r="J972" t="s">
        <v>1216</v>
      </c>
      <c r="K972">
        <v>0.25</v>
      </c>
      <c r="L972">
        <v>247.75</v>
      </c>
      <c r="M972">
        <v>991</v>
      </c>
      <c r="N972">
        <v>743.25</v>
      </c>
      <c r="O972" t="s">
        <v>13</v>
      </c>
    </row>
    <row r="973" spans="1:15" x14ac:dyDescent="0.25">
      <c r="A973">
        <v>1842</v>
      </c>
      <c r="B973">
        <v>3610</v>
      </c>
      <c r="C973" t="s">
        <v>517</v>
      </c>
      <c r="D973" t="s">
        <v>870</v>
      </c>
      <c r="E973" t="s">
        <v>1248</v>
      </c>
      <c r="F973" s="1">
        <v>45647</v>
      </c>
      <c r="G973" s="34" t="str">
        <f t="shared" si="15"/>
        <v>Dec</v>
      </c>
      <c r="H973">
        <v>3</v>
      </c>
      <c r="I973" t="s">
        <v>14</v>
      </c>
      <c r="J973" t="s">
        <v>1220</v>
      </c>
      <c r="K973">
        <v>0.25</v>
      </c>
      <c r="L973">
        <v>363.75</v>
      </c>
      <c r="M973">
        <v>1455</v>
      </c>
      <c r="N973">
        <v>1091.25</v>
      </c>
      <c r="O973" t="s">
        <v>19</v>
      </c>
    </row>
    <row r="974" spans="1:15" x14ac:dyDescent="0.25">
      <c r="A974">
        <v>1989</v>
      </c>
      <c r="B974">
        <v>3757</v>
      </c>
      <c r="C974" t="s">
        <v>384</v>
      </c>
      <c r="D974" t="s">
        <v>1005</v>
      </c>
      <c r="E974" t="s">
        <v>1203</v>
      </c>
      <c r="F974" s="1">
        <v>45647</v>
      </c>
      <c r="G974" s="34" t="str">
        <f t="shared" si="15"/>
        <v>Dec</v>
      </c>
      <c r="H974">
        <v>2</v>
      </c>
      <c r="I974" t="s">
        <v>1242</v>
      </c>
      <c r="J974" t="s">
        <v>1218</v>
      </c>
      <c r="K974">
        <v>0.3</v>
      </c>
      <c r="L974">
        <v>182.7</v>
      </c>
      <c r="M974">
        <v>609</v>
      </c>
      <c r="N974">
        <v>426.3</v>
      </c>
      <c r="O974" t="s">
        <v>15</v>
      </c>
    </row>
    <row r="975" spans="1:15" x14ac:dyDescent="0.25">
      <c r="A975">
        <v>2147</v>
      </c>
      <c r="B975">
        <v>3916</v>
      </c>
      <c r="C975" t="s">
        <v>213</v>
      </c>
      <c r="D975" t="s">
        <v>1144</v>
      </c>
      <c r="E975" t="s">
        <v>1205</v>
      </c>
      <c r="F975" s="1">
        <v>45647</v>
      </c>
      <c r="G975" s="34" t="str">
        <f t="shared" si="15"/>
        <v>Dec</v>
      </c>
      <c r="H975">
        <v>3</v>
      </c>
      <c r="I975" t="s">
        <v>1242</v>
      </c>
      <c r="J975" t="s">
        <v>1222</v>
      </c>
      <c r="K975">
        <v>0.1</v>
      </c>
      <c r="L975">
        <v>37</v>
      </c>
      <c r="M975">
        <v>370</v>
      </c>
      <c r="N975">
        <v>333</v>
      </c>
      <c r="O975" t="s">
        <v>19</v>
      </c>
    </row>
    <row r="976" spans="1:15" x14ac:dyDescent="0.25">
      <c r="A976">
        <v>1277</v>
      </c>
      <c r="B976">
        <v>3044</v>
      </c>
      <c r="C976" t="s">
        <v>111</v>
      </c>
      <c r="D976" t="s">
        <v>112</v>
      </c>
      <c r="E976" t="s">
        <v>1249</v>
      </c>
      <c r="F976" s="1">
        <v>45648</v>
      </c>
      <c r="G976" s="34" t="str">
        <f t="shared" si="15"/>
        <v>Dec</v>
      </c>
      <c r="H976">
        <v>3</v>
      </c>
      <c r="I976" t="s">
        <v>1243</v>
      </c>
      <c r="J976" t="s">
        <v>1224</v>
      </c>
      <c r="K976">
        <v>0.25</v>
      </c>
      <c r="L976">
        <v>195.25</v>
      </c>
      <c r="M976">
        <v>781</v>
      </c>
      <c r="N976">
        <v>585.75</v>
      </c>
      <c r="O976" t="s">
        <v>16</v>
      </c>
    </row>
    <row r="977" spans="1:15" x14ac:dyDescent="0.25">
      <c r="A977">
        <v>1476</v>
      </c>
      <c r="B977">
        <v>3243</v>
      </c>
      <c r="C977" t="s">
        <v>441</v>
      </c>
      <c r="D977" t="s">
        <v>442</v>
      </c>
      <c r="E977" t="s">
        <v>1248</v>
      </c>
      <c r="F977" s="1">
        <v>45648</v>
      </c>
      <c r="G977" s="34" t="str">
        <f t="shared" si="15"/>
        <v>Dec</v>
      </c>
      <c r="H977">
        <v>2</v>
      </c>
      <c r="I977" t="s">
        <v>14</v>
      </c>
      <c r="J977" t="s">
        <v>1222</v>
      </c>
      <c r="K977">
        <v>0.25</v>
      </c>
      <c r="L977">
        <v>219.75</v>
      </c>
      <c r="M977">
        <v>879</v>
      </c>
      <c r="N977">
        <v>659.25</v>
      </c>
      <c r="O977" t="s">
        <v>16</v>
      </c>
    </row>
    <row r="978" spans="1:15" x14ac:dyDescent="0.25">
      <c r="A978">
        <v>1553</v>
      </c>
      <c r="B978">
        <v>3320</v>
      </c>
      <c r="C978" t="s">
        <v>400</v>
      </c>
      <c r="D978" t="s">
        <v>347</v>
      </c>
      <c r="E978" t="s">
        <v>1249</v>
      </c>
      <c r="F978" s="1">
        <v>45648</v>
      </c>
      <c r="G978" s="34" t="str">
        <f t="shared" si="15"/>
        <v>Dec</v>
      </c>
      <c r="H978">
        <v>2</v>
      </c>
      <c r="I978" t="s">
        <v>14</v>
      </c>
      <c r="J978" t="s">
        <v>1224</v>
      </c>
      <c r="K978">
        <v>0.25</v>
      </c>
      <c r="L978">
        <v>363</v>
      </c>
      <c r="M978">
        <v>1452</v>
      </c>
      <c r="N978">
        <v>1089</v>
      </c>
      <c r="O978" t="s">
        <v>19</v>
      </c>
    </row>
    <row r="979" spans="1:15" x14ac:dyDescent="0.25">
      <c r="A979">
        <v>1563</v>
      </c>
      <c r="B979">
        <v>3330</v>
      </c>
      <c r="C979" t="s">
        <v>557</v>
      </c>
      <c r="D979" t="s">
        <v>98</v>
      </c>
      <c r="E979" t="s">
        <v>1208</v>
      </c>
      <c r="F979" s="1">
        <v>45648</v>
      </c>
      <c r="G979" s="34" t="str">
        <f t="shared" si="15"/>
        <v>Dec</v>
      </c>
      <c r="H979">
        <v>3</v>
      </c>
      <c r="I979" t="s">
        <v>14</v>
      </c>
      <c r="J979" t="s">
        <v>1233</v>
      </c>
      <c r="K979">
        <v>0.3</v>
      </c>
      <c r="L979">
        <v>443.7</v>
      </c>
      <c r="M979">
        <v>1479</v>
      </c>
      <c r="N979">
        <v>1035.3</v>
      </c>
      <c r="O979" t="s">
        <v>16</v>
      </c>
    </row>
    <row r="980" spans="1:15" x14ac:dyDescent="0.25">
      <c r="A980">
        <v>2074</v>
      </c>
      <c r="B980">
        <v>3842</v>
      </c>
      <c r="C980" t="s">
        <v>561</v>
      </c>
      <c r="D980" t="s">
        <v>692</v>
      </c>
      <c r="E980" t="s">
        <v>1205</v>
      </c>
      <c r="F980" s="1">
        <v>45648</v>
      </c>
      <c r="G980" s="34" t="str">
        <f t="shared" si="15"/>
        <v>Dec</v>
      </c>
      <c r="H980">
        <v>2</v>
      </c>
      <c r="I980" t="s">
        <v>1243</v>
      </c>
      <c r="J980" t="s">
        <v>1220</v>
      </c>
      <c r="K980">
        <v>0.1</v>
      </c>
      <c r="L980">
        <v>113.1</v>
      </c>
      <c r="M980">
        <v>1131</v>
      </c>
      <c r="N980">
        <v>1017.9</v>
      </c>
      <c r="O980" t="s">
        <v>16</v>
      </c>
    </row>
    <row r="981" spans="1:15" x14ac:dyDescent="0.25">
      <c r="A981">
        <v>1570</v>
      </c>
      <c r="B981">
        <v>3337</v>
      </c>
      <c r="C981" t="s">
        <v>568</v>
      </c>
      <c r="D981" t="s">
        <v>362</v>
      </c>
      <c r="E981" t="s">
        <v>1203</v>
      </c>
      <c r="F981" s="1">
        <v>45649</v>
      </c>
      <c r="G981" s="34" t="str">
        <f t="shared" si="15"/>
        <v>Dec</v>
      </c>
      <c r="H981">
        <v>3</v>
      </c>
      <c r="I981" t="s">
        <v>1242</v>
      </c>
      <c r="J981" t="s">
        <v>1214</v>
      </c>
      <c r="K981">
        <v>0.3</v>
      </c>
      <c r="L981">
        <v>364.8</v>
      </c>
      <c r="M981">
        <v>1216</v>
      </c>
      <c r="N981">
        <v>851.2</v>
      </c>
      <c r="O981" t="s">
        <v>19</v>
      </c>
    </row>
    <row r="982" spans="1:15" x14ac:dyDescent="0.25">
      <c r="A982">
        <v>1377</v>
      </c>
      <c r="B982">
        <v>3144</v>
      </c>
      <c r="C982" t="s">
        <v>286</v>
      </c>
      <c r="D982" t="s">
        <v>287</v>
      </c>
      <c r="E982" t="s">
        <v>1203</v>
      </c>
      <c r="F982" s="1">
        <v>45650</v>
      </c>
      <c r="G982" s="34" t="str">
        <f t="shared" si="15"/>
        <v>Dec</v>
      </c>
      <c r="H982">
        <v>2</v>
      </c>
      <c r="I982" t="s">
        <v>1242</v>
      </c>
      <c r="J982" t="s">
        <v>1233</v>
      </c>
      <c r="K982">
        <v>0.3</v>
      </c>
      <c r="L982">
        <v>443.1</v>
      </c>
      <c r="M982">
        <v>1477</v>
      </c>
      <c r="N982">
        <v>1033.9000000000001</v>
      </c>
      <c r="O982" t="s">
        <v>16</v>
      </c>
    </row>
    <row r="983" spans="1:15" x14ac:dyDescent="0.25">
      <c r="A983">
        <v>1755</v>
      </c>
      <c r="B983">
        <v>3523</v>
      </c>
      <c r="C983" t="s">
        <v>246</v>
      </c>
      <c r="D983" t="s">
        <v>781</v>
      </c>
      <c r="E983" t="s">
        <v>1249</v>
      </c>
      <c r="F983" s="1">
        <v>45650</v>
      </c>
      <c r="G983" s="34" t="str">
        <f t="shared" si="15"/>
        <v>Dec</v>
      </c>
      <c r="H983">
        <v>2</v>
      </c>
      <c r="I983" t="s">
        <v>1242</v>
      </c>
      <c r="J983" t="s">
        <v>1214</v>
      </c>
      <c r="K983">
        <v>0.25</v>
      </c>
      <c r="L983">
        <v>17.25</v>
      </c>
      <c r="M983">
        <v>69</v>
      </c>
      <c r="N983">
        <v>51.75</v>
      </c>
      <c r="O983" t="s">
        <v>15</v>
      </c>
    </row>
    <row r="984" spans="1:15" x14ac:dyDescent="0.25">
      <c r="A984">
        <v>1336</v>
      </c>
      <c r="B984">
        <v>3103</v>
      </c>
      <c r="C984" t="s">
        <v>217</v>
      </c>
      <c r="D984" t="s">
        <v>218</v>
      </c>
      <c r="E984" t="s">
        <v>1203</v>
      </c>
      <c r="F984" s="1">
        <v>45651</v>
      </c>
      <c r="G984" s="34" t="str">
        <f t="shared" si="15"/>
        <v>Dec</v>
      </c>
      <c r="H984">
        <v>3</v>
      </c>
      <c r="I984" t="s">
        <v>1242</v>
      </c>
      <c r="J984" t="s">
        <v>1224</v>
      </c>
      <c r="K984">
        <v>0.3</v>
      </c>
      <c r="L984">
        <v>324</v>
      </c>
      <c r="M984">
        <v>1080</v>
      </c>
      <c r="N984">
        <v>756</v>
      </c>
      <c r="O984" t="s">
        <v>19</v>
      </c>
    </row>
    <row r="985" spans="1:15" x14ac:dyDescent="0.25">
      <c r="A985">
        <v>1536</v>
      </c>
      <c r="B985">
        <v>3303</v>
      </c>
      <c r="C985" t="s">
        <v>520</v>
      </c>
      <c r="D985" t="s">
        <v>168</v>
      </c>
      <c r="E985" t="s">
        <v>1207</v>
      </c>
      <c r="F985" s="1">
        <v>45651</v>
      </c>
      <c r="G985" s="34" t="str">
        <f t="shared" si="15"/>
        <v>Dec</v>
      </c>
      <c r="H985">
        <v>1</v>
      </c>
      <c r="I985" t="s">
        <v>1243</v>
      </c>
      <c r="J985" t="s">
        <v>1222</v>
      </c>
      <c r="K985">
        <v>0.2</v>
      </c>
      <c r="L985">
        <v>84.6</v>
      </c>
      <c r="M985">
        <v>423</v>
      </c>
      <c r="N985">
        <v>338.4</v>
      </c>
      <c r="O985" t="s">
        <v>16</v>
      </c>
    </row>
    <row r="986" spans="1:15" x14ac:dyDescent="0.25">
      <c r="A986">
        <v>1791</v>
      </c>
      <c r="B986">
        <v>3559</v>
      </c>
      <c r="C986" t="s">
        <v>818</v>
      </c>
      <c r="D986" t="s">
        <v>380</v>
      </c>
      <c r="E986" t="s">
        <v>1207</v>
      </c>
      <c r="F986" s="1">
        <v>45651</v>
      </c>
      <c r="G986" s="34" t="str">
        <f t="shared" si="15"/>
        <v>Dec</v>
      </c>
      <c r="H986">
        <v>3</v>
      </c>
      <c r="I986" t="s">
        <v>1242</v>
      </c>
      <c r="J986" t="s">
        <v>1233</v>
      </c>
      <c r="K986">
        <v>0.2</v>
      </c>
      <c r="L986">
        <v>137</v>
      </c>
      <c r="M986">
        <v>685</v>
      </c>
      <c r="N986">
        <v>548</v>
      </c>
      <c r="O986" t="s">
        <v>13</v>
      </c>
    </row>
    <row r="987" spans="1:15" x14ac:dyDescent="0.25">
      <c r="A987">
        <v>2003</v>
      </c>
      <c r="B987">
        <v>3771</v>
      </c>
      <c r="C987" t="s">
        <v>242</v>
      </c>
      <c r="D987" t="s">
        <v>1017</v>
      </c>
      <c r="E987" t="s">
        <v>1208</v>
      </c>
      <c r="F987" s="1">
        <v>45651</v>
      </c>
      <c r="G987" s="34" t="str">
        <f t="shared" si="15"/>
        <v>Dec</v>
      </c>
      <c r="H987">
        <v>2</v>
      </c>
      <c r="I987" t="s">
        <v>1242</v>
      </c>
      <c r="J987" t="s">
        <v>1218</v>
      </c>
      <c r="K987">
        <v>0.3</v>
      </c>
      <c r="L987">
        <v>276.3</v>
      </c>
      <c r="M987">
        <v>921</v>
      </c>
      <c r="N987">
        <v>644.70000000000005</v>
      </c>
      <c r="O987" t="s">
        <v>19</v>
      </c>
    </row>
    <row r="988" spans="1:15" x14ac:dyDescent="0.25">
      <c r="A988">
        <v>2178</v>
      </c>
      <c r="B988">
        <v>3947</v>
      </c>
      <c r="C988" t="s">
        <v>1165</v>
      </c>
      <c r="D988" t="s">
        <v>235</v>
      </c>
      <c r="E988" t="s">
        <v>1249</v>
      </c>
      <c r="F988" s="1">
        <v>45652</v>
      </c>
      <c r="G988" s="34" t="str">
        <f t="shared" si="15"/>
        <v>Dec</v>
      </c>
      <c r="H988">
        <v>2</v>
      </c>
      <c r="I988" t="s">
        <v>14</v>
      </c>
      <c r="J988" t="s">
        <v>1222</v>
      </c>
      <c r="K988">
        <v>0.25</v>
      </c>
      <c r="L988">
        <v>184.5</v>
      </c>
      <c r="M988">
        <v>738</v>
      </c>
      <c r="N988">
        <v>553.5</v>
      </c>
      <c r="O988" t="s">
        <v>15</v>
      </c>
    </row>
    <row r="989" spans="1:15" x14ac:dyDescent="0.25">
      <c r="A989">
        <v>1346</v>
      </c>
      <c r="B989">
        <v>3113</v>
      </c>
      <c r="C989" t="s">
        <v>29</v>
      </c>
      <c r="D989" t="s">
        <v>69</v>
      </c>
      <c r="E989" t="s">
        <v>1208</v>
      </c>
      <c r="F989" s="1">
        <v>45653</v>
      </c>
      <c r="G989" s="34" t="str">
        <f t="shared" si="15"/>
        <v>Dec</v>
      </c>
      <c r="H989">
        <v>2</v>
      </c>
      <c r="I989" t="s">
        <v>1242</v>
      </c>
      <c r="J989" t="s">
        <v>1222</v>
      </c>
      <c r="K989">
        <v>0.3</v>
      </c>
      <c r="L989">
        <v>143.1</v>
      </c>
      <c r="M989">
        <v>477</v>
      </c>
      <c r="N989">
        <v>333.9</v>
      </c>
      <c r="O989" t="s">
        <v>16</v>
      </c>
    </row>
    <row r="990" spans="1:15" x14ac:dyDescent="0.25">
      <c r="A990">
        <v>1808</v>
      </c>
      <c r="B990">
        <v>3576</v>
      </c>
      <c r="C990" t="s">
        <v>835</v>
      </c>
      <c r="D990" t="s">
        <v>37</v>
      </c>
      <c r="E990" t="s">
        <v>1205</v>
      </c>
      <c r="F990" s="1">
        <v>45653</v>
      </c>
      <c r="G990" s="34" t="str">
        <f t="shared" si="15"/>
        <v>Dec</v>
      </c>
      <c r="H990">
        <v>3</v>
      </c>
      <c r="I990" t="s">
        <v>1242</v>
      </c>
      <c r="J990" t="s">
        <v>1224</v>
      </c>
      <c r="K990">
        <v>0.1</v>
      </c>
      <c r="L990">
        <v>24.6</v>
      </c>
      <c r="M990">
        <v>246</v>
      </c>
      <c r="N990">
        <v>221.4</v>
      </c>
      <c r="O990" t="s">
        <v>13</v>
      </c>
    </row>
    <row r="991" spans="1:15" x14ac:dyDescent="0.25">
      <c r="A991">
        <v>2000</v>
      </c>
      <c r="B991">
        <v>3768</v>
      </c>
      <c r="C991" t="s">
        <v>1016</v>
      </c>
      <c r="D991" t="s">
        <v>382</v>
      </c>
      <c r="E991" t="s">
        <v>1249</v>
      </c>
      <c r="F991" s="1">
        <v>45653</v>
      </c>
      <c r="G991" s="34" t="str">
        <f t="shared" si="15"/>
        <v>Dec</v>
      </c>
      <c r="H991">
        <v>2</v>
      </c>
      <c r="I991" t="s">
        <v>1242</v>
      </c>
      <c r="J991" t="s">
        <v>1214</v>
      </c>
      <c r="K991">
        <v>0.25</v>
      </c>
      <c r="L991">
        <v>151.75</v>
      </c>
      <c r="M991">
        <v>607</v>
      </c>
      <c r="N991">
        <v>455.25</v>
      </c>
      <c r="O991" t="s">
        <v>15</v>
      </c>
    </row>
    <row r="992" spans="1:15" x14ac:dyDescent="0.25">
      <c r="A992">
        <v>1737</v>
      </c>
      <c r="B992">
        <v>3505</v>
      </c>
      <c r="C992" t="s">
        <v>142</v>
      </c>
      <c r="D992" t="s">
        <v>764</v>
      </c>
      <c r="E992" t="s">
        <v>1248</v>
      </c>
      <c r="F992" s="1">
        <v>45654</v>
      </c>
      <c r="G992" s="34" t="str">
        <f t="shared" si="15"/>
        <v>Dec</v>
      </c>
      <c r="H992">
        <v>2</v>
      </c>
      <c r="I992" t="s">
        <v>14</v>
      </c>
      <c r="J992" t="s">
        <v>1224</v>
      </c>
      <c r="K992">
        <v>0.25</v>
      </c>
      <c r="L992">
        <v>56</v>
      </c>
      <c r="M992">
        <v>224</v>
      </c>
      <c r="N992">
        <v>168</v>
      </c>
      <c r="O992" t="s">
        <v>19</v>
      </c>
    </row>
    <row r="993" spans="1:15" x14ac:dyDescent="0.25">
      <c r="A993">
        <v>1988</v>
      </c>
      <c r="B993">
        <v>3756</v>
      </c>
      <c r="C993" t="s">
        <v>1008</v>
      </c>
      <c r="D993" t="s">
        <v>108</v>
      </c>
      <c r="E993" t="s">
        <v>1203</v>
      </c>
      <c r="F993" s="1">
        <v>45654</v>
      </c>
      <c r="G993" s="34" t="str">
        <f t="shared" si="15"/>
        <v>Dec</v>
      </c>
      <c r="H993">
        <v>3</v>
      </c>
      <c r="I993" t="s">
        <v>1242</v>
      </c>
      <c r="J993" t="s">
        <v>1233</v>
      </c>
      <c r="K993">
        <v>0.3</v>
      </c>
      <c r="L993">
        <v>210.6</v>
      </c>
      <c r="M993">
        <v>702</v>
      </c>
      <c r="N993">
        <v>491.4</v>
      </c>
      <c r="O993" t="s">
        <v>16</v>
      </c>
    </row>
    <row r="994" spans="1:15" x14ac:dyDescent="0.25">
      <c r="A994">
        <v>1533</v>
      </c>
      <c r="B994">
        <v>3300</v>
      </c>
      <c r="C994" t="s">
        <v>515</v>
      </c>
      <c r="D994" t="s">
        <v>516</v>
      </c>
      <c r="E994" t="s">
        <v>1248</v>
      </c>
      <c r="F994" s="1">
        <v>45655</v>
      </c>
      <c r="G994" s="34" t="str">
        <f t="shared" si="15"/>
        <v>Dec</v>
      </c>
      <c r="H994">
        <v>1</v>
      </c>
      <c r="I994" t="s">
        <v>1242</v>
      </c>
      <c r="J994" t="s">
        <v>1222</v>
      </c>
      <c r="K994">
        <v>0.25</v>
      </c>
      <c r="L994">
        <v>120</v>
      </c>
      <c r="M994">
        <v>480</v>
      </c>
      <c r="N994">
        <v>360</v>
      </c>
      <c r="O994" t="s">
        <v>19</v>
      </c>
    </row>
    <row r="995" spans="1:15" x14ac:dyDescent="0.25">
      <c r="A995">
        <v>1574</v>
      </c>
      <c r="B995">
        <v>3341</v>
      </c>
      <c r="C995" t="s">
        <v>231</v>
      </c>
      <c r="D995" t="s">
        <v>571</v>
      </c>
      <c r="E995" t="s">
        <v>1203</v>
      </c>
      <c r="F995" s="1">
        <v>45656</v>
      </c>
      <c r="G995" s="34" t="str">
        <f t="shared" si="15"/>
        <v>Dec</v>
      </c>
      <c r="H995">
        <v>3</v>
      </c>
      <c r="I995" t="s">
        <v>1243</v>
      </c>
      <c r="J995" t="s">
        <v>1228</v>
      </c>
      <c r="K995">
        <v>0.3</v>
      </c>
      <c r="L995">
        <v>299.10000000000002</v>
      </c>
      <c r="M995">
        <v>997</v>
      </c>
      <c r="N995">
        <v>697.9</v>
      </c>
      <c r="O995" t="s">
        <v>16</v>
      </c>
    </row>
    <row r="996" spans="1:15" x14ac:dyDescent="0.25">
      <c r="A996">
        <v>1637</v>
      </c>
      <c r="B996">
        <v>3405</v>
      </c>
      <c r="C996" t="s">
        <v>642</v>
      </c>
      <c r="D996" t="s">
        <v>643</v>
      </c>
      <c r="E996" t="s">
        <v>1248</v>
      </c>
      <c r="F996" s="1">
        <v>45656</v>
      </c>
      <c r="G996" s="34" t="str">
        <f t="shared" si="15"/>
        <v>Dec</v>
      </c>
      <c r="H996">
        <v>1</v>
      </c>
      <c r="I996" t="s">
        <v>1242</v>
      </c>
      <c r="J996" t="s">
        <v>1214</v>
      </c>
      <c r="K996">
        <v>0.25</v>
      </c>
      <c r="L996">
        <v>261.5</v>
      </c>
      <c r="M996">
        <v>1046</v>
      </c>
      <c r="N996">
        <v>784.5</v>
      </c>
      <c r="O996" t="s">
        <v>16</v>
      </c>
    </row>
    <row r="997" spans="1:15" x14ac:dyDescent="0.25">
      <c r="A997">
        <v>1304</v>
      </c>
      <c r="B997">
        <v>3071</v>
      </c>
      <c r="C997" t="s">
        <v>107</v>
      </c>
      <c r="D997" t="s">
        <v>160</v>
      </c>
      <c r="E997" t="s">
        <v>1203</v>
      </c>
      <c r="F997" s="1">
        <v>45657</v>
      </c>
      <c r="G997" s="34" t="str">
        <f t="shared" si="15"/>
        <v>Dec</v>
      </c>
      <c r="H997">
        <v>3</v>
      </c>
      <c r="I997" t="s">
        <v>14</v>
      </c>
      <c r="J997" t="s">
        <v>1233</v>
      </c>
      <c r="K997">
        <v>0.3</v>
      </c>
      <c r="L997">
        <v>249</v>
      </c>
      <c r="M997">
        <v>830</v>
      </c>
      <c r="N997">
        <v>581</v>
      </c>
      <c r="O997" t="s">
        <v>19</v>
      </c>
    </row>
    <row r="998" spans="1:15" x14ac:dyDescent="0.25">
      <c r="A998">
        <v>1650</v>
      </c>
      <c r="B998">
        <v>3418</v>
      </c>
      <c r="C998" t="s">
        <v>661</v>
      </c>
      <c r="D998" t="s">
        <v>662</v>
      </c>
      <c r="E998" t="s">
        <v>1208</v>
      </c>
      <c r="F998" s="1">
        <v>45657</v>
      </c>
      <c r="G998" s="34" t="str">
        <f t="shared" si="15"/>
        <v>Dec</v>
      </c>
      <c r="H998">
        <v>1</v>
      </c>
      <c r="I998" t="s">
        <v>1242</v>
      </c>
      <c r="J998" t="s">
        <v>1224</v>
      </c>
      <c r="K998">
        <v>0.3</v>
      </c>
      <c r="L998">
        <v>347.7</v>
      </c>
      <c r="M998">
        <v>1159</v>
      </c>
      <c r="N998">
        <v>811.3</v>
      </c>
      <c r="O998" t="s">
        <v>15</v>
      </c>
    </row>
    <row r="999" spans="1:15" x14ac:dyDescent="0.25">
      <c r="A999">
        <v>1661</v>
      </c>
      <c r="B999">
        <v>3429</v>
      </c>
      <c r="C999" t="s">
        <v>420</v>
      </c>
      <c r="D999" t="s">
        <v>674</v>
      </c>
      <c r="E999" t="s">
        <v>1207</v>
      </c>
      <c r="F999" s="1">
        <v>45657</v>
      </c>
      <c r="G999" s="34" t="str">
        <f t="shared" si="15"/>
        <v>Dec</v>
      </c>
      <c r="H999">
        <v>3</v>
      </c>
      <c r="I999" t="s">
        <v>1243</v>
      </c>
      <c r="J999" t="s">
        <v>1218</v>
      </c>
      <c r="K999">
        <v>0.2</v>
      </c>
      <c r="L999">
        <v>63.6</v>
      </c>
      <c r="M999">
        <v>318</v>
      </c>
      <c r="N999">
        <v>254.4</v>
      </c>
      <c r="O999" t="s">
        <v>15</v>
      </c>
    </row>
    <row r="1000" spans="1:15" x14ac:dyDescent="0.25">
      <c r="A1000">
        <v>2090</v>
      </c>
      <c r="B1000">
        <v>3858</v>
      </c>
      <c r="C1000" t="s">
        <v>1092</v>
      </c>
      <c r="D1000" t="s">
        <v>966</v>
      </c>
      <c r="E1000" t="s">
        <v>1208</v>
      </c>
      <c r="F1000" s="1">
        <v>45657</v>
      </c>
      <c r="G1000" s="34" t="str">
        <f t="shared" si="15"/>
        <v>Dec</v>
      </c>
      <c r="H1000">
        <v>2</v>
      </c>
      <c r="I1000" t="s">
        <v>14</v>
      </c>
      <c r="J1000" t="s">
        <v>1214</v>
      </c>
      <c r="K1000">
        <v>0.3</v>
      </c>
      <c r="L1000">
        <v>62.4</v>
      </c>
      <c r="M1000">
        <v>208</v>
      </c>
      <c r="N1000">
        <v>145.6</v>
      </c>
      <c r="O1000" t="s">
        <v>16</v>
      </c>
    </row>
    <row r="1001" spans="1:15" x14ac:dyDescent="0.25">
      <c r="A1001">
        <v>2173</v>
      </c>
      <c r="B1001">
        <v>3942</v>
      </c>
      <c r="C1001" t="s">
        <v>1034</v>
      </c>
      <c r="D1001" t="s">
        <v>588</v>
      </c>
      <c r="E1001" t="s">
        <v>1207</v>
      </c>
      <c r="F1001" s="1">
        <v>45657</v>
      </c>
      <c r="G1001" s="34" t="str">
        <f t="shared" si="15"/>
        <v>Dec</v>
      </c>
      <c r="H1001">
        <v>3</v>
      </c>
      <c r="I1001" t="s">
        <v>14</v>
      </c>
      <c r="J1001" t="s">
        <v>1220</v>
      </c>
      <c r="K1001">
        <v>0.2</v>
      </c>
      <c r="L1001">
        <v>276.8</v>
      </c>
      <c r="M1001">
        <v>1384</v>
      </c>
      <c r="N1001">
        <v>1107.2</v>
      </c>
      <c r="O1001" t="s">
        <v>19</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A11135-5BFC-41B4-A189-3814AB26790B}">
  <dimension ref="B6:L94"/>
  <sheetViews>
    <sheetView zoomScale="81" zoomScaleNormal="90" workbookViewId="0">
      <selection activeCell="D3" sqref="D3"/>
    </sheetView>
  </sheetViews>
  <sheetFormatPr defaultColWidth="16.140625" defaultRowHeight="15" x14ac:dyDescent="0.25"/>
  <cols>
    <col min="2" max="2" width="23.5703125" bestFit="1" customWidth="1"/>
    <col min="3" max="3" width="16.28515625" bestFit="1" customWidth="1"/>
    <col min="4" max="4" width="15.140625" bestFit="1" customWidth="1"/>
    <col min="5" max="5" width="18.5703125" bestFit="1" customWidth="1"/>
    <col min="6" max="6" width="19.5703125" bestFit="1" customWidth="1"/>
    <col min="7" max="7" width="20" bestFit="1" customWidth="1"/>
    <col min="8" max="8" width="24.42578125" bestFit="1" customWidth="1"/>
    <col min="9" max="9" width="15.42578125" customWidth="1"/>
    <col min="10" max="10" width="15.28515625" customWidth="1"/>
  </cols>
  <sheetData>
    <row r="6" spans="2:12" ht="15.75" thickBot="1" x14ac:dyDescent="0.3">
      <c r="D6" s="26"/>
    </row>
    <row r="7" spans="2:12" x14ac:dyDescent="0.25">
      <c r="B7" s="118"/>
      <c r="C7" s="119"/>
      <c r="D7" s="119"/>
      <c r="E7" s="119"/>
      <c r="F7" s="119"/>
      <c r="G7" s="119"/>
      <c r="H7" s="119"/>
      <c r="I7" s="119"/>
      <c r="J7" s="119"/>
      <c r="K7" s="119"/>
      <c r="L7" s="120"/>
    </row>
    <row r="8" spans="2:12" x14ac:dyDescent="0.25">
      <c r="B8" s="121"/>
      <c r="C8" s="100"/>
      <c r="D8" s="100"/>
      <c r="E8" s="100"/>
      <c r="F8" s="100"/>
      <c r="G8" s="100"/>
      <c r="H8" s="100"/>
      <c r="I8" s="100"/>
      <c r="J8" s="100"/>
      <c r="K8" s="100"/>
      <c r="L8" s="122"/>
    </row>
    <row r="9" spans="2:12" x14ac:dyDescent="0.25">
      <c r="B9" s="126"/>
      <c r="C9" s="19" t="s">
        <v>2300</v>
      </c>
      <c r="D9" s="20" t="s">
        <v>2362</v>
      </c>
      <c r="E9" s="101" t="s">
        <v>8</v>
      </c>
      <c r="F9" s="101" t="s">
        <v>5</v>
      </c>
      <c r="G9" s="100"/>
      <c r="H9" s="100"/>
      <c r="I9" s="100"/>
      <c r="J9" s="100"/>
      <c r="K9" s="100"/>
      <c r="L9" s="122"/>
    </row>
    <row r="10" spans="2:12" ht="15.75" thickBot="1" x14ac:dyDescent="0.3">
      <c r="B10" s="121"/>
      <c r="C10" s="21" t="s">
        <v>2287</v>
      </c>
      <c r="D10" s="18">
        <v>633.5</v>
      </c>
      <c r="E10" s="18">
        <v>1304.75</v>
      </c>
      <c r="F10" s="22">
        <v>2.0630000000000002</v>
      </c>
      <c r="G10" s="100"/>
      <c r="H10" s="100"/>
      <c r="I10" s="100"/>
      <c r="J10" s="100"/>
      <c r="K10" s="100"/>
      <c r="L10" s="122"/>
    </row>
    <row r="11" spans="2:12" ht="15.75" thickBot="1" x14ac:dyDescent="0.3">
      <c r="B11" s="121"/>
      <c r="C11" s="21" t="s">
        <v>2288</v>
      </c>
      <c r="D11" s="18">
        <v>12.308706441143775</v>
      </c>
      <c r="E11" s="18">
        <v>31.470467550194225</v>
      </c>
      <c r="F11" s="22">
        <v>2.533125880552865E-2</v>
      </c>
      <c r="G11" s="100"/>
      <c r="H11" s="134" t="s">
        <v>7</v>
      </c>
      <c r="I11" s="139" t="s">
        <v>2346</v>
      </c>
      <c r="J11" s="140" t="s">
        <v>2361</v>
      </c>
      <c r="K11" s="100"/>
      <c r="L11" s="122"/>
    </row>
    <row r="12" spans="2:12" x14ac:dyDescent="0.25">
      <c r="B12" s="121"/>
      <c r="C12" s="21" t="s">
        <v>2289</v>
      </c>
      <c r="D12" s="18">
        <v>600</v>
      </c>
      <c r="E12" s="18">
        <v>900</v>
      </c>
      <c r="F12" s="22">
        <v>2</v>
      </c>
      <c r="G12" s="100"/>
      <c r="H12" s="135" t="s">
        <v>1216</v>
      </c>
      <c r="I12" s="130">
        <v>115</v>
      </c>
      <c r="J12" s="131">
        <v>151750</v>
      </c>
      <c r="K12" s="100"/>
      <c r="L12" s="122"/>
    </row>
    <row r="13" spans="2:12" x14ac:dyDescent="0.25">
      <c r="B13" s="121"/>
      <c r="C13" s="21" t="s">
        <v>2290</v>
      </c>
      <c r="D13" s="18">
        <v>250</v>
      </c>
      <c r="E13" s="18">
        <v>2400</v>
      </c>
      <c r="F13" s="22">
        <v>2</v>
      </c>
      <c r="G13" s="100"/>
      <c r="H13" s="136" t="s">
        <v>1218</v>
      </c>
      <c r="I13" s="132">
        <v>136</v>
      </c>
      <c r="J13" s="128">
        <v>171650</v>
      </c>
      <c r="K13" s="100"/>
      <c r="L13" s="122"/>
    </row>
    <row r="14" spans="2:12" x14ac:dyDescent="0.25">
      <c r="B14" s="121"/>
      <c r="C14" s="21" t="s">
        <v>2291</v>
      </c>
      <c r="D14" s="18">
        <v>389.23547404399596</v>
      </c>
      <c r="E14" s="18">
        <v>995.18356489033101</v>
      </c>
      <c r="F14" s="22">
        <v>0.80104473824666789</v>
      </c>
      <c r="G14" s="100"/>
      <c r="H14" s="136" t="s">
        <v>1233</v>
      </c>
      <c r="I14" s="132">
        <v>133</v>
      </c>
      <c r="J14" s="128">
        <v>187050</v>
      </c>
      <c r="K14" s="100"/>
      <c r="L14" s="122"/>
    </row>
    <row r="15" spans="2:12" x14ac:dyDescent="0.25">
      <c r="B15" s="121"/>
      <c r="C15" s="21" t="s">
        <v>2292</v>
      </c>
      <c r="D15" s="18">
        <v>151504.25425425425</v>
      </c>
      <c r="E15" s="18">
        <v>990390.32782782777</v>
      </c>
      <c r="F15" s="22">
        <v>0.64167267267267258</v>
      </c>
      <c r="G15" s="100"/>
      <c r="H15" s="136" t="s">
        <v>1222</v>
      </c>
      <c r="I15" s="132">
        <v>129</v>
      </c>
      <c r="J15" s="128">
        <v>165800</v>
      </c>
      <c r="K15" s="100"/>
      <c r="L15" s="122"/>
    </row>
    <row r="16" spans="2:12" x14ac:dyDescent="0.25">
      <c r="B16" s="121"/>
      <c r="C16" s="21" t="s">
        <v>2293</v>
      </c>
      <c r="D16" s="18">
        <v>-1.4313132441058924</v>
      </c>
      <c r="E16" s="18">
        <v>7.5067115412672525E-2</v>
      </c>
      <c r="F16" s="22">
        <v>-1.4328852929068998</v>
      </c>
      <c r="G16" s="100"/>
      <c r="H16" s="136" t="s">
        <v>1224</v>
      </c>
      <c r="I16" s="132">
        <v>119</v>
      </c>
      <c r="J16" s="128">
        <v>156950</v>
      </c>
      <c r="K16" s="100"/>
      <c r="L16" s="122"/>
    </row>
    <row r="17" spans="2:12" x14ac:dyDescent="0.25">
      <c r="B17" s="121"/>
      <c r="C17" s="21" t="s">
        <v>2294</v>
      </c>
      <c r="D17" s="18">
        <v>0.43831322265934969</v>
      </c>
      <c r="E17" s="18">
        <v>1.0617298501155688</v>
      </c>
      <c r="F17" s="22">
        <v>-0.11396801485773445</v>
      </c>
      <c r="G17" s="100"/>
      <c r="H17" s="136" t="s">
        <v>1228</v>
      </c>
      <c r="I17" s="132">
        <v>108</v>
      </c>
      <c r="J17" s="128">
        <v>140100</v>
      </c>
      <c r="K17" s="100"/>
      <c r="L17" s="122"/>
    </row>
    <row r="18" spans="2:12" x14ac:dyDescent="0.25">
      <c r="B18" s="121"/>
      <c r="C18" s="21" t="s">
        <v>2295</v>
      </c>
      <c r="D18" s="18">
        <v>950</v>
      </c>
      <c r="E18" s="18">
        <v>3350</v>
      </c>
      <c r="F18" s="22">
        <v>2</v>
      </c>
      <c r="G18" s="100"/>
      <c r="H18" s="136" t="s">
        <v>1220</v>
      </c>
      <c r="I18" s="132">
        <v>132</v>
      </c>
      <c r="J18" s="128">
        <v>164450</v>
      </c>
      <c r="K18" s="100"/>
      <c r="L18" s="122"/>
    </row>
    <row r="19" spans="2:12" ht="15.75" thickBot="1" x14ac:dyDescent="0.3">
      <c r="B19" s="121"/>
      <c r="C19" s="21" t="s">
        <v>2296</v>
      </c>
      <c r="D19" s="18">
        <v>250</v>
      </c>
      <c r="E19" s="18">
        <v>250</v>
      </c>
      <c r="F19" s="22">
        <v>1</v>
      </c>
      <c r="G19" s="100"/>
      <c r="H19" s="137" t="s">
        <v>1214</v>
      </c>
      <c r="I19" s="132">
        <v>128</v>
      </c>
      <c r="J19" s="128">
        <v>167000</v>
      </c>
      <c r="K19" s="100"/>
      <c r="L19" s="122"/>
    </row>
    <row r="20" spans="2:12" ht="15.75" thickBot="1" x14ac:dyDescent="0.3">
      <c r="B20" s="121"/>
      <c r="C20" s="21" t="s">
        <v>2297</v>
      </c>
      <c r="D20" s="18">
        <v>1200</v>
      </c>
      <c r="E20" s="18">
        <v>3600</v>
      </c>
      <c r="F20" s="22">
        <v>3</v>
      </c>
      <c r="G20" s="100"/>
      <c r="H20" s="138" t="s">
        <v>2312</v>
      </c>
      <c r="I20" s="133">
        <v>1000</v>
      </c>
      <c r="J20" s="129">
        <v>1304750</v>
      </c>
      <c r="K20" s="100"/>
      <c r="L20" s="122"/>
    </row>
    <row r="21" spans="2:12" x14ac:dyDescent="0.25">
      <c r="B21" s="121"/>
      <c r="C21" s="21" t="s">
        <v>2298</v>
      </c>
      <c r="D21" s="18">
        <v>633500</v>
      </c>
      <c r="E21" s="18">
        <v>1304750</v>
      </c>
      <c r="F21" s="22">
        <v>2063</v>
      </c>
      <c r="G21" s="100"/>
      <c r="H21" s="100"/>
      <c r="I21" s="100"/>
      <c r="J21" s="100"/>
      <c r="K21" s="100"/>
      <c r="L21" s="122"/>
    </row>
    <row r="22" spans="2:12" x14ac:dyDescent="0.25">
      <c r="B22" s="121"/>
      <c r="C22" s="23" t="s">
        <v>2299</v>
      </c>
      <c r="D22" s="24">
        <v>1000</v>
      </c>
      <c r="E22" s="24">
        <v>1000</v>
      </c>
      <c r="F22" s="25">
        <v>1000</v>
      </c>
      <c r="G22" s="100"/>
      <c r="H22" s="100"/>
      <c r="I22" s="100"/>
      <c r="J22" s="100"/>
      <c r="K22" s="100"/>
      <c r="L22" s="122"/>
    </row>
    <row r="23" spans="2:12" x14ac:dyDescent="0.25">
      <c r="B23" s="121"/>
      <c r="C23" s="100"/>
      <c r="D23" s="100"/>
      <c r="E23" s="100"/>
      <c r="F23" s="100"/>
      <c r="G23" s="100"/>
      <c r="H23" s="100"/>
      <c r="I23" s="100"/>
      <c r="J23" s="100"/>
      <c r="K23" s="100"/>
      <c r="L23" s="122"/>
    </row>
    <row r="24" spans="2:12" x14ac:dyDescent="0.25">
      <c r="B24" s="121"/>
      <c r="C24" s="100"/>
      <c r="D24" s="100"/>
      <c r="E24" s="100"/>
      <c r="F24" s="100"/>
      <c r="G24" s="100"/>
      <c r="H24" s="100"/>
      <c r="I24" s="100"/>
      <c r="J24" s="100"/>
      <c r="K24" s="100"/>
      <c r="L24" s="122"/>
    </row>
    <row r="25" spans="2:12" x14ac:dyDescent="0.25">
      <c r="B25" s="121"/>
      <c r="C25" s="100"/>
      <c r="D25" s="100"/>
      <c r="E25" s="100"/>
      <c r="F25" s="100"/>
      <c r="G25" s="100"/>
      <c r="H25" s="100"/>
      <c r="I25" s="100"/>
      <c r="J25" s="100"/>
      <c r="K25" s="100"/>
      <c r="L25" s="122"/>
    </row>
    <row r="26" spans="2:12" x14ac:dyDescent="0.25">
      <c r="B26" s="121"/>
      <c r="C26" s="100"/>
      <c r="D26" s="100"/>
      <c r="E26" s="100"/>
      <c r="F26" s="100"/>
      <c r="G26" s="100"/>
      <c r="H26" s="100"/>
      <c r="I26" s="100"/>
      <c r="J26" s="100"/>
      <c r="K26" s="100"/>
      <c r="L26" s="122"/>
    </row>
    <row r="27" spans="2:12" ht="15.75" thickBot="1" x14ac:dyDescent="0.3">
      <c r="B27" s="123"/>
      <c r="C27" s="124"/>
      <c r="D27" s="124"/>
      <c r="E27" s="124"/>
      <c r="F27" s="124"/>
      <c r="G27" s="124"/>
      <c r="H27" s="124"/>
      <c r="I27" s="124"/>
      <c r="J27" s="124"/>
      <c r="K27" s="124"/>
      <c r="L27" s="125"/>
    </row>
    <row r="29" spans="2:12" ht="15.75" thickBot="1" x14ac:dyDescent="0.3"/>
    <row r="30" spans="2:12" x14ac:dyDescent="0.25">
      <c r="B30" s="104"/>
      <c r="C30" s="105"/>
      <c r="D30" s="105"/>
      <c r="E30" s="105"/>
      <c r="F30" s="105"/>
      <c r="G30" s="105"/>
      <c r="H30" s="105"/>
      <c r="I30" s="105"/>
      <c r="J30" s="105"/>
      <c r="K30" s="106"/>
    </row>
    <row r="31" spans="2:12" x14ac:dyDescent="0.25">
      <c r="B31" s="107"/>
      <c r="C31" s="108"/>
      <c r="D31" s="109"/>
      <c r="E31" s="100"/>
      <c r="F31" s="100"/>
      <c r="G31" s="100"/>
      <c r="H31" s="100"/>
      <c r="I31" s="100"/>
      <c r="J31" s="100"/>
      <c r="K31" s="110"/>
    </row>
    <row r="32" spans="2:12" x14ac:dyDescent="0.25">
      <c r="B32" s="107"/>
      <c r="C32" s="108" t="s">
        <v>2311</v>
      </c>
      <c r="D32" s="109" t="s">
        <v>2328</v>
      </c>
      <c r="E32" s="100"/>
      <c r="F32" s="102" t="s">
        <v>2311</v>
      </c>
      <c r="G32" s="112" t="s">
        <v>2359</v>
      </c>
      <c r="H32" s="100"/>
      <c r="I32" s="100"/>
      <c r="J32" s="100"/>
      <c r="K32" s="110"/>
    </row>
    <row r="33" spans="2:11" x14ac:dyDescent="0.25">
      <c r="B33" s="107"/>
      <c r="C33" s="111" t="s">
        <v>2318</v>
      </c>
      <c r="D33" s="109"/>
      <c r="E33" s="100"/>
      <c r="F33" s="103" t="s">
        <v>2313</v>
      </c>
      <c r="G33" s="114">
        <v>291</v>
      </c>
      <c r="H33" s="100"/>
      <c r="I33" s="100"/>
      <c r="J33" s="100"/>
      <c r="K33" s="110"/>
    </row>
    <row r="34" spans="2:11" x14ac:dyDescent="0.25">
      <c r="B34" s="107"/>
      <c r="C34" s="113" t="s">
        <v>1500</v>
      </c>
      <c r="D34" s="109">
        <v>3600</v>
      </c>
      <c r="E34" s="100"/>
      <c r="F34" s="103" t="s">
        <v>2314</v>
      </c>
      <c r="G34" s="114">
        <v>354</v>
      </c>
      <c r="H34" s="100"/>
      <c r="I34" s="100"/>
      <c r="J34" s="100"/>
      <c r="K34" s="110"/>
    </row>
    <row r="35" spans="2:11" x14ac:dyDescent="0.25">
      <c r="B35" s="107"/>
      <c r="C35" s="111" t="s">
        <v>2319</v>
      </c>
      <c r="D35" s="109"/>
      <c r="E35" s="100"/>
      <c r="F35" s="103" t="s">
        <v>2315</v>
      </c>
      <c r="G35" s="114">
        <v>355</v>
      </c>
      <c r="H35" s="100"/>
      <c r="I35" s="100"/>
      <c r="J35" s="100"/>
      <c r="K35" s="110"/>
    </row>
    <row r="36" spans="2:11" x14ac:dyDescent="0.25">
      <c r="B36" s="107"/>
      <c r="C36" s="113" t="s">
        <v>1879</v>
      </c>
      <c r="D36" s="109">
        <v>3600</v>
      </c>
      <c r="E36" s="100"/>
      <c r="F36" s="103" t="s">
        <v>2312</v>
      </c>
      <c r="G36" s="114">
        <v>1000</v>
      </c>
      <c r="H36" s="100"/>
      <c r="I36" s="100"/>
      <c r="J36" s="100"/>
      <c r="K36" s="110"/>
    </row>
    <row r="37" spans="2:11" x14ac:dyDescent="0.25">
      <c r="B37" s="107"/>
      <c r="C37" s="111" t="s">
        <v>2320</v>
      </c>
      <c r="D37" s="109"/>
      <c r="E37" s="100"/>
      <c r="H37" s="100"/>
      <c r="I37" s="100"/>
      <c r="J37" s="100"/>
      <c r="K37" s="110"/>
    </row>
    <row r="38" spans="2:11" x14ac:dyDescent="0.25">
      <c r="B38" s="107"/>
      <c r="C38" s="113" t="s">
        <v>1456</v>
      </c>
      <c r="D38" s="109">
        <v>3600</v>
      </c>
      <c r="E38" s="100"/>
      <c r="F38" s="100"/>
      <c r="G38" s="100"/>
      <c r="H38" s="100"/>
      <c r="I38" s="100"/>
      <c r="J38" s="100"/>
      <c r="K38" s="110"/>
    </row>
    <row r="39" spans="2:11" x14ac:dyDescent="0.25">
      <c r="B39" s="107"/>
      <c r="C39" s="111" t="s">
        <v>2321</v>
      </c>
      <c r="D39" s="109"/>
      <c r="E39" s="100"/>
      <c r="F39" s="100"/>
      <c r="G39" s="100"/>
      <c r="H39" s="100"/>
      <c r="I39" s="100"/>
      <c r="J39" s="100"/>
      <c r="K39" s="110"/>
    </row>
    <row r="40" spans="2:11" x14ac:dyDescent="0.25">
      <c r="B40" s="107"/>
      <c r="C40" s="113" t="s">
        <v>1634</v>
      </c>
      <c r="D40" s="109">
        <v>3600</v>
      </c>
      <c r="E40" s="100"/>
      <c r="F40" s="100"/>
      <c r="G40" s="100"/>
      <c r="H40" s="100"/>
      <c r="I40" s="100"/>
      <c r="J40" s="100"/>
      <c r="K40" s="110"/>
    </row>
    <row r="41" spans="2:11" x14ac:dyDescent="0.25">
      <c r="B41" s="107"/>
      <c r="C41" s="111" t="s">
        <v>2322</v>
      </c>
      <c r="D41" s="109"/>
      <c r="E41" s="100"/>
      <c r="F41" s="100"/>
      <c r="G41" s="100"/>
      <c r="H41" s="100"/>
      <c r="I41" s="100"/>
      <c r="J41" s="100"/>
      <c r="K41" s="110"/>
    </row>
    <row r="42" spans="2:11" x14ac:dyDescent="0.25">
      <c r="B42" s="107"/>
      <c r="C42" s="113" t="s">
        <v>1875</v>
      </c>
      <c r="D42" s="109">
        <v>3600</v>
      </c>
      <c r="E42" s="100"/>
      <c r="F42" s="100"/>
      <c r="G42" s="100"/>
      <c r="H42" s="100"/>
      <c r="I42" s="100"/>
      <c r="J42" s="100"/>
      <c r="K42" s="110"/>
    </row>
    <row r="43" spans="2:11" x14ac:dyDescent="0.25">
      <c r="B43" s="107"/>
      <c r="C43" s="111" t="s">
        <v>2323</v>
      </c>
      <c r="D43" s="109"/>
      <c r="E43" s="100"/>
      <c r="F43" s="100"/>
      <c r="G43" s="100"/>
      <c r="H43" s="100"/>
      <c r="I43" s="100"/>
      <c r="J43" s="100"/>
      <c r="K43" s="110"/>
    </row>
    <row r="44" spans="2:11" x14ac:dyDescent="0.25">
      <c r="B44" s="107"/>
      <c r="C44" s="113" t="s">
        <v>1544</v>
      </c>
      <c r="D44" s="109">
        <v>3600</v>
      </c>
      <c r="E44" s="100"/>
      <c r="F44" s="100"/>
      <c r="G44" s="100"/>
      <c r="H44" s="100"/>
      <c r="I44" s="100"/>
      <c r="J44" s="100"/>
      <c r="K44" s="110"/>
    </row>
    <row r="45" spans="2:11" x14ac:dyDescent="0.25">
      <c r="B45" s="107"/>
      <c r="C45" s="111" t="s">
        <v>2324</v>
      </c>
      <c r="D45" s="109"/>
      <c r="E45" s="100"/>
      <c r="F45" s="100"/>
      <c r="G45" s="100"/>
      <c r="H45" s="100"/>
      <c r="I45" s="100"/>
      <c r="J45" s="100"/>
      <c r="K45" s="110"/>
    </row>
    <row r="46" spans="2:11" x14ac:dyDescent="0.25">
      <c r="B46" s="107"/>
      <c r="C46" s="113" t="s">
        <v>1646</v>
      </c>
      <c r="D46" s="109">
        <v>3600</v>
      </c>
      <c r="E46" s="100"/>
      <c r="F46" s="100"/>
      <c r="G46" s="100"/>
      <c r="H46" s="100"/>
      <c r="I46" s="100"/>
      <c r="J46" s="100"/>
      <c r="K46" s="110"/>
    </row>
    <row r="47" spans="2:11" x14ac:dyDescent="0.25">
      <c r="B47" s="107"/>
      <c r="C47" s="111" t="s">
        <v>2325</v>
      </c>
      <c r="D47" s="109"/>
      <c r="E47" s="100"/>
      <c r="F47" s="100"/>
      <c r="G47" s="100"/>
      <c r="H47" s="100"/>
      <c r="I47" s="100"/>
      <c r="J47" s="100"/>
      <c r="K47" s="110"/>
    </row>
    <row r="48" spans="2:11" x14ac:dyDescent="0.25">
      <c r="B48" s="107"/>
      <c r="C48" s="113" t="s">
        <v>1621</v>
      </c>
      <c r="D48" s="109">
        <v>3600</v>
      </c>
      <c r="E48" s="100"/>
      <c r="F48" s="100"/>
      <c r="G48" s="100"/>
      <c r="H48" s="100"/>
      <c r="I48" s="100"/>
      <c r="J48" s="100"/>
      <c r="K48" s="110"/>
    </row>
    <row r="49" spans="2:12" x14ac:dyDescent="0.25">
      <c r="B49" s="107"/>
      <c r="C49" s="111" t="s">
        <v>2326</v>
      </c>
      <c r="D49" s="109"/>
      <c r="E49" s="100"/>
      <c r="F49" s="100"/>
      <c r="G49" s="100"/>
      <c r="H49" s="100"/>
      <c r="I49" s="100"/>
      <c r="J49" s="100"/>
      <c r="K49" s="110"/>
    </row>
    <row r="50" spans="2:12" x14ac:dyDescent="0.25">
      <c r="B50" s="107"/>
      <c r="C50" s="113" t="s">
        <v>2247</v>
      </c>
      <c r="D50" s="109">
        <v>3600</v>
      </c>
      <c r="E50" s="100"/>
      <c r="F50" s="100"/>
      <c r="G50" s="100"/>
      <c r="H50" s="100"/>
      <c r="I50" s="100"/>
      <c r="J50" s="100"/>
      <c r="K50" s="110"/>
    </row>
    <row r="51" spans="2:12" x14ac:dyDescent="0.25">
      <c r="B51" s="107"/>
      <c r="C51" s="111" t="s">
        <v>2327</v>
      </c>
      <c r="D51" s="109"/>
      <c r="E51" s="100"/>
      <c r="F51" s="100"/>
      <c r="G51" s="100"/>
      <c r="H51" s="100"/>
      <c r="I51" s="100"/>
      <c r="J51" s="100"/>
      <c r="K51" s="110"/>
    </row>
    <row r="52" spans="2:12" x14ac:dyDescent="0.25">
      <c r="B52" s="107"/>
      <c r="C52" s="113" t="s">
        <v>2017</v>
      </c>
      <c r="D52" s="109">
        <v>3600</v>
      </c>
      <c r="E52" s="100"/>
      <c r="F52" s="100"/>
      <c r="G52" s="100"/>
      <c r="H52" s="100"/>
      <c r="I52" s="100"/>
      <c r="J52" s="100"/>
      <c r="K52" s="110"/>
    </row>
    <row r="53" spans="2:12" x14ac:dyDescent="0.25">
      <c r="B53" s="107"/>
      <c r="C53" s="103" t="s">
        <v>2312</v>
      </c>
      <c r="D53" s="112">
        <v>36000</v>
      </c>
      <c r="E53" s="100"/>
      <c r="F53" s="100"/>
      <c r="G53" s="100"/>
      <c r="H53" s="100"/>
      <c r="I53" s="100"/>
      <c r="J53" s="100"/>
      <c r="K53" s="110"/>
    </row>
    <row r="54" spans="2:12" ht="15.75" thickBot="1" x14ac:dyDescent="0.3">
      <c r="B54" s="115"/>
      <c r="C54" s="116"/>
      <c r="D54" s="116"/>
      <c r="E54" s="116"/>
      <c r="F54" s="116"/>
      <c r="G54" s="116"/>
      <c r="H54" s="116"/>
      <c r="I54" s="116"/>
      <c r="J54" s="116"/>
      <c r="K54" s="117"/>
    </row>
    <row r="55" spans="2:12" ht="15.75" thickBot="1" x14ac:dyDescent="0.3"/>
    <row r="56" spans="2:12" x14ac:dyDescent="0.25">
      <c r="B56" s="118"/>
      <c r="C56" s="119"/>
      <c r="D56" s="119"/>
      <c r="E56" s="119"/>
      <c r="F56" s="119"/>
      <c r="G56" s="119"/>
      <c r="H56" s="119"/>
      <c r="I56" s="119"/>
      <c r="J56" s="119"/>
      <c r="K56" s="119"/>
      <c r="L56" s="120"/>
    </row>
    <row r="57" spans="2:12" x14ac:dyDescent="0.25">
      <c r="B57" s="121"/>
      <c r="C57" s="100"/>
      <c r="D57" s="100"/>
      <c r="E57" s="100"/>
      <c r="F57" s="100"/>
      <c r="G57" s="100"/>
      <c r="H57" s="100"/>
      <c r="I57" s="100"/>
      <c r="J57" s="100"/>
      <c r="K57" s="100"/>
      <c r="L57" s="122"/>
    </row>
    <row r="58" spans="2:12" x14ac:dyDescent="0.25">
      <c r="B58" s="121"/>
      <c r="C58" s="100"/>
      <c r="D58" s="100"/>
      <c r="E58" s="100"/>
      <c r="F58" s="100"/>
      <c r="G58" s="100"/>
      <c r="H58" s="100"/>
      <c r="I58" s="100"/>
      <c r="J58" s="100"/>
      <c r="K58" s="100"/>
      <c r="L58" s="122"/>
    </row>
    <row r="59" spans="2:12" x14ac:dyDescent="0.25">
      <c r="B59" s="141" t="s">
        <v>2345</v>
      </c>
      <c r="C59" s="102" t="s">
        <v>2363</v>
      </c>
      <c r="D59" s="100"/>
      <c r="E59" s="100"/>
      <c r="F59" s="100"/>
      <c r="G59" s="100"/>
      <c r="H59" s="100"/>
      <c r="I59" s="100"/>
      <c r="J59" s="100"/>
      <c r="K59" s="100"/>
      <c r="L59" s="122"/>
    </row>
    <row r="60" spans="2:12" x14ac:dyDescent="0.25">
      <c r="B60" s="141" t="s">
        <v>2360</v>
      </c>
      <c r="C60" s="100" t="s">
        <v>1205</v>
      </c>
      <c r="D60" s="100" t="s">
        <v>1248</v>
      </c>
      <c r="E60" s="100" t="s">
        <v>1249</v>
      </c>
      <c r="F60" s="100" t="s">
        <v>1207</v>
      </c>
      <c r="G60" s="100" t="s">
        <v>1203</v>
      </c>
      <c r="H60" s="100" t="s">
        <v>1208</v>
      </c>
      <c r="I60" s="100" t="s">
        <v>2358</v>
      </c>
      <c r="J60" s="100" t="s">
        <v>2312</v>
      </c>
      <c r="K60" s="100"/>
      <c r="L60" s="122"/>
    </row>
    <row r="61" spans="2:12" x14ac:dyDescent="0.25">
      <c r="B61" s="127" t="s">
        <v>2333</v>
      </c>
      <c r="C61" s="77">
        <v>38</v>
      </c>
      <c r="D61" s="77">
        <v>15</v>
      </c>
      <c r="E61" s="77">
        <v>42</v>
      </c>
      <c r="F61" s="77">
        <v>21</v>
      </c>
      <c r="G61" s="77">
        <v>12</v>
      </c>
      <c r="H61" s="77">
        <v>32</v>
      </c>
      <c r="I61" s="77"/>
      <c r="J61" s="77">
        <v>160</v>
      </c>
      <c r="K61" s="100"/>
      <c r="L61" s="122"/>
    </row>
    <row r="62" spans="2:12" x14ac:dyDescent="0.25">
      <c r="B62" s="127" t="s">
        <v>2334</v>
      </c>
      <c r="C62" s="77">
        <v>26</v>
      </c>
      <c r="D62" s="77">
        <v>31</v>
      </c>
      <c r="E62" s="77">
        <v>31</v>
      </c>
      <c r="F62" s="77">
        <v>37</v>
      </c>
      <c r="G62" s="77">
        <v>24</v>
      </c>
      <c r="H62" s="77">
        <v>16</v>
      </c>
      <c r="I62" s="77"/>
      <c r="J62" s="77">
        <v>165</v>
      </c>
      <c r="K62" s="100"/>
      <c r="L62" s="122"/>
    </row>
    <row r="63" spans="2:12" x14ac:dyDescent="0.25">
      <c r="B63" s="127" t="s">
        <v>2335</v>
      </c>
      <c r="C63" s="77">
        <v>28</v>
      </c>
      <c r="D63" s="77">
        <v>30</v>
      </c>
      <c r="E63" s="77">
        <v>63</v>
      </c>
      <c r="F63" s="77">
        <v>31</v>
      </c>
      <c r="G63" s="77">
        <v>33</v>
      </c>
      <c r="H63" s="77">
        <v>16</v>
      </c>
      <c r="I63" s="77"/>
      <c r="J63" s="77">
        <v>201</v>
      </c>
      <c r="K63" s="100"/>
      <c r="L63" s="122"/>
    </row>
    <row r="64" spans="2:12" x14ac:dyDescent="0.25">
      <c r="B64" s="127" t="s">
        <v>2336</v>
      </c>
      <c r="C64" s="77">
        <v>22</v>
      </c>
      <c r="D64" s="77">
        <v>17</v>
      </c>
      <c r="E64" s="77">
        <v>35</v>
      </c>
      <c r="F64" s="77">
        <v>17</v>
      </c>
      <c r="G64" s="77">
        <v>16</v>
      </c>
      <c r="H64" s="77">
        <v>36</v>
      </c>
      <c r="I64" s="77"/>
      <c r="J64" s="77">
        <v>143</v>
      </c>
      <c r="K64" s="100"/>
      <c r="L64" s="122"/>
    </row>
    <row r="65" spans="2:12" x14ac:dyDescent="0.25">
      <c r="B65" s="127" t="s">
        <v>2337</v>
      </c>
      <c r="C65" s="77">
        <v>19</v>
      </c>
      <c r="D65" s="77">
        <v>22</v>
      </c>
      <c r="E65" s="77">
        <v>39</v>
      </c>
      <c r="F65" s="77">
        <v>37</v>
      </c>
      <c r="G65" s="77">
        <v>22</v>
      </c>
      <c r="H65" s="77">
        <v>19</v>
      </c>
      <c r="I65" s="77"/>
      <c r="J65" s="77">
        <v>158</v>
      </c>
      <c r="K65" s="100"/>
      <c r="L65" s="122"/>
    </row>
    <row r="66" spans="2:12" x14ac:dyDescent="0.25">
      <c r="B66" s="127" t="s">
        <v>2338</v>
      </c>
      <c r="C66" s="77">
        <v>33</v>
      </c>
      <c r="D66" s="77">
        <v>28</v>
      </c>
      <c r="E66" s="77">
        <v>41</v>
      </c>
      <c r="F66" s="77">
        <v>21</v>
      </c>
      <c r="G66" s="77">
        <v>21</v>
      </c>
      <c r="H66" s="77">
        <v>24</v>
      </c>
      <c r="I66" s="77"/>
      <c r="J66" s="77">
        <v>168</v>
      </c>
      <c r="K66" s="100"/>
      <c r="L66" s="122"/>
    </row>
    <row r="67" spans="2:12" x14ac:dyDescent="0.25">
      <c r="B67" s="127" t="s">
        <v>2339</v>
      </c>
      <c r="C67" s="77">
        <v>24</v>
      </c>
      <c r="D67" s="77">
        <v>28</v>
      </c>
      <c r="E67" s="77">
        <v>40</v>
      </c>
      <c r="F67" s="77">
        <v>28</v>
      </c>
      <c r="G67" s="77">
        <v>19</v>
      </c>
      <c r="H67" s="77">
        <v>33</v>
      </c>
      <c r="I67" s="77"/>
      <c r="J67" s="77">
        <v>172</v>
      </c>
      <c r="K67" s="100"/>
      <c r="L67" s="122"/>
    </row>
    <row r="68" spans="2:12" x14ac:dyDescent="0.25">
      <c r="B68" s="127" t="s">
        <v>2340</v>
      </c>
      <c r="C68" s="77">
        <v>33</v>
      </c>
      <c r="D68" s="77">
        <v>22</v>
      </c>
      <c r="E68" s="77">
        <v>48</v>
      </c>
      <c r="F68" s="77">
        <v>41</v>
      </c>
      <c r="G68" s="77">
        <v>27</v>
      </c>
      <c r="H68" s="77">
        <v>25</v>
      </c>
      <c r="I68" s="77"/>
      <c r="J68" s="77">
        <v>196</v>
      </c>
      <c r="K68" s="100"/>
      <c r="L68" s="122"/>
    </row>
    <row r="69" spans="2:12" x14ac:dyDescent="0.25">
      <c r="B69" s="127" t="s">
        <v>2341</v>
      </c>
      <c r="C69" s="77">
        <v>23</v>
      </c>
      <c r="D69" s="77">
        <v>30</v>
      </c>
      <c r="E69" s="77">
        <v>50</v>
      </c>
      <c r="F69" s="77">
        <v>14</v>
      </c>
      <c r="G69" s="77">
        <v>33</v>
      </c>
      <c r="H69" s="77">
        <v>21</v>
      </c>
      <c r="I69" s="77"/>
      <c r="J69" s="77">
        <v>171</v>
      </c>
      <c r="K69" s="100"/>
      <c r="L69" s="122"/>
    </row>
    <row r="70" spans="2:12" x14ac:dyDescent="0.25">
      <c r="B70" s="127" t="s">
        <v>2342</v>
      </c>
      <c r="C70" s="77">
        <v>20</v>
      </c>
      <c r="D70" s="77">
        <v>26</v>
      </c>
      <c r="E70" s="77">
        <v>47</v>
      </c>
      <c r="F70" s="77">
        <v>30</v>
      </c>
      <c r="G70" s="77">
        <v>19</v>
      </c>
      <c r="H70" s="77">
        <v>30</v>
      </c>
      <c r="I70" s="77"/>
      <c r="J70" s="77">
        <v>172</v>
      </c>
      <c r="K70" s="100"/>
      <c r="L70" s="122"/>
    </row>
    <row r="71" spans="2:12" x14ac:dyDescent="0.25">
      <c r="B71" s="127" t="s">
        <v>2343</v>
      </c>
      <c r="C71" s="77">
        <v>22</v>
      </c>
      <c r="D71" s="77">
        <v>45</v>
      </c>
      <c r="E71" s="77">
        <v>51</v>
      </c>
      <c r="F71" s="77">
        <v>25</v>
      </c>
      <c r="G71" s="77">
        <v>20</v>
      </c>
      <c r="H71" s="77">
        <v>20</v>
      </c>
      <c r="I71" s="77"/>
      <c r="J71" s="77">
        <v>183</v>
      </c>
      <c r="K71" s="100"/>
      <c r="L71" s="122"/>
    </row>
    <row r="72" spans="2:12" x14ac:dyDescent="0.25">
      <c r="B72" s="127" t="s">
        <v>2344</v>
      </c>
      <c r="C72" s="77">
        <v>18</v>
      </c>
      <c r="D72" s="77">
        <v>25</v>
      </c>
      <c r="E72" s="77">
        <v>56</v>
      </c>
      <c r="F72" s="77">
        <v>25</v>
      </c>
      <c r="G72" s="77">
        <v>30</v>
      </c>
      <c r="H72" s="77">
        <v>20</v>
      </c>
      <c r="I72" s="77"/>
      <c r="J72" s="77">
        <v>174</v>
      </c>
      <c r="K72" s="100"/>
      <c r="L72" s="122"/>
    </row>
    <row r="73" spans="2:12" x14ac:dyDescent="0.25">
      <c r="B73" s="127" t="s">
        <v>2358</v>
      </c>
      <c r="C73" s="77"/>
      <c r="D73" s="77"/>
      <c r="E73" s="77"/>
      <c r="F73" s="77"/>
      <c r="G73" s="77"/>
      <c r="H73" s="77"/>
      <c r="I73" s="77"/>
      <c r="J73" s="77"/>
      <c r="K73" s="100"/>
      <c r="L73" s="122"/>
    </row>
    <row r="74" spans="2:12" x14ac:dyDescent="0.25">
      <c r="B74" s="127" t="s">
        <v>2312</v>
      </c>
      <c r="C74" s="77">
        <v>306</v>
      </c>
      <c r="D74" s="77">
        <v>319</v>
      </c>
      <c r="E74" s="77">
        <v>543</v>
      </c>
      <c r="F74" s="77">
        <v>327</v>
      </c>
      <c r="G74" s="77">
        <v>276</v>
      </c>
      <c r="H74" s="77">
        <v>292</v>
      </c>
      <c r="I74" s="77"/>
      <c r="J74" s="77">
        <v>2063</v>
      </c>
      <c r="K74" s="100"/>
      <c r="L74" s="122"/>
    </row>
    <row r="75" spans="2:12" x14ac:dyDescent="0.25">
      <c r="B75" s="121"/>
      <c r="C75" s="100"/>
      <c r="D75" s="100"/>
      <c r="E75" s="100"/>
      <c r="F75" s="100"/>
      <c r="G75" s="100"/>
      <c r="H75" s="100"/>
      <c r="I75" s="100"/>
      <c r="J75" s="100"/>
      <c r="K75" s="100"/>
      <c r="L75" s="122"/>
    </row>
    <row r="76" spans="2:12" x14ac:dyDescent="0.25">
      <c r="B76" s="121"/>
      <c r="C76" s="100"/>
      <c r="D76" s="100"/>
      <c r="E76" s="100"/>
      <c r="F76" s="100"/>
      <c r="G76" s="100"/>
      <c r="H76" s="100"/>
      <c r="I76" s="100"/>
      <c r="J76" s="100"/>
      <c r="K76" s="100"/>
      <c r="L76" s="122"/>
    </row>
    <row r="77" spans="2:12" x14ac:dyDescent="0.25">
      <c r="B77" s="121"/>
      <c r="C77" s="100"/>
      <c r="D77" s="100"/>
      <c r="E77" s="100"/>
      <c r="F77" s="100"/>
      <c r="G77" s="100"/>
      <c r="H77" s="100"/>
      <c r="I77" s="100"/>
      <c r="J77" s="100"/>
      <c r="K77" s="100"/>
      <c r="L77" s="122"/>
    </row>
    <row r="78" spans="2:12" x14ac:dyDescent="0.25">
      <c r="B78" s="121"/>
      <c r="C78" s="100"/>
      <c r="D78" s="100"/>
      <c r="E78" s="100"/>
      <c r="F78" s="100"/>
      <c r="G78" s="100"/>
      <c r="H78" s="100"/>
      <c r="I78" s="100"/>
      <c r="J78" s="100"/>
      <c r="K78" s="100"/>
      <c r="L78" s="122"/>
    </row>
    <row r="79" spans="2:12" x14ac:dyDescent="0.25">
      <c r="B79" s="121"/>
      <c r="C79" s="100"/>
      <c r="D79" s="100"/>
      <c r="E79" s="100"/>
      <c r="F79" s="100"/>
      <c r="G79" s="100"/>
      <c r="H79" s="100"/>
      <c r="I79" s="100"/>
      <c r="J79" s="100"/>
      <c r="K79" s="100"/>
      <c r="L79" s="122"/>
    </row>
    <row r="80" spans="2:12" x14ac:dyDescent="0.25">
      <c r="B80" s="121"/>
      <c r="C80" s="100"/>
      <c r="D80" s="100"/>
      <c r="E80" s="100"/>
      <c r="F80" s="100"/>
      <c r="G80" s="100"/>
      <c r="H80" s="100"/>
      <c r="I80" s="100"/>
      <c r="J80" s="100"/>
      <c r="K80" s="100"/>
      <c r="L80" s="122"/>
    </row>
    <row r="81" spans="2:12" x14ac:dyDescent="0.25">
      <c r="B81" s="121"/>
      <c r="C81" s="100"/>
      <c r="D81" s="100"/>
      <c r="E81" s="100"/>
      <c r="F81" s="100"/>
      <c r="G81" s="100"/>
      <c r="H81" s="100"/>
      <c r="I81" s="100"/>
      <c r="J81" s="100"/>
      <c r="K81" s="100"/>
      <c r="L81" s="122"/>
    </row>
    <row r="82" spans="2:12" x14ac:dyDescent="0.25">
      <c r="B82" s="121"/>
      <c r="C82" s="100"/>
      <c r="D82" s="100"/>
      <c r="E82" s="100"/>
      <c r="F82" s="100"/>
      <c r="G82" s="100"/>
      <c r="H82" s="100"/>
      <c r="I82" s="100"/>
      <c r="J82" s="100"/>
      <c r="K82" s="100"/>
      <c r="L82" s="122"/>
    </row>
    <row r="83" spans="2:12" x14ac:dyDescent="0.25">
      <c r="B83" s="121"/>
      <c r="C83" s="100"/>
      <c r="D83" s="100"/>
      <c r="E83" s="100"/>
      <c r="F83" s="100"/>
      <c r="G83" s="100"/>
      <c r="H83" s="100"/>
      <c r="I83" s="100"/>
      <c r="J83" s="100"/>
      <c r="K83" s="100"/>
      <c r="L83" s="122"/>
    </row>
    <row r="84" spans="2:12" x14ac:dyDescent="0.25">
      <c r="B84" s="121"/>
      <c r="C84" s="100"/>
      <c r="D84" s="100"/>
      <c r="E84" s="100"/>
      <c r="F84" s="100"/>
      <c r="G84" s="100"/>
      <c r="H84" s="100"/>
      <c r="I84" s="100"/>
      <c r="J84" s="100"/>
      <c r="K84" s="100"/>
      <c r="L84" s="122"/>
    </row>
    <row r="85" spans="2:12" x14ac:dyDescent="0.25">
      <c r="B85" s="121"/>
      <c r="C85" s="100"/>
      <c r="D85" s="100"/>
      <c r="E85" s="100"/>
      <c r="F85" s="100"/>
      <c r="G85" s="100"/>
      <c r="H85" s="100"/>
      <c r="I85" s="100"/>
      <c r="J85" s="100"/>
      <c r="K85" s="100"/>
      <c r="L85" s="122"/>
    </row>
    <row r="86" spans="2:12" x14ac:dyDescent="0.25">
      <c r="B86" s="121"/>
      <c r="C86" s="100"/>
      <c r="D86" s="100"/>
      <c r="E86" s="100"/>
      <c r="F86" s="100"/>
      <c r="G86" s="100"/>
      <c r="H86" s="100"/>
      <c r="I86" s="100"/>
      <c r="J86" s="100"/>
      <c r="K86" s="100"/>
      <c r="L86" s="122"/>
    </row>
    <row r="87" spans="2:12" x14ac:dyDescent="0.25">
      <c r="B87" s="121"/>
      <c r="C87" s="100"/>
      <c r="D87" s="100"/>
      <c r="E87" s="100"/>
      <c r="F87" s="100"/>
      <c r="G87" s="100"/>
      <c r="H87" s="100"/>
      <c r="I87" s="100"/>
      <c r="J87" s="100"/>
      <c r="K87" s="100"/>
      <c r="L87" s="122"/>
    </row>
    <row r="88" spans="2:12" x14ac:dyDescent="0.25">
      <c r="B88" s="121"/>
      <c r="C88" s="100"/>
      <c r="D88" s="100"/>
      <c r="E88" s="100"/>
      <c r="F88" s="100"/>
      <c r="G88" s="100"/>
      <c r="H88" s="100"/>
      <c r="I88" s="100"/>
      <c r="J88" s="100"/>
      <c r="K88" s="100"/>
      <c r="L88" s="122"/>
    </row>
    <row r="89" spans="2:12" x14ac:dyDescent="0.25">
      <c r="B89" s="121"/>
      <c r="C89" s="100"/>
      <c r="D89" s="100"/>
      <c r="E89" s="100"/>
      <c r="F89" s="100"/>
      <c r="G89" s="100"/>
      <c r="H89" s="100"/>
      <c r="I89" s="100"/>
      <c r="J89" s="100"/>
      <c r="K89" s="100"/>
      <c r="L89" s="122"/>
    </row>
    <row r="90" spans="2:12" x14ac:dyDescent="0.25">
      <c r="B90" s="121"/>
      <c r="C90" s="100"/>
      <c r="D90" s="100"/>
      <c r="E90" s="100"/>
      <c r="F90" s="100"/>
      <c r="G90" s="100"/>
      <c r="H90" s="100"/>
      <c r="I90" s="100"/>
      <c r="J90" s="100"/>
      <c r="K90" s="100"/>
      <c r="L90" s="122"/>
    </row>
    <row r="91" spans="2:12" x14ac:dyDescent="0.25">
      <c r="B91" s="121"/>
      <c r="C91" s="100"/>
      <c r="D91" s="100"/>
      <c r="E91" s="100"/>
      <c r="F91" s="100"/>
      <c r="G91" s="100"/>
      <c r="H91" s="100"/>
      <c r="I91" s="100"/>
      <c r="J91" s="100"/>
      <c r="K91" s="100"/>
      <c r="L91" s="122"/>
    </row>
    <row r="92" spans="2:12" x14ac:dyDescent="0.25">
      <c r="B92" s="121"/>
      <c r="C92" s="100"/>
      <c r="D92" s="100"/>
      <c r="E92" s="100"/>
      <c r="F92" s="100"/>
      <c r="G92" s="100"/>
      <c r="H92" s="100"/>
      <c r="I92" s="100"/>
      <c r="J92" s="100"/>
      <c r="K92" s="100"/>
      <c r="L92" s="122"/>
    </row>
    <row r="93" spans="2:12" x14ac:dyDescent="0.25">
      <c r="B93" s="121"/>
      <c r="C93" s="100"/>
      <c r="D93" s="100"/>
      <c r="E93" s="100"/>
      <c r="F93" s="100"/>
      <c r="G93" s="100"/>
      <c r="H93" s="100"/>
      <c r="I93" s="100"/>
      <c r="J93" s="100"/>
      <c r="K93" s="100"/>
      <c r="L93" s="122"/>
    </row>
    <row r="94" spans="2:12" ht="15.75" thickBot="1" x14ac:dyDescent="0.3">
      <c r="B94" s="123"/>
      <c r="C94" s="124"/>
      <c r="D94" s="124"/>
      <c r="E94" s="124"/>
      <c r="F94" s="124"/>
      <c r="G94" s="124"/>
      <c r="H94" s="124"/>
      <c r="I94" s="124"/>
      <c r="J94" s="124"/>
      <c r="K94" s="124"/>
      <c r="L94" s="125"/>
    </row>
  </sheetData>
  <conditionalFormatting pivot="1" sqref="J12:J19">
    <cfRule type="top10" dxfId="37" priority="21" rank="2"/>
  </conditionalFormatting>
  <conditionalFormatting pivot="1" sqref="I12:I19">
    <cfRule type="top10" dxfId="36" priority="20" rank="3"/>
  </conditionalFormatting>
  <conditionalFormatting pivot="1" sqref="I12:I19">
    <cfRule type="top10" dxfId="35" priority="19" bottom="1" rank="2"/>
  </conditionalFormatting>
  <conditionalFormatting pivot="1" sqref="J12:J19">
    <cfRule type="top10" dxfId="34" priority="18" bottom="1" rank="2"/>
  </conditionalFormatting>
  <conditionalFormatting pivot="1" sqref="I12:I19">
    <cfRule type="top10" dxfId="33" priority="17" bottom="1" rank="3"/>
  </conditionalFormatting>
  <conditionalFormatting pivot="1" sqref="C61:C72">
    <cfRule type="top10" dxfId="18" priority="14" rank="3"/>
  </conditionalFormatting>
  <conditionalFormatting pivot="1" sqref="D61:D72">
    <cfRule type="top10" dxfId="17" priority="13" rank="3"/>
  </conditionalFormatting>
  <conditionalFormatting pivot="1" sqref="E61:E72">
    <cfRule type="top10" dxfId="16" priority="12" rank="3"/>
  </conditionalFormatting>
  <conditionalFormatting pivot="1" sqref="F61:F72">
    <cfRule type="top10" dxfId="15" priority="11" rank="3"/>
  </conditionalFormatting>
  <conditionalFormatting pivot="1" sqref="G61:G72">
    <cfRule type="top10" dxfId="14" priority="10" rank="3"/>
  </conditionalFormatting>
  <conditionalFormatting pivot="1" sqref="H61:H72">
    <cfRule type="top10" dxfId="13" priority="9" rank="3"/>
  </conditionalFormatting>
  <conditionalFormatting pivot="1" sqref="J61:J72">
    <cfRule type="top10" dxfId="12" priority="8" rank="3"/>
  </conditionalFormatting>
  <conditionalFormatting pivot="1" sqref="C61:C72">
    <cfRule type="top10" dxfId="11" priority="7" bottom="1" rank="3"/>
  </conditionalFormatting>
  <conditionalFormatting pivot="1" sqref="D61:D72">
    <cfRule type="top10" dxfId="10" priority="6" bottom="1" rank="3"/>
  </conditionalFormatting>
  <conditionalFormatting pivot="1" sqref="E61:E72">
    <cfRule type="top10" dxfId="9" priority="5" bottom="1" rank="3"/>
  </conditionalFormatting>
  <conditionalFormatting pivot="1" sqref="F61:F72">
    <cfRule type="top10" dxfId="8" priority="4" bottom="1" rank="3"/>
  </conditionalFormatting>
  <conditionalFormatting pivot="1" sqref="G61:G72">
    <cfRule type="top10" dxfId="7" priority="3" bottom="1" rank="3"/>
  </conditionalFormatting>
  <conditionalFormatting pivot="1" sqref="H61:H72">
    <cfRule type="top10" dxfId="6" priority="2" bottom="1" rank="3"/>
  </conditionalFormatting>
  <conditionalFormatting pivot="1" sqref="J61:J72">
    <cfRule type="top10" dxfId="5" priority="1" bottom="1" rank="3"/>
  </conditionalFormatting>
  <pageMargins left="0.7" right="0.7" top="0.75" bottom="0.75" header="0.3" footer="0.3"/>
  <drawing r:id="rId5"/>
  <tableParts count="1">
    <tablePart r:id="rId6"/>
  </tableParts>
  <extLst>
    <ext xmlns:x14="http://schemas.microsoft.com/office/spreadsheetml/2009/9/main" uri="{78C0D931-6437-407d-A8EE-F0AAD7539E65}">
      <x14:conditionalFormattings>
        <x14:conditionalFormatting xmlns:xm="http://schemas.microsoft.com/office/excel/2006/main" pivot="1">
          <x14:cfRule type="iconSet" priority="16" id="{30D83B54-EDAE-4A4E-8DA4-048CC1E4C8E0}">
            <x14:iconSet iconSet="3Triangles">
              <x14:cfvo type="percent">
                <xm:f>0</xm:f>
              </x14:cfvo>
              <x14:cfvo type="percent">
                <xm:f>33</xm:f>
              </x14:cfvo>
              <x14:cfvo type="percent">
                <xm:f>67</xm:f>
              </x14:cfvo>
            </x14:iconSet>
          </x14:cfRule>
          <xm:sqref>I12:I19</xm:sqref>
        </x14:conditionalFormatting>
        <x14:conditionalFormatting xmlns:xm="http://schemas.microsoft.com/office/excel/2006/main" pivot="1">
          <x14:cfRule type="iconSet" priority="15" id="{28254DC1-A18C-4D84-9AA9-2BF5D579ABDC}">
            <x14:iconSet iconSet="3Triangles">
              <x14:cfvo type="percent">
                <xm:f>0</xm:f>
              </x14:cfvo>
              <x14:cfvo type="percent">
                <xm:f>33</xm:f>
              </x14:cfvo>
              <x14:cfvo type="percent">
                <xm:f>67</xm:f>
              </x14:cfvo>
            </x14:iconSet>
          </x14:cfRule>
          <xm:sqref>J12:J19</xm:sqref>
        </x14:conditionalFormatting>
      </x14:conditionalFormattings>
    </ext>
    <ext xmlns:x14="http://schemas.microsoft.com/office/spreadsheetml/2009/9/main" uri="{A8765BA9-456A-4dab-B4F3-ACF838C121DE}">
      <x14:slicerList>
        <x14:slicer r:id="rId7"/>
      </x14:slicerList>
    </ext>
    <ext xmlns:x15="http://schemas.microsoft.com/office/spreadsheetml/2010/11/main" uri="{7E03D99C-DC04-49d9-9315-930204A7B6E9}">
      <x15:timelineRefs>
        <x15:timelineRef r:id="rId8"/>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0E8B84-A113-4E71-84E6-0129070A415F}">
  <dimension ref="B4:M72"/>
  <sheetViews>
    <sheetView zoomScale="75" workbookViewId="0">
      <selection activeCell="C82" sqref="C82"/>
    </sheetView>
  </sheetViews>
  <sheetFormatPr defaultColWidth="19.28515625" defaultRowHeight="15" x14ac:dyDescent="0.25"/>
  <cols>
    <col min="1" max="1" width="14.28515625" customWidth="1"/>
    <col min="2" max="2" width="11.5703125" customWidth="1"/>
    <col min="3" max="3" width="14.42578125" bestFit="1" customWidth="1"/>
    <col min="4" max="4" width="14.28515625" bestFit="1" customWidth="1"/>
    <col min="5" max="5" width="11.5703125" bestFit="1" customWidth="1"/>
    <col min="6" max="6" width="9.85546875" bestFit="1" customWidth="1"/>
    <col min="7" max="7" width="16.7109375" style="17" bestFit="1" customWidth="1"/>
    <col min="8" max="8" width="11.5703125" style="17" customWidth="1"/>
    <col min="9" max="9" width="24.7109375" style="17" bestFit="1" customWidth="1"/>
    <col min="10" max="10" width="11.5703125" bestFit="1" customWidth="1"/>
    <col min="11" max="11" width="16.85546875" bestFit="1" customWidth="1"/>
  </cols>
  <sheetData>
    <row r="4" spans="2:13" ht="15.75" thickBot="1" x14ac:dyDescent="0.3"/>
    <row r="5" spans="2:13" x14ac:dyDescent="0.25">
      <c r="B5" s="37"/>
      <c r="C5" s="38"/>
      <c r="D5" s="38"/>
      <c r="E5" s="38"/>
      <c r="F5" s="40"/>
      <c r="G5" s="40"/>
      <c r="H5" s="40"/>
      <c r="I5" s="40"/>
      <c r="J5" s="40"/>
      <c r="K5" s="40"/>
      <c r="L5" s="38"/>
      <c r="M5" s="41"/>
    </row>
    <row r="6" spans="2:13" x14ac:dyDescent="0.25">
      <c r="B6" s="42"/>
      <c r="C6" s="36"/>
      <c r="D6" s="36"/>
      <c r="E6" s="36"/>
      <c r="F6" s="35"/>
      <c r="G6" s="35"/>
      <c r="H6" s="35"/>
      <c r="I6" s="35"/>
      <c r="J6" s="35"/>
      <c r="K6" s="35"/>
      <c r="L6" s="36"/>
      <c r="M6" s="43"/>
    </row>
    <row r="7" spans="2:13" x14ac:dyDescent="0.25">
      <c r="B7" s="42"/>
      <c r="C7" s="36"/>
      <c r="D7" s="36"/>
      <c r="E7" s="36"/>
      <c r="F7" s="35"/>
      <c r="G7" s="35"/>
      <c r="H7" s="35"/>
      <c r="I7" s="35"/>
      <c r="J7" s="35"/>
      <c r="K7" s="35"/>
      <c r="L7" s="36"/>
      <c r="M7" s="43"/>
    </row>
    <row r="8" spans="2:13" ht="15.75" thickBot="1" x14ac:dyDescent="0.3">
      <c r="B8" s="42"/>
      <c r="C8" s="36"/>
      <c r="D8" s="36"/>
      <c r="E8" s="36"/>
      <c r="F8" s="35"/>
      <c r="G8" s="35"/>
      <c r="H8" s="35"/>
      <c r="I8" s="35"/>
      <c r="J8" s="35"/>
      <c r="K8" s="35"/>
      <c r="L8" s="36"/>
      <c r="M8" s="43"/>
    </row>
    <row r="9" spans="2:13" ht="15.75" thickBot="1" x14ac:dyDescent="0.3">
      <c r="B9" s="42"/>
      <c r="C9" s="42" t="s">
        <v>2300</v>
      </c>
      <c r="D9" s="59" t="s">
        <v>2356</v>
      </c>
      <c r="E9" s="59" t="s">
        <v>8</v>
      </c>
      <c r="F9" s="59" t="s">
        <v>2357</v>
      </c>
      <c r="G9" s="59" t="s">
        <v>5</v>
      </c>
      <c r="H9" s="36"/>
      <c r="I9" s="75" t="s">
        <v>2311</v>
      </c>
      <c r="J9" s="75" t="s">
        <v>2353</v>
      </c>
      <c r="K9" s="76" t="s">
        <v>2347</v>
      </c>
      <c r="L9" s="36"/>
      <c r="M9" s="43"/>
    </row>
    <row r="10" spans="2:13" x14ac:dyDescent="0.25">
      <c r="B10" s="42"/>
      <c r="C10" s="60" t="s">
        <v>2287</v>
      </c>
      <c r="D10" s="58">
        <v>206.46665000000002</v>
      </c>
      <c r="E10" s="58">
        <v>890.42700000000002</v>
      </c>
      <c r="F10" s="58">
        <v>683.96035000000018</v>
      </c>
      <c r="G10" s="58">
        <v>2.0099999999999998</v>
      </c>
      <c r="H10" s="36"/>
      <c r="I10" s="67" t="s">
        <v>1249</v>
      </c>
      <c r="J10" s="71">
        <v>168478.5</v>
      </c>
      <c r="K10" s="72">
        <v>0.24632787558518565</v>
      </c>
      <c r="L10" s="36"/>
      <c r="M10" s="43"/>
    </row>
    <row r="11" spans="2:13" x14ac:dyDescent="0.25">
      <c r="B11" s="42"/>
      <c r="C11" s="60" t="s">
        <v>2288</v>
      </c>
      <c r="D11" s="58">
        <v>4.320015371278858</v>
      </c>
      <c r="E11" s="58">
        <v>16.262548051893351</v>
      </c>
      <c r="F11" s="58">
        <v>12.723606435523845</v>
      </c>
      <c r="G11" s="58">
        <v>2.5972573506962585E-2</v>
      </c>
      <c r="H11" s="36"/>
      <c r="I11" s="68" t="s">
        <v>1205</v>
      </c>
      <c r="J11" s="73">
        <v>128862.9</v>
      </c>
      <c r="K11" s="61">
        <v>0.18840697417620775</v>
      </c>
      <c r="L11" s="36"/>
      <c r="M11" s="43"/>
    </row>
    <row r="12" spans="2:13" x14ac:dyDescent="0.25">
      <c r="B12" s="42"/>
      <c r="C12" s="60" t="s">
        <v>2289</v>
      </c>
      <c r="D12" s="58">
        <v>179.2</v>
      </c>
      <c r="E12" s="58">
        <v>897</v>
      </c>
      <c r="F12" s="58">
        <v>679</v>
      </c>
      <c r="G12" s="58">
        <v>2</v>
      </c>
      <c r="H12" s="36"/>
      <c r="I12" s="68" t="s">
        <v>1207</v>
      </c>
      <c r="J12" s="73">
        <v>111652.79999999989</v>
      </c>
      <c r="K12" s="61">
        <v>0.16324455065268026</v>
      </c>
      <c r="L12" s="36"/>
      <c r="M12" s="43"/>
    </row>
    <row r="13" spans="2:13" x14ac:dyDescent="0.25">
      <c r="B13" s="42"/>
      <c r="C13" s="60" t="s">
        <v>2290</v>
      </c>
      <c r="D13" s="58">
        <v>78.599999999999994</v>
      </c>
      <c r="E13" s="58">
        <v>1596</v>
      </c>
      <c r="F13" s="58">
        <v>506.25</v>
      </c>
      <c r="G13" s="58">
        <v>3</v>
      </c>
      <c r="H13" s="36"/>
      <c r="I13" s="68" t="s">
        <v>1248</v>
      </c>
      <c r="J13" s="73">
        <v>102551.25</v>
      </c>
      <c r="K13" s="61">
        <v>0.14993741961796472</v>
      </c>
      <c r="L13" s="36"/>
      <c r="M13" s="43"/>
    </row>
    <row r="14" spans="2:13" x14ac:dyDescent="0.25">
      <c r="B14" s="42"/>
      <c r="C14" s="60" t="s">
        <v>2291</v>
      </c>
      <c r="D14" s="58">
        <v>136.6108810017914</v>
      </c>
      <c r="E14" s="58">
        <v>514.26692401917137</v>
      </c>
      <c r="F14" s="58">
        <v>402.35576387831674</v>
      </c>
      <c r="G14" s="58">
        <v>0.82132488978148877</v>
      </c>
      <c r="H14" s="36"/>
      <c r="I14" s="68" t="s">
        <v>1203</v>
      </c>
      <c r="J14" s="73">
        <v>88892.299999999988</v>
      </c>
      <c r="K14" s="61">
        <v>0.12996703683188654</v>
      </c>
      <c r="L14" s="36"/>
      <c r="M14" s="43"/>
    </row>
    <row r="15" spans="2:13" x14ac:dyDescent="0.25">
      <c r="B15" s="42"/>
      <c r="C15" s="60" t="s">
        <v>2292</v>
      </c>
      <c r="D15" s="58">
        <v>18662.532808085612</v>
      </c>
      <c r="E15" s="58">
        <v>264470.46914014017</v>
      </c>
      <c r="F15" s="58">
        <v>161890.16072610376</v>
      </c>
      <c r="G15" s="58">
        <v>0.6745745745745747</v>
      </c>
      <c r="H15" s="36"/>
      <c r="I15" s="68" t="s">
        <v>1208</v>
      </c>
      <c r="J15" s="73">
        <v>83522.60000000002</v>
      </c>
      <c r="K15" s="61">
        <v>0.12211614313607512</v>
      </c>
      <c r="L15" s="36"/>
      <c r="M15" s="43"/>
    </row>
    <row r="16" spans="2:13" ht="15.75" thickBot="1" x14ac:dyDescent="0.3">
      <c r="B16" s="42"/>
      <c r="C16" s="60" t="s">
        <v>2293</v>
      </c>
      <c r="D16" s="58">
        <v>-0.7726487987306605</v>
      </c>
      <c r="E16" s="58">
        <v>-1.1824774002250706</v>
      </c>
      <c r="F16" s="58">
        <v>-1.0027766042611042</v>
      </c>
      <c r="G16" s="58">
        <v>-1.5174531383350383</v>
      </c>
      <c r="H16" s="36"/>
      <c r="I16" s="69" t="s">
        <v>2358</v>
      </c>
      <c r="J16" s="73"/>
      <c r="K16" s="61">
        <v>0</v>
      </c>
      <c r="L16" s="36"/>
      <c r="M16" s="43"/>
    </row>
    <row r="17" spans="2:13" ht="15.75" thickBot="1" x14ac:dyDescent="0.3">
      <c r="B17" s="42"/>
      <c r="C17" s="60" t="s">
        <v>2294</v>
      </c>
      <c r="D17" s="58">
        <v>0.46403116605739042</v>
      </c>
      <c r="E17" s="58">
        <v>6.0973098313587645E-2</v>
      </c>
      <c r="F17" s="58">
        <v>0.16270642545100492</v>
      </c>
      <c r="G17" s="58">
        <v>-1.8498006027118045E-2</v>
      </c>
      <c r="H17" s="36"/>
      <c r="I17" s="75" t="s">
        <v>2312</v>
      </c>
      <c r="J17" s="74">
        <v>683960.34999999986</v>
      </c>
      <c r="K17" s="70">
        <v>1</v>
      </c>
      <c r="L17" s="36"/>
      <c r="M17" s="43"/>
    </row>
    <row r="18" spans="2:13" x14ac:dyDescent="0.25">
      <c r="B18" s="42"/>
      <c r="C18" s="60" t="s">
        <v>2295</v>
      </c>
      <c r="D18" s="58">
        <v>570.1</v>
      </c>
      <c r="E18" s="58">
        <v>1893</v>
      </c>
      <c r="F18" s="58">
        <v>1652.8</v>
      </c>
      <c r="G18" s="58">
        <v>2</v>
      </c>
      <c r="H18" s="36"/>
      <c r="I18" s="35"/>
      <c r="J18" s="35"/>
      <c r="K18" s="35"/>
      <c r="L18" s="36"/>
      <c r="M18" s="43"/>
    </row>
    <row r="19" spans="2:13" x14ac:dyDescent="0.25">
      <c r="B19" s="42"/>
      <c r="C19" s="60" t="s">
        <v>2296</v>
      </c>
      <c r="D19" s="58">
        <v>1.1000000000000001</v>
      </c>
      <c r="E19" s="58">
        <v>11</v>
      </c>
      <c r="F19" s="58">
        <v>7.7</v>
      </c>
      <c r="G19" s="58">
        <v>1</v>
      </c>
      <c r="H19" s="36"/>
      <c r="I19" s="35"/>
      <c r="J19" s="35"/>
      <c r="K19" s="35"/>
      <c r="L19" s="36"/>
      <c r="M19" s="43"/>
    </row>
    <row r="20" spans="2:13" x14ac:dyDescent="0.25">
      <c r="B20" s="42"/>
      <c r="C20" s="60" t="s">
        <v>2297</v>
      </c>
      <c r="D20" s="58">
        <v>571.20000000000005</v>
      </c>
      <c r="E20" s="58">
        <v>1904</v>
      </c>
      <c r="F20" s="58">
        <v>1660.5</v>
      </c>
      <c r="G20" s="58">
        <v>3</v>
      </c>
      <c r="H20" s="36"/>
      <c r="I20" s="35"/>
      <c r="J20" s="35"/>
      <c r="K20" s="35"/>
      <c r="L20" s="36"/>
      <c r="M20" s="43"/>
    </row>
    <row r="21" spans="2:13" x14ac:dyDescent="0.25">
      <c r="B21" s="42"/>
      <c r="C21" s="60" t="s">
        <v>2298</v>
      </c>
      <c r="D21" s="66">
        <v>206466.65000000002</v>
      </c>
      <c r="E21" s="66">
        <v>890427</v>
      </c>
      <c r="F21" s="66">
        <v>683960.35000000021</v>
      </c>
      <c r="G21" s="58">
        <v>2010</v>
      </c>
      <c r="H21" s="36"/>
      <c r="I21" s="35"/>
      <c r="J21" s="35"/>
      <c r="K21" s="35"/>
      <c r="L21" s="36"/>
      <c r="M21" s="43"/>
    </row>
    <row r="22" spans="2:13" x14ac:dyDescent="0.25">
      <c r="B22" s="42"/>
      <c r="C22" s="60" t="s">
        <v>2299</v>
      </c>
      <c r="D22" s="58">
        <v>1000</v>
      </c>
      <c r="E22" s="58">
        <v>1000</v>
      </c>
      <c r="F22" s="58">
        <v>1000</v>
      </c>
      <c r="G22" s="58">
        <v>1000</v>
      </c>
      <c r="H22" s="36"/>
      <c r="I22" s="35"/>
      <c r="J22" s="35"/>
      <c r="K22" s="35"/>
      <c r="L22" s="36"/>
      <c r="M22" s="43"/>
    </row>
    <row r="23" spans="2:13" ht="15.75" thickBot="1" x14ac:dyDescent="0.3">
      <c r="B23" s="44"/>
      <c r="C23" s="45"/>
      <c r="D23" s="45"/>
      <c r="E23" s="45"/>
      <c r="F23" s="46"/>
      <c r="G23" s="46"/>
      <c r="H23" s="46"/>
      <c r="I23" s="46"/>
      <c r="J23" s="46"/>
      <c r="K23" s="46"/>
      <c r="L23" s="45"/>
      <c r="M23" s="47"/>
    </row>
    <row r="24" spans="2:13" ht="15.75" thickBot="1" x14ac:dyDescent="0.3">
      <c r="D24" s="17"/>
      <c r="E24" s="17"/>
      <c r="F24" s="17"/>
    </row>
    <row r="25" spans="2:13" x14ac:dyDescent="0.25">
      <c r="B25" s="37"/>
      <c r="C25" s="62"/>
      <c r="D25" s="38"/>
      <c r="E25" s="38"/>
      <c r="F25" s="38"/>
      <c r="G25" s="38"/>
      <c r="H25" s="38"/>
      <c r="I25" s="40"/>
      <c r="J25" s="40"/>
      <c r="K25" s="40"/>
      <c r="L25" s="38"/>
      <c r="M25" s="41"/>
    </row>
    <row r="26" spans="2:13" x14ac:dyDescent="0.25">
      <c r="B26" s="42"/>
      <c r="C26" s="36"/>
      <c r="D26" s="36"/>
      <c r="E26" s="36"/>
      <c r="F26" s="36"/>
      <c r="G26" s="36"/>
      <c r="H26" s="36"/>
      <c r="I26" s="35"/>
      <c r="J26" s="35"/>
      <c r="K26" s="35"/>
      <c r="L26" s="36"/>
      <c r="M26" s="43"/>
    </row>
    <row r="27" spans="2:13" ht="15.75" thickBot="1" x14ac:dyDescent="0.3">
      <c r="B27" s="42"/>
      <c r="C27" s="36"/>
      <c r="D27" s="36"/>
      <c r="E27" s="36"/>
      <c r="F27" s="36"/>
      <c r="G27" s="35"/>
      <c r="H27" s="36"/>
      <c r="I27" s="35"/>
      <c r="J27" s="35"/>
      <c r="K27" s="35"/>
      <c r="L27" s="36"/>
      <c r="M27" s="43"/>
    </row>
    <row r="28" spans="2:13" ht="15.75" thickBot="1" x14ac:dyDescent="0.3">
      <c r="B28" s="42"/>
      <c r="C28" s="48" t="s">
        <v>10</v>
      </c>
      <c r="D28" s="49" t="s">
        <v>2351</v>
      </c>
      <c r="E28" s="50" t="s">
        <v>2352</v>
      </c>
      <c r="F28" s="50" t="s">
        <v>2350</v>
      </c>
      <c r="G28" s="51" t="s">
        <v>2349</v>
      </c>
      <c r="H28" s="36"/>
      <c r="I28" s="35"/>
      <c r="J28" s="35"/>
      <c r="K28" s="35"/>
      <c r="L28" s="36"/>
      <c r="M28" s="43"/>
    </row>
    <row r="29" spans="2:13" x14ac:dyDescent="0.25">
      <c r="B29" s="42"/>
      <c r="C29" s="52" t="s">
        <v>19</v>
      </c>
      <c r="D29" s="78">
        <v>156433.15</v>
      </c>
      <c r="E29" s="79">
        <v>202931</v>
      </c>
      <c r="F29" s="53">
        <v>0.20976677108084768</v>
      </c>
      <c r="G29" s="80">
        <v>215</v>
      </c>
      <c r="H29" s="36"/>
      <c r="I29" s="35"/>
      <c r="J29" s="35"/>
      <c r="K29" s="35"/>
      <c r="L29" s="36"/>
      <c r="M29" s="43"/>
    </row>
    <row r="30" spans="2:13" x14ac:dyDescent="0.25">
      <c r="B30" s="42"/>
      <c r="C30" s="54" t="s">
        <v>15</v>
      </c>
      <c r="D30" s="84">
        <v>151415.99999999985</v>
      </c>
      <c r="E30" s="85">
        <v>198365</v>
      </c>
      <c r="F30" s="86">
        <v>0.19059535243197365</v>
      </c>
      <c r="G30" s="87">
        <v>226</v>
      </c>
      <c r="H30" s="36"/>
      <c r="I30" s="35"/>
      <c r="J30" s="35"/>
      <c r="K30" s="35"/>
      <c r="L30" s="36"/>
      <c r="M30" s="43"/>
    </row>
    <row r="31" spans="2:13" x14ac:dyDescent="0.25">
      <c r="B31" s="42"/>
      <c r="C31" s="54" t="s">
        <v>13</v>
      </c>
      <c r="D31" s="84">
        <v>129503.45</v>
      </c>
      <c r="E31" s="85">
        <v>169311</v>
      </c>
      <c r="F31" s="86">
        <v>0.19063688688688687</v>
      </c>
      <c r="G31" s="87">
        <v>194</v>
      </c>
      <c r="H31" s="36"/>
      <c r="I31" s="35"/>
      <c r="J31" s="35"/>
      <c r="K31" s="35"/>
      <c r="L31" s="36"/>
      <c r="M31" s="43"/>
    </row>
    <row r="32" spans="2:13" x14ac:dyDescent="0.25">
      <c r="B32" s="42"/>
      <c r="C32" s="54" t="s">
        <v>16</v>
      </c>
      <c r="D32" s="84">
        <v>123793.29999999993</v>
      </c>
      <c r="E32" s="85">
        <v>161563</v>
      </c>
      <c r="F32" s="86">
        <v>0.18787987785629284</v>
      </c>
      <c r="G32" s="87">
        <v>188</v>
      </c>
      <c r="H32" s="36"/>
      <c r="I32" s="35"/>
      <c r="J32" s="35"/>
      <c r="K32" s="35"/>
      <c r="L32" s="36"/>
      <c r="M32" s="43"/>
    </row>
    <row r="33" spans="2:13" ht="15.75" thickBot="1" x14ac:dyDescent="0.3">
      <c r="B33" s="42"/>
      <c r="C33" s="55" t="s">
        <v>1200</v>
      </c>
      <c r="D33" s="84">
        <v>122814.44999999998</v>
      </c>
      <c r="E33" s="85">
        <v>158257</v>
      </c>
      <c r="F33" s="86">
        <v>0.19741946217563439</v>
      </c>
      <c r="G33" s="87">
        <v>177</v>
      </c>
      <c r="H33" s="36"/>
      <c r="I33" s="35"/>
      <c r="J33" s="35"/>
      <c r="K33" s="35"/>
      <c r="L33" s="36"/>
      <c r="M33" s="43"/>
    </row>
    <row r="34" spans="2:13" ht="15.75" thickBot="1" x14ac:dyDescent="0.3">
      <c r="B34" s="42"/>
      <c r="C34" s="56" t="s">
        <v>2312</v>
      </c>
      <c r="D34" s="81">
        <v>683960.35000000033</v>
      </c>
      <c r="E34" s="82">
        <v>890427</v>
      </c>
      <c r="F34" s="57">
        <v>0.1953893300957007</v>
      </c>
      <c r="G34" s="83">
        <v>1000</v>
      </c>
      <c r="H34" s="36"/>
      <c r="I34" s="35"/>
      <c r="J34" s="35"/>
      <c r="K34" s="35"/>
      <c r="L34" s="36"/>
      <c r="M34" s="43"/>
    </row>
    <row r="35" spans="2:13" x14ac:dyDescent="0.25">
      <c r="B35" s="42"/>
      <c r="C35" s="36"/>
      <c r="D35" s="36"/>
      <c r="E35" s="36"/>
      <c r="F35" s="36"/>
      <c r="G35" s="36"/>
      <c r="H35" s="36"/>
      <c r="I35" s="35"/>
      <c r="J35" s="35"/>
      <c r="K35" s="35"/>
      <c r="L35" s="36"/>
      <c r="M35" s="43"/>
    </row>
    <row r="36" spans="2:13" x14ac:dyDescent="0.25">
      <c r="B36" s="42"/>
      <c r="C36" s="36"/>
      <c r="D36" s="36"/>
      <c r="E36" s="36"/>
      <c r="F36" s="36"/>
      <c r="G36" s="36"/>
      <c r="H36" s="36"/>
      <c r="I36" s="35"/>
      <c r="J36" s="35"/>
      <c r="K36" s="35"/>
      <c r="L36" s="36"/>
      <c r="M36" s="43"/>
    </row>
    <row r="37" spans="2:13" x14ac:dyDescent="0.25">
      <c r="B37" s="42"/>
      <c r="C37" s="36"/>
      <c r="D37" s="36"/>
      <c r="E37" s="36"/>
      <c r="F37" s="36"/>
      <c r="G37" s="36"/>
      <c r="H37" s="36"/>
      <c r="I37" s="35"/>
      <c r="J37" s="35"/>
      <c r="K37" s="35"/>
      <c r="L37" s="36"/>
      <c r="M37" s="43"/>
    </row>
    <row r="38" spans="2:13" x14ac:dyDescent="0.25">
      <c r="B38" s="42"/>
      <c r="C38" s="36"/>
      <c r="D38" s="36"/>
      <c r="E38" s="36"/>
      <c r="F38" s="36"/>
      <c r="G38" s="36"/>
      <c r="H38" s="36"/>
      <c r="I38" s="35"/>
      <c r="J38" s="35"/>
      <c r="K38" s="35"/>
      <c r="L38" s="36"/>
      <c r="M38" s="43"/>
    </row>
    <row r="39" spans="2:13" x14ac:dyDescent="0.25">
      <c r="B39" s="42"/>
      <c r="C39" s="36"/>
      <c r="D39" s="36"/>
      <c r="E39" s="36"/>
      <c r="F39" s="36"/>
      <c r="G39" s="36"/>
      <c r="H39" s="36"/>
      <c r="I39" s="35"/>
      <c r="J39" s="35"/>
      <c r="K39" s="35"/>
      <c r="L39" s="36"/>
      <c r="M39" s="43"/>
    </row>
    <row r="40" spans="2:13" x14ac:dyDescent="0.25">
      <c r="B40" s="42"/>
      <c r="C40" s="36"/>
      <c r="D40" s="36"/>
      <c r="E40" s="36"/>
      <c r="F40" s="36"/>
      <c r="G40" s="36"/>
      <c r="H40" s="36"/>
      <c r="I40" s="35"/>
      <c r="J40" s="35"/>
      <c r="K40" s="35"/>
      <c r="L40" s="36"/>
      <c r="M40" s="43"/>
    </row>
    <row r="41" spans="2:13" x14ac:dyDescent="0.25">
      <c r="B41" s="42"/>
      <c r="C41" s="36"/>
      <c r="D41" s="36"/>
      <c r="E41" s="36"/>
      <c r="F41" s="36"/>
      <c r="G41" s="36"/>
      <c r="H41" s="36"/>
      <c r="I41" s="35"/>
      <c r="J41" s="35"/>
      <c r="K41" s="35"/>
      <c r="L41" s="36"/>
      <c r="M41" s="43"/>
    </row>
    <row r="42" spans="2:13" x14ac:dyDescent="0.25">
      <c r="B42" s="42"/>
      <c r="C42" s="36"/>
      <c r="D42" s="36"/>
      <c r="E42" s="36"/>
      <c r="F42" s="36"/>
      <c r="G42" s="36"/>
      <c r="H42" s="36"/>
      <c r="I42" s="35"/>
      <c r="J42" s="35"/>
      <c r="K42" s="35"/>
      <c r="L42" s="36"/>
      <c r="M42" s="43"/>
    </row>
    <row r="43" spans="2:13" x14ac:dyDescent="0.25">
      <c r="B43" s="42"/>
      <c r="C43" s="36"/>
      <c r="D43" s="36"/>
      <c r="E43" s="36"/>
      <c r="F43" s="36"/>
      <c r="G43" s="36"/>
      <c r="H43" s="36"/>
      <c r="I43" s="35"/>
      <c r="J43" s="35"/>
      <c r="K43" s="35"/>
      <c r="L43" s="36"/>
      <c r="M43" s="43"/>
    </row>
    <row r="44" spans="2:13" x14ac:dyDescent="0.25">
      <c r="B44" s="42"/>
      <c r="C44" s="36"/>
      <c r="D44" s="36"/>
      <c r="E44" s="36"/>
      <c r="F44" s="36"/>
      <c r="G44" s="36"/>
      <c r="H44" s="36"/>
      <c r="I44" s="35"/>
      <c r="J44" s="35"/>
      <c r="K44" s="35"/>
      <c r="L44" s="36"/>
      <c r="M44" s="43"/>
    </row>
    <row r="45" spans="2:13" ht="15.75" thickBot="1" x14ac:dyDescent="0.3">
      <c r="B45" s="44"/>
      <c r="C45" s="45"/>
      <c r="D45" s="45"/>
      <c r="E45" s="45"/>
      <c r="F45" s="45"/>
      <c r="G45" s="45"/>
      <c r="H45" s="45"/>
      <c r="I45" s="46"/>
      <c r="J45" s="46"/>
      <c r="K45" s="46"/>
      <c r="L45" s="45"/>
      <c r="M45" s="47"/>
    </row>
    <row r="48" spans="2:13" ht="15.75" thickBot="1" x14ac:dyDescent="0.3"/>
    <row r="49" spans="3:12" x14ac:dyDescent="0.25">
      <c r="C49" s="37"/>
      <c r="D49" s="38"/>
      <c r="E49" s="38"/>
      <c r="F49" s="38"/>
      <c r="G49" s="39"/>
      <c r="H49" s="38"/>
      <c r="I49" s="38"/>
      <c r="J49" s="40"/>
      <c r="K49" s="40"/>
      <c r="L49" s="63"/>
    </row>
    <row r="50" spans="3:12" x14ac:dyDescent="0.25">
      <c r="C50" s="42"/>
      <c r="D50" s="36"/>
      <c r="E50" s="36"/>
      <c r="F50" s="36"/>
      <c r="G50" s="36"/>
      <c r="H50" s="36"/>
      <c r="I50" s="36"/>
      <c r="J50" s="35"/>
      <c r="K50" s="35"/>
      <c r="L50" s="64"/>
    </row>
    <row r="51" spans="3:12" ht="15.75" thickBot="1" x14ac:dyDescent="0.3">
      <c r="C51" s="42"/>
      <c r="D51" s="36"/>
      <c r="E51" s="36"/>
      <c r="F51" s="36"/>
      <c r="G51" s="36"/>
      <c r="H51" s="36"/>
      <c r="I51" s="36"/>
      <c r="J51" s="35"/>
      <c r="K51" s="35"/>
      <c r="L51" s="64"/>
    </row>
    <row r="52" spans="3:12" ht="15.75" thickBot="1" x14ac:dyDescent="0.3">
      <c r="C52" s="42"/>
      <c r="D52" s="92" t="s">
        <v>2354</v>
      </c>
      <c r="E52" s="93" t="s">
        <v>2351</v>
      </c>
      <c r="F52" s="94" t="s">
        <v>2355</v>
      </c>
      <c r="G52" s="36"/>
      <c r="H52" s="36"/>
      <c r="I52" s="36"/>
      <c r="J52" s="35"/>
      <c r="K52" s="35"/>
      <c r="L52" s="64"/>
    </row>
    <row r="53" spans="3:12" x14ac:dyDescent="0.25">
      <c r="C53" s="42"/>
      <c r="D53" s="97" t="s">
        <v>2333</v>
      </c>
      <c r="E53" s="89">
        <v>50431.350000000006</v>
      </c>
      <c r="F53" s="90">
        <v>137</v>
      </c>
      <c r="G53" s="36"/>
      <c r="H53" s="36"/>
      <c r="I53" s="36"/>
      <c r="J53" s="35"/>
      <c r="K53" s="35"/>
      <c r="L53" s="64"/>
    </row>
    <row r="54" spans="3:12" x14ac:dyDescent="0.25">
      <c r="C54" s="42"/>
      <c r="D54" s="98" t="s">
        <v>2334</v>
      </c>
      <c r="E54" s="96">
        <v>60135.75</v>
      </c>
      <c r="F54" s="95">
        <v>163</v>
      </c>
      <c r="G54" s="36"/>
      <c r="H54" s="36"/>
      <c r="I54" s="36"/>
      <c r="J54" s="35"/>
      <c r="K54" s="35"/>
      <c r="L54" s="64"/>
    </row>
    <row r="55" spans="3:12" x14ac:dyDescent="0.25">
      <c r="C55" s="42"/>
      <c r="D55" s="98" t="s">
        <v>2335</v>
      </c>
      <c r="E55" s="96">
        <v>67967.150000000009</v>
      </c>
      <c r="F55" s="95">
        <v>184</v>
      </c>
      <c r="G55" s="36"/>
      <c r="H55" s="36"/>
      <c r="I55" s="36"/>
      <c r="J55" s="35"/>
      <c r="K55" s="35"/>
      <c r="L55" s="64"/>
    </row>
    <row r="56" spans="3:12" x14ac:dyDescent="0.25">
      <c r="C56" s="42"/>
      <c r="D56" s="98" t="s">
        <v>2336</v>
      </c>
      <c r="E56" s="96">
        <v>45044.5</v>
      </c>
      <c r="F56" s="95">
        <v>157</v>
      </c>
      <c r="G56" s="36"/>
      <c r="H56" s="36"/>
      <c r="I56" s="36"/>
      <c r="J56" s="35"/>
      <c r="K56" s="35"/>
      <c r="L56" s="64"/>
    </row>
    <row r="57" spans="3:12" x14ac:dyDescent="0.25">
      <c r="C57" s="42"/>
      <c r="D57" s="98" t="s">
        <v>2337</v>
      </c>
      <c r="E57" s="96">
        <v>47984.049999999974</v>
      </c>
      <c r="F57" s="95">
        <v>146</v>
      </c>
      <c r="G57" s="36"/>
      <c r="H57" s="36"/>
      <c r="I57" s="36"/>
      <c r="J57" s="35"/>
      <c r="K57" s="35"/>
      <c r="L57" s="64"/>
    </row>
    <row r="58" spans="3:12" x14ac:dyDescent="0.25">
      <c r="C58" s="42"/>
      <c r="D58" s="98" t="s">
        <v>2338</v>
      </c>
      <c r="E58" s="96">
        <v>57192.749999999993</v>
      </c>
      <c r="F58" s="95">
        <v>161</v>
      </c>
      <c r="G58" s="36"/>
      <c r="H58" s="36"/>
      <c r="I58" s="36"/>
      <c r="J58" s="35"/>
      <c r="K58" s="35"/>
      <c r="L58" s="64"/>
    </row>
    <row r="59" spans="3:12" x14ac:dyDescent="0.25">
      <c r="C59" s="42"/>
      <c r="D59" s="98" t="s">
        <v>2339</v>
      </c>
      <c r="E59" s="96">
        <v>59274.3</v>
      </c>
      <c r="F59" s="95">
        <v>188</v>
      </c>
      <c r="G59" s="36"/>
      <c r="H59" s="36"/>
      <c r="I59" s="36"/>
      <c r="J59" s="35"/>
      <c r="K59" s="35"/>
      <c r="L59" s="64"/>
    </row>
    <row r="60" spans="3:12" x14ac:dyDescent="0.25">
      <c r="C60" s="42"/>
      <c r="D60" s="98" t="s">
        <v>2340</v>
      </c>
      <c r="E60" s="96">
        <v>65451.65</v>
      </c>
      <c r="F60" s="95">
        <v>191</v>
      </c>
      <c r="G60" s="36"/>
      <c r="H60" s="36"/>
      <c r="I60" s="36"/>
      <c r="J60" s="35"/>
      <c r="K60" s="35"/>
      <c r="L60" s="64"/>
    </row>
    <row r="61" spans="3:12" x14ac:dyDescent="0.25">
      <c r="C61" s="42"/>
      <c r="D61" s="98" t="s">
        <v>2341</v>
      </c>
      <c r="E61" s="96">
        <v>59353.800000000025</v>
      </c>
      <c r="F61" s="95">
        <v>171</v>
      </c>
      <c r="G61" s="36"/>
      <c r="H61" s="36"/>
      <c r="I61" s="36"/>
      <c r="J61" s="35"/>
      <c r="K61" s="35"/>
      <c r="L61" s="64"/>
    </row>
    <row r="62" spans="3:12" x14ac:dyDescent="0.25">
      <c r="C62" s="42"/>
      <c r="D62" s="98" t="s">
        <v>2342</v>
      </c>
      <c r="E62" s="96">
        <v>56773.999999999978</v>
      </c>
      <c r="F62" s="95">
        <v>148</v>
      </c>
      <c r="G62" s="36"/>
      <c r="H62" s="36"/>
      <c r="I62" s="36"/>
      <c r="J62" s="35"/>
      <c r="K62" s="35"/>
      <c r="L62" s="64"/>
    </row>
    <row r="63" spans="3:12" x14ac:dyDescent="0.25">
      <c r="C63" s="42"/>
      <c r="D63" s="98" t="s">
        <v>2343</v>
      </c>
      <c r="E63" s="96">
        <v>57484.249999999985</v>
      </c>
      <c r="F63" s="95">
        <v>189</v>
      </c>
      <c r="G63" s="36"/>
      <c r="H63" s="36"/>
      <c r="I63" s="36"/>
      <c r="J63" s="35"/>
      <c r="K63" s="35"/>
      <c r="L63" s="64"/>
    </row>
    <row r="64" spans="3:12" x14ac:dyDescent="0.25">
      <c r="C64" s="42"/>
      <c r="D64" s="98" t="s">
        <v>2344</v>
      </c>
      <c r="E64" s="96">
        <v>56866.800000000017</v>
      </c>
      <c r="F64" s="95">
        <v>175</v>
      </c>
      <c r="G64" s="36"/>
      <c r="H64" s="36"/>
      <c r="I64" s="36"/>
      <c r="J64" s="35"/>
      <c r="K64" s="35"/>
      <c r="L64" s="64"/>
    </row>
    <row r="65" spans="3:12" ht="15.75" thickBot="1" x14ac:dyDescent="0.3">
      <c r="C65" s="42"/>
      <c r="D65" s="99" t="s">
        <v>2358</v>
      </c>
      <c r="E65" s="96"/>
      <c r="F65" s="95"/>
      <c r="G65" s="36"/>
      <c r="H65" s="36"/>
      <c r="I65" s="36"/>
      <c r="J65" s="35"/>
      <c r="K65" s="35"/>
      <c r="L65" s="64"/>
    </row>
    <row r="66" spans="3:12" ht="15.75" thickBot="1" x14ac:dyDescent="0.3">
      <c r="C66" s="42"/>
      <c r="D66" s="92" t="s">
        <v>2312</v>
      </c>
      <c r="E66" s="91">
        <v>683960.35000000009</v>
      </c>
      <c r="F66" s="88">
        <v>2010</v>
      </c>
      <c r="G66" s="36"/>
      <c r="H66" s="36"/>
      <c r="I66" s="36"/>
      <c r="J66" s="35"/>
      <c r="K66" s="35"/>
      <c r="L66" s="64"/>
    </row>
    <row r="67" spans="3:12" ht="15.75" thickBot="1" x14ac:dyDescent="0.3">
      <c r="C67" s="44"/>
      <c r="D67" s="45"/>
      <c r="E67" s="45"/>
      <c r="F67" s="45"/>
      <c r="G67" s="45"/>
      <c r="H67" s="45"/>
      <c r="I67" s="45"/>
      <c r="J67" s="46"/>
      <c r="K67" s="46"/>
      <c r="L67" s="65"/>
    </row>
    <row r="68" spans="3:12" x14ac:dyDescent="0.25">
      <c r="G68"/>
      <c r="H68"/>
      <c r="J68" s="17"/>
      <c r="K68" s="17"/>
    </row>
    <row r="69" spans="3:12" x14ac:dyDescent="0.25">
      <c r="G69"/>
      <c r="H69"/>
      <c r="J69" s="17"/>
      <c r="K69" s="17"/>
    </row>
    <row r="70" spans="3:12" x14ac:dyDescent="0.25">
      <c r="G70"/>
      <c r="H70"/>
      <c r="J70" s="17"/>
      <c r="K70" s="17"/>
    </row>
    <row r="71" spans="3:12" x14ac:dyDescent="0.25">
      <c r="G71"/>
      <c r="H71"/>
      <c r="J71" s="17"/>
      <c r="K71" s="17"/>
    </row>
    <row r="72" spans="3:12" x14ac:dyDescent="0.25">
      <c r="G72"/>
      <c r="H72"/>
      <c r="J72" s="17"/>
      <c r="K72" s="17"/>
    </row>
  </sheetData>
  <conditionalFormatting pivot="1" sqref="E53:E64">
    <cfRule type="colorScale" priority="6">
      <colorScale>
        <cfvo type="min"/>
        <cfvo type="percentile" val="50"/>
        <cfvo type="max"/>
        <color rgb="FFF8696B"/>
        <color rgb="FFFCFCFF"/>
        <color rgb="FF63BE7B"/>
      </colorScale>
    </cfRule>
  </conditionalFormatting>
  <conditionalFormatting pivot="1" sqref="F29:F33">
    <cfRule type="aboveAverage" dxfId="4" priority="5"/>
  </conditionalFormatting>
  <conditionalFormatting pivot="1" sqref="D29:D33">
    <cfRule type="aboveAverage" dxfId="3" priority="4"/>
  </conditionalFormatting>
  <conditionalFormatting pivot="1" sqref="K10:K15">
    <cfRule type="top10" dxfId="2" priority="3" percent="1" rank="60"/>
  </conditionalFormatting>
  <conditionalFormatting pivot="1" sqref="K10:K15">
    <cfRule type="top10" dxfId="1" priority="2" percent="1" rank="60"/>
  </conditionalFormatting>
  <conditionalFormatting sqref="I10:I15">
    <cfRule type="top10" dxfId="0" priority="1" rank="3"/>
  </conditionalFormatting>
  <pageMargins left="0.7" right="0.7" top="0.75" bottom="0.75" header="0.3" footer="0.3"/>
  <drawing r:id="rId4"/>
  <tableParts count="1">
    <tablePart r:id="rId5"/>
  </tableParts>
  <extLst>
    <ext xmlns:x14="http://schemas.microsoft.com/office/spreadsheetml/2009/9/main" uri="{A8765BA9-456A-4dab-B4F3-ACF838C121DE}">
      <x14:slicerList>
        <x14:slicer r:id="rId6"/>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A08D54-8BCF-4AF6-BED3-7653B64E3B41}">
  <dimension ref="A1:W31"/>
  <sheetViews>
    <sheetView topLeftCell="A15" zoomScale="95" zoomScaleNormal="100" workbookViewId="0">
      <selection activeCell="L26" sqref="L26"/>
    </sheetView>
  </sheetViews>
  <sheetFormatPr defaultRowHeight="15" x14ac:dyDescent="0.25"/>
  <sheetData>
    <row r="1" spans="1:23" x14ac:dyDescent="0.25">
      <c r="A1" t="s">
        <v>2257</v>
      </c>
    </row>
    <row r="2" spans="1:23" x14ac:dyDescent="0.25">
      <c r="A2" t="s">
        <v>2258</v>
      </c>
      <c r="L2" t="s">
        <v>2307</v>
      </c>
    </row>
    <row r="3" spans="1:23" x14ac:dyDescent="0.25">
      <c r="H3" t="s">
        <v>2269</v>
      </c>
      <c r="L3" t="s">
        <v>2301</v>
      </c>
    </row>
    <row r="4" spans="1:23" x14ac:dyDescent="0.25">
      <c r="H4" t="s">
        <v>2270</v>
      </c>
    </row>
    <row r="5" spans="1:23" x14ac:dyDescent="0.25">
      <c r="A5" t="s">
        <v>2259</v>
      </c>
    </row>
    <row r="6" spans="1:23" x14ac:dyDescent="0.25">
      <c r="A6" t="s">
        <v>2260</v>
      </c>
    </row>
    <row r="7" spans="1:23" ht="18" x14ac:dyDescent="0.25">
      <c r="A7" t="s">
        <v>2261</v>
      </c>
      <c r="L7" s="27" t="s">
        <v>2302</v>
      </c>
      <c r="U7" t="s">
        <v>2305</v>
      </c>
      <c r="W7" t="s">
        <v>2306</v>
      </c>
    </row>
    <row r="9" spans="1:23" x14ac:dyDescent="0.25">
      <c r="L9" s="28" t="s">
        <v>2303</v>
      </c>
    </row>
    <row r="10" spans="1:23" x14ac:dyDescent="0.25">
      <c r="E10" s="16" t="s">
        <v>2262</v>
      </c>
      <c r="L10" s="28" t="s">
        <v>2304</v>
      </c>
    </row>
    <row r="11" spans="1:23" ht="15.75" thickBot="1" x14ac:dyDescent="0.3"/>
    <row r="12" spans="1:23" x14ac:dyDescent="0.25">
      <c r="A12" s="5" t="s">
        <v>2263</v>
      </c>
      <c r="B12" s="6"/>
      <c r="C12" s="6"/>
      <c r="D12" s="6"/>
      <c r="E12" s="6"/>
      <c r="F12" s="7" t="s">
        <v>2271</v>
      </c>
      <c r="G12" s="6"/>
      <c r="H12" s="6"/>
      <c r="I12" s="8"/>
    </row>
    <row r="13" spans="1:23" ht="18" x14ac:dyDescent="0.25">
      <c r="A13" s="9"/>
      <c r="B13" s="4"/>
      <c r="C13" s="4"/>
      <c r="D13" s="4"/>
      <c r="E13" s="4"/>
      <c r="F13" s="4" t="s">
        <v>2272</v>
      </c>
      <c r="G13" s="4"/>
      <c r="H13" s="4"/>
      <c r="I13" s="10"/>
      <c r="L13" s="27" t="s">
        <v>2308</v>
      </c>
    </row>
    <row r="14" spans="1:23" x14ac:dyDescent="0.25">
      <c r="A14" s="9" t="s">
        <v>2264</v>
      </c>
      <c r="B14" s="4" t="s">
        <v>2265</v>
      </c>
      <c r="C14" s="4"/>
      <c r="D14" s="4"/>
      <c r="E14" s="4"/>
      <c r="F14" s="4" t="s">
        <v>2273</v>
      </c>
      <c r="G14" s="4"/>
      <c r="H14" s="4"/>
      <c r="I14" s="10"/>
    </row>
    <row r="15" spans="1:23" x14ac:dyDescent="0.25">
      <c r="A15" s="9"/>
      <c r="B15" s="4"/>
      <c r="C15" s="4"/>
      <c r="D15" s="4"/>
      <c r="E15" s="4"/>
      <c r="F15" s="4" t="s">
        <v>2277</v>
      </c>
      <c r="G15" s="4"/>
      <c r="H15" s="4"/>
      <c r="I15" s="10"/>
      <c r="L15" s="28" t="s">
        <v>2309</v>
      </c>
    </row>
    <row r="16" spans="1:23" x14ac:dyDescent="0.25">
      <c r="A16" s="11" t="s">
        <v>2266</v>
      </c>
      <c r="B16" s="4"/>
      <c r="C16" s="4"/>
      <c r="D16" s="4"/>
      <c r="E16" s="4"/>
      <c r="F16" s="4"/>
      <c r="G16" s="4"/>
      <c r="H16" s="4"/>
      <c r="I16" s="10"/>
      <c r="L16" s="28" t="s">
        <v>2310</v>
      </c>
    </row>
    <row r="17" spans="1:12" x14ac:dyDescent="0.25">
      <c r="A17" s="9"/>
      <c r="B17" s="4"/>
      <c r="C17" s="4"/>
      <c r="D17" s="4"/>
      <c r="E17" s="4"/>
      <c r="F17" s="12" t="s">
        <v>2274</v>
      </c>
      <c r="G17" s="4"/>
      <c r="H17" s="4"/>
      <c r="I17" s="10"/>
    </row>
    <row r="18" spans="1:12" x14ac:dyDescent="0.25">
      <c r="A18" s="9" t="s">
        <v>2267</v>
      </c>
      <c r="B18" s="4"/>
      <c r="C18" s="4"/>
      <c r="D18" s="4"/>
      <c r="E18" s="4"/>
      <c r="F18" s="4" t="s">
        <v>2275</v>
      </c>
      <c r="G18" s="4"/>
      <c r="H18" s="4"/>
      <c r="I18" s="10"/>
    </row>
    <row r="19" spans="1:12" x14ac:dyDescent="0.25">
      <c r="A19" s="9" t="s">
        <v>2268</v>
      </c>
      <c r="B19" s="4"/>
      <c r="C19" s="4"/>
      <c r="D19" s="4"/>
      <c r="E19" s="4"/>
      <c r="F19" s="4" t="s">
        <v>2276</v>
      </c>
      <c r="G19" s="4"/>
      <c r="H19" s="4"/>
      <c r="I19" s="10"/>
    </row>
    <row r="20" spans="1:12" ht="15.75" thickBot="1" x14ac:dyDescent="0.3">
      <c r="A20" s="13"/>
      <c r="B20" s="14"/>
      <c r="C20" s="14"/>
      <c r="D20" s="14"/>
      <c r="E20" s="14"/>
      <c r="F20" s="14"/>
      <c r="G20" s="14"/>
      <c r="H20" s="14"/>
      <c r="I20" s="15"/>
    </row>
    <row r="21" spans="1:12" x14ac:dyDescent="0.25">
      <c r="L21" t="s">
        <v>2329</v>
      </c>
    </row>
    <row r="22" spans="1:12" x14ac:dyDescent="0.25">
      <c r="L22" t="s">
        <v>2330</v>
      </c>
    </row>
    <row r="23" spans="1:12" x14ac:dyDescent="0.25">
      <c r="L23" t="s">
        <v>2331</v>
      </c>
    </row>
    <row r="27" spans="1:12" x14ac:dyDescent="0.25">
      <c r="A27" t="s">
        <v>2278</v>
      </c>
    </row>
    <row r="28" spans="1:12" x14ac:dyDescent="0.25">
      <c r="A28" s="4" t="s">
        <v>2279</v>
      </c>
      <c r="D28" t="s">
        <v>2283</v>
      </c>
    </row>
    <row r="29" spans="1:12" x14ac:dyDescent="0.25">
      <c r="A29" s="4" t="s">
        <v>2280</v>
      </c>
      <c r="D29" t="s">
        <v>2284</v>
      </c>
    </row>
    <row r="30" spans="1:12" x14ac:dyDescent="0.25">
      <c r="A30" s="4" t="s">
        <v>2281</v>
      </c>
      <c r="D30" t="s">
        <v>2285</v>
      </c>
    </row>
    <row r="31" spans="1:12" x14ac:dyDescent="0.25">
      <c r="A31" s="4" t="s">
        <v>2282</v>
      </c>
      <c r="D31" t="s">
        <v>2286</v>
      </c>
    </row>
  </sheetData>
  <sheetProtection algorithmName="SHA-512" hashValue="HOikUr0xT5b3JEYtTFiq7IN7kslfc3Ep6EUg6O5yyJ8JkXtuUfrcu1nLNh/tcbNRqOFaZRrDr1gtha+2rH3qNw==" saltValue="1x2g2PnjmBQLszVUyU1Ofw==" spinCount="100000" sheet="1" objects="1" scenarios="1"/>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266B73-2A2C-4716-846A-D3B13E5F824B}">
  <dimension ref="A1:C7"/>
  <sheetViews>
    <sheetView workbookViewId="0">
      <selection activeCell="C5" sqref="C5"/>
    </sheetView>
  </sheetViews>
  <sheetFormatPr defaultRowHeight="15" x14ac:dyDescent="0.25"/>
  <cols>
    <col min="1" max="1" width="20.7109375" customWidth="1"/>
    <col min="2" max="2" width="12.28515625" customWidth="1"/>
  </cols>
  <sheetData>
    <row r="1" spans="1:3" ht="30" x14ac:dyDescent="0.25">
      <c r="A1" s="2" t="s">
        <v>1201</v>
      </c>
      <c r="B1" s="2" t="s">
        <v>1202</v>
      </c>
      <c r="C1" s="2" t="s">
        <v>1246</v>
      </c>
    </row>
    <row r="2" spans="1:3" x14ac:dyDescent="0.25">
      <c r="A2" s="3" t="s">
        <v>1203</v>
      </c>
      <c r="B2" s="3" t="s">
        <v>1204</v>
      </c>
      <c r="C2" s="3">
        <v>0.3</v>
      </c>
    </row>
    <row r="3" spans="1:3" x14ac:dyDescent="0.25">
      <c r="A3" s="3" t="s">
        <v>1205</v>
      </c>
      <c r="B3" s="3" t="s">
        <v>1206</v>
      </c>
      <c r="C3" s="3">
        <v>0.1</v>
      </c>
    </row>
    <row r="4" spans="1:3" x14ac:dyDescent="0.25">
      <c r="A4" s="3" t="s">
        <v>1207</v>
      </c>
      <c r="B4" s="3" t="s">
        <v>1206</v>
      </c>
      <c r="C4" s="3">
        <v>0.2</v>
      </c>
    </row>
    <row r="5" spans="1:3" ht="30" x14ac:dyDescent="0.25">
      <c r="A5" s="3" t="s">
        <v>1208</v>
      </c>
      <c r="B5" s="3" t="s">
        <v>1209</v>
      </c>
      <c r="C5" s="3">
        <v>0.3</v>
      </c>
    </row>
    <row r="6" spans="1:3" x14ac:dyDescent="0.25">
      <c r="A6" s="3" t="s">
        <v>1210</v>
      </c>
      <c r="B6" s="3" t="s">
        <v>1211</v>
      </c>
      <c r="C6" s="3">
        <v>0.25</v>
      </c>
    </row>
    <row r="7" spans="1:3" x14ac:dyDescent="0.25">
      <c r="A7" s="3" t="s">
        <v>1212</v>
      </c>
      <c r="B7" s="3" t="s">
        <v>1213</v>
      </c>
      <c r="C7" s="3">
        <v>0.25</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35F4886C0EB9C4FAA828CE8C86D3E50" ma:contentTypeVersion="11" ma:contentTypeDescription="Create a new document." ma:contentTypeScope="" ma:versionID="aa5618bf1813ac63f797180d11138a89">
  <xsd:schema xmlns:xsd="http://www.w3.org/2001/XMLSchema" xmlns:xs="http://www.w3.org/2001/XMLSchema" xmlns:p="http://schemas.microsoft.com/office/2006/metadata/properties" xmlns:ns2="f44329f9-3bac-4fc6-98fc-ef797d658339" xmlns:ns3="b2270cb8-13f8-4c73-8ffa-3b5c06458609" targetNamespace="http://schemas.microsoft.com/office/2006/metadata/properties" ma:root="true" ma:fieldsID="2f56dea18be28cb97786324d5ae55816" ns2:_="" ns3:_="">
    <xsd:import namespace="f44329f9-3bac-4fc6-98fc-ef797d658339"/>
    <xsd:import namespace="b2270cb8-13f8-4c73-8ffa-3b5c06458609"/>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3:SharedWithUsers" minOccurs="0"/>
                <xsd:element ref="ns3:SharedWithDetail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44329f9-3bac-4fc6-98fc-ef797d65833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b3ac71da-c05a-48d5-ab05-f7c0d997546f" ma:termSetId="09814cd3-568e-fe90-9814-8d621ff8fb84" ma:anchorId="fba54fb3-c3e1-fe81-a776-ca4b69148c4d" ma:open="true" ma:isKeyword="false">
      <xsd:complexType>
        <xsd:sequence>
          <xsd:element ref="pc:Terms" minOccurs="0" maxOccurs="1"/>
        </xsd:sequence>
      </xsd:complex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SearchProperties" ma:index="18"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2270cb8-13f8-4c73-8ffa-3b5c06458609"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05302aa9-4185-4a5e-ac15-a0ee3b879c5a}" ma:internalName="TaxCatchAll" ma:showField="CatchAllData" ma:web="b2270cb8-13f8-4c73-8ffa-3b5c06458609">
      <xsd:complexType>
        <xsd:complexContent>
          <xsd:extension base="dms:MultiChoiceLookup">
            <xsd:sequence>
              <xsd:element name="Value" type="dms:Lookup" maxOccurs="unbounded" minOccurs="0" nillable="true"/>
            </xsd:sequence>
          </xsd:extension>
        </xsd:complexContent>
      </xsd:complexType>
    </xsd:element>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
</file>

<file path=customXml/item3.xml>��
</file>

<file path=customXml/item4.xml>��
</file>

<file path=customXml/item5.xml><?xml version="1.0" encoding="utf-8"?>
<?mso-contentType ?>
<FormTemplates xmlns="http://schemas.microsoft.com/sharepoint/v3/contenttype/forms">
  <Display>DocumentLibraryForm</Display>
  <Edit>DocumentLibraryForm</Edit>
  <New>DocumentLibraryForm</New>
</FormTemplates>
</file>

<file path=customXml/item6.xml>��
</file>

<file path=customXml/item7.xml><?xml version="1.0" encoding="utf-8"?>
<p:properties xmlns:p="http://schemas.microsoft.com/office/2006/metadata/properties" xmlns:xsi="http://www.w3.org/2001/XMLSchema-instance" xmlns:pc="http://schemas.microsoft.com/office/infopath/2007/PartnerControls">
  <documentManagement>
    <lcf76f155ced4ddcb4097134ff3c332f xmlns="f44329f9-3bac-4fc6-98fc-ef797d658339">
      <Terms xmlns="http://schemas.microsoft.com/office/infopath/2007/PartnerControls"/>
    </lcf76f155ced4ddcb4097134ff3c332f>
    <TaxCatchAll xmlns="b2270cb8-13f8-4c73-8ffa-3b5c06458609" xsi:nil="true"/>
  </documentManagement>
</p:properties>
</file>

<file path=customXml/item8.xml>��
</file>

<file path=customXml/item9.xml>��
</file>

<file path=customXml/itemProps1.xml><?xml version="1.0" encoding="utf-8"?>
<ds:datastoreItem xmlns:ds="http://schemas.openxmlformats.org/officeDocument/2006/customXml" ds:itemID="{926FEA58-9138-461D-A0EC-7E9D7467D57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44329f9-3bac-4fc6-98fc-ef797d658339"/>
    <ds:schemaRef ds:uri="b2270cb8-13f8-4c73-8ffa-3b5c0645860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F33044AA-EC33-41A3-8265-5A07818FAEE5}">
  <ds:schemaRefs/>
</ds:datastoreItem>
</file>

<file path=customXml/itemProps3.xml><?xml version="1.0" encoding="utf-8"?>
<ds:datastoreItem xmlns:ds="http://schemas.openxmlformats.org/officeDocument/2006/customXml" ds:itemID="{52310899-9499-4442-8885-30FD9A339B44}">
  <ds:schemaRefs>
    <ds:schemaRef ds:uri="http://schemas.microsoft.com/DataMashup"/>
  </ds:schemaRefs>
</ds:datastoreItem>
</file>

<file path=customXml/itemProps4.xml><?xml version="1.0" encoding="utf-8"?>
<ds:datastoreItem xmlns:ds="http://schemas.openxmlformats.org/officeDocument/2006/customXml" ds:itemID="{E17496B1-3F06-4447-A839-4C673C378333}">
  <ds:schemaRefs/>
</ds:datastoreItem>
</file>

<file path=customXml/itemProps5.xml><?xml version="1.0" encoding="utf-8"?>
<ds:datastoreItem xmlns:ds="http://schemas.openxmlformats.org/officeDocument/2006/customXml" ds:itemID="{DB1EA191-B2DD-4E1D-B194-417B75183C3D}">
  <ds:schemaRefs>
    <ds:schemaRef ds:uri="http://schemas.microsoft.com/sharepoint/v3/contenttype/forms"/>
  </ds:schemaRefs>
</ds:datastoreItem>
</file>

<file path=customXml/itemProps6.xml><?xml version="1.0" encoding="utf-8"?>
<ds:datastoreItem xmlns:ds="http://schemas.openxmlformats.org/officeDocument/2006/customXml" ds:itemID="{F923B68C-2485-403F-B38D-E846D72EE065}">
  <ds:schemaRefs/>
</ds:datastoreItem>
</file>

<file path=customXml/itemProps7.xml><?xml version="1.0" encoding="utf-8"?>
<ds:datastoreItem xmlns:ds="http://schemas.openxmlformats.org/officeDocument/2006/customXml" ds:itemID="{FE5EB6FB-C232-4CB3-AC77-E6C89607248E}">
  <ds:schemaRefs>
    <ds:schemaRef ds:uri="b2270cb8-13f8-4c73-8ffa-3b5c06458609"/>
    <ds:schemaRef ds:uri="http://schemas.microsoft.com/office/2006/metadata/properties"/>
    <ds:schemaRef ds:uri="http://purl.org/dc/terms/"/>
    <ds:schemaRef ds:uri="http://schemas.microsoft.com/office/2006/documentManagement/types"/>
    <ds:schemaRef ds:uri="http://purl.org/dc/elements/1.1/"/>
    <ds:schemaRef ds:uri="http://purl.org/dc/dcmitype/"/>
    <ds:schemaRef ds:uri="http://www.w3.org/XML/1998/namespace"/>
    <ds:schemaRef ds:uri="http://schemas.microsoft.com/office/infopath/2007/PartnerControls"/>
    <ds:schemaRef ds:uri="http://schemas.openxmlformats.org/package/2006/metadata/core-properties"/>
    <ds:schemaRef ds:uri="f44329f9-3bac-4fc6-98fc-ef797d658339"/>
  </ds:schemaRefs>
</ds:datastoreItem>
</file>

<file path=customXml/itemProps8.xml><?xml version="1.0" encoding="utf-8"?>
<ds:datastoreItem xmlns:ds="http://schemas.openxmlformats.org/officeDocument/2006/customXml" ds:itemID="{5C55A629-EE1A-4B7A-A58E-A5999D89C591}">
  <ds:schemaRefs/>
</ds:datastoreItem>
</file>

<file path=customXml/itemProps9.xml><?xml version="1.0" encoding="utf-8"?>
<ds:datastoreItem xmlns:ds="http://schemas.openxmlformats.org/officeDocument/2006/customXml" ds:itemID="{F64BD922-08FE-4318-B1D9-EBE411A5F0FE}">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6</vt:i4>
      </vt:variant>
    </vt:vector>
  </HeadingPairs>
  <TitlesOfParts>
    <vt:vector size="6" baseType="lpstr">
      <vt:lpstr>Cleaned Customers </vt:lpstr>
      <vt:lpstr>Cleaned Sales</vt:lpstr>
      <vt:lpstr>Customer Analysis</vt:lpstr>
      <vt:lpstr> Sales Analysis </vt:lpstr>
      <vt:lpstr>Guide</vt:lpstr>
      <vt:lpstr>Grad_Careers_Services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Johnson,Michelle</dc:creator>
  <cp:keywords/>
  <dc:description/>
  <cp:lastModifiedBy>Vinayak Gupta (24066272)</cp:lastModifiedBy>
  <cp:revision/>
  <dcterms:created xsi:type="dcterms:W3CDTF">2023-05-31T18:23:50Z</dcterms:created>
  <dcterms:modified xsi:type="dcterms:W3CDTF">2025-11-27T08:02:00Z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0x010100935F4886C0EB9C4FAA828CE8C86D3E50</vt:lpwstr>
  </property>
  <property fmtid="{D5CDD505-2E9C-101B-9397-08002B2CF9AE}" pid="3" name="MediaServiceImageTags">
    <vt:lpwstr/>
  </property>
</Properties>
</file>